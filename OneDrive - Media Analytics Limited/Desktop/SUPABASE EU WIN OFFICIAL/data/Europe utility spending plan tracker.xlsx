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globalwater-my.sharepoint.com/personal/sidan_zeng_globalwaterintel_com/Documents/Desktop/SUPABASE EU WIN OFFICIAL/data/"/>
    </mc:Choice>
  </mc:AlternateContent>
  <xr:revisionPtr revIDLastSave="3" documentId="8_{56B15047-EFA0-4FD6-A3AC-5E6581C46BF7}" xr6:coauthVersionLast="47" xr6:coauthVersionMax="47" xr10:uidLastSave="{7073E018-A723-4A5F-8795-7DF3E7366D72}"/>
  <bookViews>
    <workbookView xWindow="-110" yWindow="-110" windowWidth="19420" windowHeight="11500" tabRatio="588" xr2:uid="{28410722-2207-4F58-9A87-BEBE3532385D}"/>
  </bookViews>
  <sheets>
    <sheet name="Utilities" sheetId="1" r:id="rId1"/>
    <sheet name="Progress bar" sheetId="2" r:id="rId2"/>
    <sheet name="Plan type-key" sheetId="3" r:id="rId3"/>
    <sheet name="River basin plans Spain" sheetId="4" r:id="rId4"/>
  </sheets>
  <definedNames>
    <definedName name="_xlnm._FilterDatabase" localSheetId="0" hidden="1">Utilities!$A$1:$AJ$1199</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 l="1"/>
  <c r="C4" i="2" s="1"/>
  <c r="C23" i="2"/>
  <c r="C50" i="2"/>
  <c r="C49" i="2"/>
  <c r="C48" i="2"/>
  <c r="C47" i="2"/>
  <c r="C46" i="2"/>
  <c r="C45" i="2"/>
  <c r="C44" i="2"/>
  <c r="C22" i="2"/>
  <c r="C21" i="2"/>
  <c r="C20" i="2"/>
  <c r="C19" i="2"/>
  <c r="C18" i="2"/>
  <c r="C17" i="2"/>
  <c r="C34" i="2"/>
  <c r="C35" i="2" s="1"/>
  <c r="C24" i="2" l="1"/>
  <c r="P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tc={DFF48C9F-3C9A-4F4A-B57D-42AFF6083832}</author>
    <author>tc={32B56735-0046-4117-A9EC-EAFAB23D59C5}</author>
  </authors>
  <commentList>
    <comment ref="O277" authorId="0" shapeId="0" xr:uid="{DFF48C9F-3C9A-4F4A-B57D-42AFF6083832}">
      <text>
        <t xml:space="preserve">[Threaded comment]
Your version of Excel allows you to read this threaded comment; however, any edits to it will get removed if the file is opened in a newer version of Excel. Learn more: https://go.microsoft.com/fwlink/?linkid=870924
Comment:
    population ESTIMATION 
</t>
      </text>
    </comment>
    <comment ref="Q277" authorId="1" shapeId="0" xr:uid="{32B56735-0046-4117-A9EC-EAFAB23D59C5}">
      <text>
        <t xml:space="preserve">[Threaded comment]
Your version of Excel allows you to read this threaded comment; however, any edits to it will get removed if the file is opened in a newer version of Excel. Learn more: https://go.microsoft.com/fwlink/?linkid=870924
Comment:
    population ESTIMATION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0D22EC-2C69-42E5-B6F8-295EA73CB4CA}" keepAlive="1" name="Query - Rijnland Meerjarenperspectief 2026-2030" description="Connection to the 'Rijnland Meerjarenperspectief 2026-2030' query in the workbook." type="5" refreshedVersion="0" background="1" saveData="1">
    <dbPr connection="Provider=Microsoft.Mashup.OleDb.1;Data Source=$Workbook$;Location=&quot;Rijnland Meerjarenperspectief 2026-2030&quot;;Extended Properties=&quot;&quot;" command="SELECT * FROM [Rijnland Meerjarenperspectief 2026-2030]"/>
  </connection>
</connections>
</file>

<file path=xl/sharedStrings.xml><?xml version="1.0" encoding="utf-8"?>
<sst xmlns="http://schemas.openxmlformats.org/spreadsheetml/2006/main" count="15476" uniqueCount="6985">
  <si>
    <t>WaterData ID</t>
  </si>
  <si>
    <t>Data Adventurer</t>
  </si>
  <si>
    <t>WaterData Name</t>
  </si>
  <si>
    <t>Column1.CIP Excel Document Utility Name - Local Language</t>
  </si>
  <si>
    <t>Column1.CIP Excel Document Utility Name - English Language</t>
  </si>
  <si>
    <t>Acronym/Shortened form/Parent company</t>
  </si>
  <si>
    <t>Cleaned the CIP files?</t>
  </si>
  <si>
    <t>Column1.HQ Country</t>
  </si>
  <si>
    <t>State/region</t>
  </si>
  <si>
    <t>Column1.City/Subregion</t>
  </si>
  <si>
    <t>Description</t>
  </si>
  <si>
    <t>Utility ownership type</t>
  </si>
  <si>
    <t>Utility ownership details</t>
  </si>
  <si>
    <t>Water: Population served</t>
  </si>
  <si>
    <t>YEAR: Water: Population served</t>
  </si>
  <si>
    <t>Wastewater: Population served</t>
  </si>
  <si>
    <t>YEAR: Wastewater: Population served</t>
  </si>
  <si>
    <t>Bulk wastewater</t>
  </si>
  <si>
    <t>Retail wastewater</t>
  </si>
  <si>
    <t>Drainage / stormwater service</t>
  </si>
  <si>
    <t>Website</t>
  </si>
  <si>
    <t>Financial plans found?</t>
  </si>
  <si>
    <t>Which years?</t>
  </si>
  <si>
    <t>CIP processed?</t>
  </si>
  <si>
    <t>Date processed</t>
  </si>
  <si>
    <t>Pages</t>
  </si>
  <si>
    <t>Link</t>
  </si>
  <si>
    <t>Notes</t>
  </si>
  <si>
    <t>Council source?</t>
  </si>
  <si>
    <t>Final JSON?</t>
  </si>
  <si>
    <t>Dataset type</t>
  </si>
  <si>
    <t>Data format type</t>
  </si>
  <si>
    <t>What type of website/Misc info</t>
  </si>
  <si>
    <t>Plant name codes in financial plans?</t>
  </si>
  <si>
    <t>Other useful info in plans</t>
  </si>
  <si>
    <t>TED buyer name</t>
  </si>
  <si>
    <t>3371</t>
  </si>
  <si>
    <t>Emma</t>
  </si>
  <si>
    <t>Abwasser, Grün &amp; Lüneburger Service GmbH</t>
  </si>
  <si>
    <t>AGL</t>
  </si>
  <si>
    <t>Yes</t>
  </si>
  <si>
    <t>Germany</t>
  </si>
  <si>
    <t>Lower Saxony</t>
  </si>
  <si>
    <t>Lüneburg</t>
  </si>
  <si>
    <t>Providing wastewater services to Lüneburg</t>
  </si>
  <si>
    <t>Public ownership</t>
  </si>
  <si>
    <t/>
  </si>
  <si>
    <t>http://www.agl-lueneburg.de/cms/front_content.php</t>
  </si>
  <si>
    <t>2025-2026</t>
  </si>
  <si>
    <t>pp. 3-8</t>
  </si>
  <si>
    <t>https://buergerinfo.stadt.lueneburg.de/public/vo020?0--anlagenHeaderPanel-attachmentsList-0-attachment-link&amp;VOLFDNR=1000298&amp;refresh=false</t>
  </si>
  <si>
    <t>Only 2025 &amp; 2026 covered</t>
  </si>
  <si>
    <t>https://buergerinfo.stadt.lueneburg.de/public/vo020?3--anlagenHeaderPanel-attachmentsList-0-attachment-link&amp;VOLFDNR=1000298&amp;refresh=false</t>
  </si>
  <si>
    <t>Table (PDF)</t>
  </si>
  <si>
    <t>Included new column of SOC</t>
  </si>
  <si>
    <t>no</t>
  </si>
  <si>
    <t>Status</t>
  </si>
  <si>
    <t>yes</t>
  </si>
  <si>
    <t>3368</t>
  </si>
  <si>
    <t>Abwasserbetrieb Troisdorf AöR</t>
  </si>
  <si>
    <t>Abwasserbetrieb Troisdorf</t>
  </si>
  <si>
    <t>Troisdorf Wastewater Company</t>
  </si>
  <si>
    <t>null</t>
  </si>
  <si>
    <t>North Rhine-Westphalia</t>
  </si>
  <si>
    <t>Troisdorf</t>
  </si>
  <si>
    <t>Providing wastewater services to Troisdorf</t>
  </si>
  <si>
    <t>http://www.abwasserbetrieb-troisdorf.de/</t>
  </si>
  <si>
    <t>2022-2027</t>
  </si>
  <si>
    <t>27-31?</t>
  </si>
  <si>
    <t>https://sessionnet.owl-it.de/troisdorf/bi/to0050.asp?__ktonr=153836</t>
  </si>
  <si>
    <t>Contains codes for projects pg 26</t>
  </si>
  <si>
    <t>Same as Koeln</t>
  </si>
  <si>
    <t>3402</t>
  </si>
  <si>
    <t>Abwasserentsorgung Salzgitter GmbH</t>
  </si>
  <si>
    <t>Abwasserentsorgung Salzgitter</t>
  </si>
  <si>
    <t>Salzgitter</t>
  </si>
  <si>
    <t>Providing wastewater services to Salzgitter</t>
  </si>
  <si>
    <t>http://www.abwasserentsorgung-salzgitter.com/</t>
  </si>
  <si>
    <t>2025-2029</t>
  </si>
  <si>
    <t>p. 11</t>
  </si>
  <si>
    <t>https://www.salzgitter.sitzung-online.de/public/vo020?0--anlagenHeaderPanel-attachmentsList-0-attachment-link&amp;VOLFDNR=1004606&amp;refresh=false</t>
  </si>
  <si>
    <t>Solved through instructing CIP to sum the result of 1st half of year and 2nd half of year columns &amp; treat that as 2025 figure. PROBLEM: 2025 spending is split into 3 columns.</t>
  </si>
  <si>
    <t>https://www.salzgitter.sitzung-online.de/public/vo020?4--anlagenHeaderPanel-attachmentsList-0-attachment-link&amp;VOLFDNR=1004606&amp;refresh=false</t>
  </si>
  <si>
    <t>3432</t>
  </si>
  <si>
    <t>Erftverband</t>
  </si>
  <si>
    <t>Bergheim</t>
  </si>
  <si>
    <t>Providing wastewater services to Grevenbroich, Rommerskirchen, Bergheim, Zulpich, Euskirchen, Mechernich</t>
  </si>
  <si>
    <t>66368?</t>
  </si>
  <si>
    <t>http://www.erftverband.de/abwasser/</t>
  </si>
  <si>
    <t>3431</t>
  </si>
  <si>
    <t>Entwässerungsgesellschaft Cuxhaven mbH</t>
  </si>
  <si>
    <t>Cuxhaven</t>
  </si>
  <si>
    <t>Providing wastewater services to Cuxhaven, Hadeln On Dobrock and the industrial area Gewerbegebiet Seeflughafen Nordholz</t>
  </si>
  <si>
    <t>198633?</t>
  </si>
  <si>
    <t>http://www.egc-cuxhaven.de</t>
  </si>
  <si>
    <t>3305</t>
  </si>
  <si>
    <t>Bergisch-Rheinische Wasserverband</t>
  </si>
  <si>
    <t>Haan</t>
  </si>
  <si>
    <t>Providing wastewater services to Ratingen, Velbert, Hellingahus, Wülfrath, Mettmann, Langenfeld, Wuppertal, Erikrath, Haan, Hilden, Solingen, Monheim, parts of Dusseldorf</t>
  </si>
  <si>
    <t>&gt;500000</t>
  </si>
  <si>
    <t>http://www.brw-haan.de/</t>
  </si>
  <si>
    <t>Yes but</t>
  </si>
  <si>
    <t>2020-2025 (&amp; then grouped in 6 yrs 2026-20231)</t>
  </si>
  <si>
    <t>Not yet</t>
  </si>
  <si>
    <t>pp. 1-4</t>
  </si>
  <si>
    <t>https://www2.haan.de/bi/getfile.php?id=50080&amp;type=do</t>
  </si>
  <si>
    <t>NB - Only Mischwasser - this seems improbable given there are 4 WWTPs. Emailed Bergisch Rheinische Verband to ask</t>
  </si>
  <si>
    <t>https://www2.haan.de/bi/vo0050.php?__kvonr=2961</t>
  </si>
  <si>
    <t>27122</t>
  </si>
  <si>
    <t>Acea Molise</t>
  </si>
  <si>
    <t>Italy</t>
  </si>
  <si>
    <t xml:space="preserve">Manages the integrated water service for Campagnano di Roma and for Termoli province of Campobasso. It also manages the sewage treatment plant in the municipality of Valmontone. </t>
  </si>
  <si>
    <t>Investor-owned utility</t>
  </si>
  <si>
    <t>https://www.gruppo.acea.it/en/serving-people/water/acea-molise</t>
  </si>
  <si>
    <t>4020</t>
  </si>
  <si>
    <t>Acquereggine S.C.p.A.</t>
  </si>
  <si>
    <t>Reggio Calabria</t>
  </si>
  <si>
    <t>Providing water and wastewater services to Integrated Water Service in the ATO Reggio Calabria</t>
  </si>
  <si>
    <t>Concession</t>
  </si>
  <si>
    <t>Smeco Reggio Srl (55%)  / Società Consortile GEAR Srl (30%)  / Iniziativa Ambientali Meridionali SpA (15%)</t>
  </si>
  <si>
    <t>http://www.acquereggine.com</t>
  </si>
  <si>
    <t>4023</t>
  </si>
  <si>
    <t>Servizi Idrici Sinistra Piave S.r.l.</t>
  </si>
  <si>
    <t>Codognè</t>
  </si>
  <si>
    <t>Providing water and wastewater services to Integrated Water Service in 30 municipalities in the Treviso province</t>
  </si>
  <si>
    <t>http://www.sinpiave.it</t>
  </si>
  <si>
    <t>27141</t>
  </si>
  <si>
    <t>Abrantáqua</t>
  </si>
  <si>
    <t>Portugal</t>
  </si>
  <si>
    <t>Concessionaire responsible for providing urban wastewater services to the municipality of Abrantes.</t>
  </si>
  <si>
    <t>http://www.abrantaqua.pt/</t>
  </si>
  <si>
    <t>3400</t>
  </si>
  <si>
    <t>AbwasserAalen</t>
  </si>
  <si>
    <t>Stadtwerke Aalen</t>
  </si>
  <si>
    <t>Aalen City Works</t>
  </si>
  <si>
    <t>Baden-Württemberg</t>
  </si>
  <si>
    <t>Aalen</t>
  </si>
  <si>
    <t>Providing wastewater services to Aalen</t>
  </si>
  <si>
    <t>http://www.abwasseraalen.de/</t>
  </si>
  <si>
    <t>2023-2028</t>
  </si>
  <si>
    <t>06.03.2026</t>
  </si>
  <si>
    <t>pp. 16-22</t>
  </si>
  <si>
    <t>https://www.aalen.sitzung-online.de/public/vo020?3--anlagenHeaderPanel-attachmentsList-0-attachment-link&amp;VOLFDNR=1001950&amp;refresh=false</t>
  </si>
  <si>
    <t>Search: Abwasserentsorgung</t>
  </si>
  <si>
    <t>https://www.aalen.sitzung-online.de/public/vo020?VOLFDNR=1001950&amp;refresh=false</t>
  </si>
  <si>
    <t>Allris</t>
  </si>
  <si>
    <t>3399</t>
  </si>
  <si>
    <t>Abwasserbetriebsgesellschaft mbH</t>
  </si>
  <si>
    <t>Hesse</t>
  </si>
  <si>
    <t>Offenbach am Main</t>
  </si>
  <si>
    <t>Providing wastewater services to Offenbach</t>
  </si>
  <si>
    <t>Part-privatised</t>
  </si>
  <si>
    <t>Energieversorgung Offenbach AG (51%)  / (WTE Wassertechnik GmbH (49%)</t>
  </si>
  <si>
    <t>https://www.evo-ag.de/wir-in-offenbach/ueber-uns/aktionaers-gesellschaftsstruktur/abeg/</t>
  </si>
  <si>
    <t>3403</t>
  </si>
  <si>
    <t>Abwasserverband Fulda</t>
  </si>
  <si>
    <t>Fulda</t>
  </si>
  <si>
    <t>Providing wastewater services to Fulda</t>
  </si>
  <si>
    <t>http://www.abwasserverband-fulda.de/</t>
  </si>
  <si>
    <t>Just a general Haushaltsplan</t>
  </si>
  <si>
    <t>3406</t>
  </si>
  <si>
    <t>Abwasserverband Wolfsburg</t>
  </si>
  <si>
    <t>Wolfsburg</t>
  </si>
  <si>
    <t>Providing wastewater services to Cities of Wolfsburg, Lüneburg and Gifhorn</t>
  </si>
  <si>
    <t>http://www.abwasserverband-wob.de/</t>
  </si>
  <si>
    <t>https://ratsinfob.stadt.wolfsburg.de/tr010?SUCHWORT=abwasser</t>
  </si>
  <si>
    <t>3858</t>
  </si>
  <si>
    <t>Nicolo</t>
  </si>
  <si>
    <t>Acque Potabili S.p.A</t>
  </si>
  <si>
    <t>Piedmont</t>
  </si>
  <si>
    <t>Torino</t>
  </si>
  <si>
    <t>Providing water and wastewater services in 101 municipalities in 20 Italian provinces; wastewater service in only 8 municipalities</t>
  </si>
  <si>
    <t>Gruppo Iren (44.92%) [via Iren Acqua Gas SpA] / Società Metropolitana Acque Torino SpA (44.92%)  / Others (10.15%)</t>
  </si>
  <si>
    <t xml:space="preserve">http://www.acquepotabilispa.it </t>
  </si>
  <si>
    <t>722</t>
  </si>
  <si>
    <t>Sidan</t>
  </si>
  <si>
    <t>Agència Catalana de l’Aigua (ACA)</t>
  </si>
  <si>
    <t>Spain</t>
  </si>
  <si>
    <t>Catalunya</t>
  </si>
  <si>
    <t>Barcelona</t>
  </si>
  <si>
    <t>The entity responsible for managing the water resources of Catalonia</t>
  </si>
  <si>
    <t>http://web.gencat.cat/</t>
  </si>
  <si>
    <t>2024-2027</t>
  </si>
  <si>
    <t>194-206</t>
  </si>
  <si>
    <t>https://aplicacions.economia.gencat.cat/wpres/AppPHP/2024/pdf/VOL_P_AIR.pdf</t>
  </si>
  <si>
    <t>https://aplicacions.economia.gencat.cat/wpres/2024/03_projecte.htm?utm_source=chatgpt.com</t>
  </si>
  <si>
    <t>3408</t>
  </si>
  <si>
    <t>Abwasserzweckverbandes Oberer Neckar - Villingen-Schwenningen</t>
  </si>
  <si>
    <t>Eigenbetrieb Stadtentwässerung Villingen-Schwenningen</t>
  </si>
  <si>
    <t>Villingen-Schwenningen City Drainage</t>
  </si>
  <si>
    <t>Villingen-Schwenningen</t>
  </si>
  <si>
    <t>Providing wastewater services to Villingen-Schwenningen</t>
  </si>
  <si>
    <t>http://www.villingen-schwenningen.de/verkehr/stadtentwaesserung-gewaesser-und-boden/abwasserzweck-verband-oberer-neckar.html</t>
  </si>
  <si>
    <t>pp. 14-21</t>
  </si>
  <si>
    <t>https://ris.villingen-schwenningen.de/pdf-viewer?name=U0VWUyBXaXJ0c2NoYWZ0c3BsYW4gMjAyNC8yMDI1&amp;watermark=0&amp;generated=08-12-2025&amp;document=aHR0cHM6Ly9yaXMudmlsbGluZ2VuLXNjaHdlbm5pbmdlbi5kZS9hcGkucGhwP2RvY3VtZW50X3R5cGVfaWQ9MTMmZG9jdW1lbnRfcmVsYXRpb25faWQ9ODE3MDExMDE4NTMlN0MyMDI0MDExODExNTU0Ni0wLnBkZiU3QyZzdWJtaXNzaW9uX2F0dGFjaG1lbnRfaWQ9ODE3MDExMDE4NTMlN0MyMDI0MDExODExNTU0Ni0wLnBkZiU3QyZpZD02OSZqc29uPTEmcGxhdGZvcm09d2ViJnN5c3RlbT1yaXMmYWdlbmRhX2l0ZW1faWQ9bmlfMjAyNC1HUi00MjJ8ODE3MDExMDE4NTN8MSZkb2N1bWVudGFibGVfaWQ9ODE3MDExMDE4NTN8MjAyNDAxMTgxMTU1NDYtMC5wZGZ8</t>
  </si>
  <si>
    <t>NB: Wirtschaftsplan 2020: "Der Materialaufwand erhöht sich infolge der Umstellung des Abwasserzweckverbandes Oberer Neckar auf Eigenbetriebsrecht. Die Abschreibungsumlage ist jetzt im Erfolgsplan enthalten, diese war bisher im Vermögensplan veranschlagt. Eine Abschreibung auf Finanzanlagen ist im Wirtschaftsplan 2020 nicht geplant, da sie aufgrund der Umstellung des AZV Oberer Neckar auf Eigenbetriebsrecht nicht abschätzbar ist. Das geplante Jahresergebnis liegt bei 0 EUR.</t>
  </si>
  <si>
    <t>https://ris.villingen-schwenningen.de/meeting/2241</t>
  </si>
  <si>
    <t>Great info on other projects being approved - plus was v easy plan to process</t>
  </si>
  <si>
    <t>27148</t>
  </si>
  <si>
    <t>Aguas de Denia</t>
  </si>
  <si>
    <t>Management of the integrated water cycle in the municipality of Dénia.</t>
  </si>
  <si>
    <t>https://www.aguasdedenia.com/</t>
  </si>
  <si>
    <t>27149</t>
  </si>
  <si>
    <t>Aguas de Narixa</t>
  </si>
  <si>
    <t>Management of water and wastewater municipal services in Nerja, Spain.</t>
  </si>
  <si>
    <t>https://www.aguasdenarixa.es/</t>
  </si>
  <si>
    <t>27150</t>
  </si>
  <si>
    <t>Aguas de Priego</t>
  </si>
  <si>
    <t>Manages water and wastewater services for the City of Priego de Córdoba and the surrounding municipality.</t>
  </si>
  <si>
    <t>http://aguasdepriego.com/</t>
  </si>
  <si>
    <t>23689</t>
  </si>
  <si>
    <t>Águas do Norte</t>
  </si>
  <si>
    <t>Villa Real</t>
  </si>
  <si>
    <t>Providing water and wastewater services to Villa Real</t>
  </si>
  <si>
    <t>http://www.adnorte.pt</t>
  </si>
  <si>
    <t>4841</t>
  </si>
  <si>
    <t>Aigua de Rigat, S.A.</t>
  </si>
  <si>
    <t>Igualada</t>
  </si>
  <si>
    <t>Providing water and wastewater services to the communities of Igualada, Vilanova del Camí and La Pobla de Claramunt</t>
  </si>
  <si>
    <t>Sorea (68.46%)  / Public shareholders (31.54%)</t>
  </si>
  <si>
    <t>http://www.aiguaderigat.cat/</t>
  </si>
  <si>
    <t>27151</t>
  </si>
  <si>
    <t>Aigües de Blanes</t>
  </si>
  <si>
    <t xml:space="preserve">Provides water and wastewater services to Blanes, Girona. </t>
  </si>
  <si>
    <t>https://aiguesdeblanes.cat/</t>
  </si>
  <si>
    <t>4854</t>
  </si>
  <si>
    <t>Aigues de Reus Empresa Municipal SA</t>
  </si>
  <si>
    <t>Reus</t>
  </si>
  <si>
    <t>Providing water and wastewater services to City of Reus</t>
  </si>
  <si>
    <t>https://www.aiguesdereus.cat/</t>
  </si>
  <si>
    <t>27153</t>
  </si>
  <si>
    <t>Aigües del Vendrell</t>
  </si>
  <si>
    <t xml:space="preserve">Water and wastewater utility serving the town of El Vendrell, Catalonia. </t>
  </si>
  <si>
    <t>https://www.aiguesdelvendrell.cat/</t>
  </si>
  <si>
    <t>4785</t>
  </si>
  <si>
    <t>Aigües i Sanejament d'Elx</t>
  </si>
  <si>
    <t>Valencia</t>
  </si>
  <si>
    <t>Elche</t>
  </si>
  <si>
    <t>Providing water and wastewater services to City of Elche</t>
  </si>
  <si>
    <t>Ayuntamiento de Eiche (51%)  / Aguas de Barcelona (49%) [via wholly owned subsidary Hidraqua]</t>
  </si>
  <si>
    <t>http://www.aigueselx.com/</t>
  </si>
  <si>
    <t>23686</t>
  </si>
  <si>
    <t>Acque Bresciane</t>
  </si>
  <si>
    <t>Lombardy</t>
  </si>
  <si>
    <t>Brescia</t>
  </si>
  <si>
    <t>Managing the Integrated Water Service for 92 municipalities in the Province of Brescia</t>
  </si>
  <si>
    <t>https://www.acquebresciane.it</t>
  </si>
  <si>
    <t>3059</t>
  </si>
  <si>
    <t>Conseil départemental des Hauts-de-Seine</t>
  </si>
  <si>
    <t>France</t>
  </si>
  <si>
    <t>Île-de-France</t>
  </si>
  <si>
    <t>Nanterre</t>
  </si>
  <si>
    <t>Owns and operates wastewater and stormwater conveyance networks in the département of Hauts-de-Seine, west of Paris. Most wastewater collection is done by individual municipalities, whose networks flow into the département's conveyance network. Wastewater treatment is performed by SIAAP.</t>
  </si>
  <si>
    <t>https://www.hauts-de-seine.fr/mon-departement/les-hauts-de-seine/missions-et-actions/eau-et-assainissement/assainissement</t>
  </si>
  <si>
    <t>Sort of - no costs</t>
  </si>
  <si>
    <t>https://www.hauts-de-seine.fr/fileadmin/user_upload/Mon_departement/01_Missions_et_actions/01.6_Eau_et_assainissement/La_politique_de_l_eau_2022/2-CD92-Schema-directeur-assainissement-2022.pdf</t>
  </si>
  <si>
    <t>23687</t>
  </si>
  <si>
    <t>Alfa SRL</t>
  </si>
  <si>
    <t>Varese</t>
  </si>
  <si>
    <t>Providing water and wastewater services to the municipalities of Angera, Casale Litta, Golasecca, Ispra, Mornago, Osmate, Sesto Calende, Somma Lombardo, Travedona Monate, Vergiate and Vizzola Ticino.</t>
  </si>
  <si>
    <t>https://www.alfasii.it/</t>
  </si>
  <si>
    <t>3057</t>
  </si>
  <si>
    <t>Conseil départemental de la Seine-Saint-Denis</t>
  </si>
  <si>
    <t>Bobigny</t>
  </si>
  <si>
    <t>Owns and operates wastewater and stormwater conveyance networks in the département of Seine-Saint-Denis, north-east of Paris. Most wastewater collection is done by individual municipalities, whose networks flow into the département's conveyance network. Wastewater treatment is performed by SIAAP.</t>
  </si>
  <si>
    <t>https://seinesaintdenis.fr/l-essentiel-du-departement/Organigramme/pole-amenagement-et-developpement-durables/article/direction-de-l-eau-et-de-l-assainissement</t>
  </si>
  <si>
    <t>2039</t>
  </si>
  <si>
    <t>Aquafin NV</t>
  </si>
  <si>
    <t>Belgium</t>
  </si>
  <si>
    <t>Flanders</t>
  </si>
  <si>
    <t>Aartselaar</t>
  </si>
  <si>
    <t>Providing wastewater services to Whole Flanders region</t>
  </si>
  <si>
    <t>http://www.aquafin.be/nl/indexb.php?s=116&amp;n=90</t>
  </si>
  <si>
    <t>27143</t>
  </si>
  <si>
    <t>Aquafundalia</t>
  </si>
  <si>
    <t>Concessionaire responsible for the management and operation of water supply systems and wastewater collection for Fundão County, Portugal.</t>
  </si>
  <si>
    <t>https://www.aquafundalia.pt/</t>
  </si>
  <si>
    <t>27144</t>
  </si>
  <si>
    <t>Aquajerez</t>
  </si>
  <si>
    <t>Provides water and sewage services to Jerez de la Frontera City, Spain.</t>
  </si>
  <si>
    <t>https://www.aquajerez.es/</t>
  </si>
  <si>
    <t>9261</t>
  </si>
  <si>
    <t>Aquapor Serviços, S.A.</t>
  </si>
  <si>
    <t>Lisbon</t>
  </si>
  <si>
    <t>Portugal's largest concessionnaire, with 14 contracts spanning 26 municipalities countrywide. It also has concessions in Cape Verde, Angola and Mozambique, and is part of a Tawzea-led consortium to serve Jeddah 2 &amp; 3 industrial cities in Saudi Arabia. Its subsidiary Luságua - Serviços Ambientais, SA, specialises in infrastructure operation and maintenance, and has a small solid-waste activity. Formerly a division of state-owned Aguas de Portugal, Aquapor was privatised in 2009. As of January 2021, French group Saur has agreed to buy the company from current owner DST.</t>
  </si>
  <si>
    <t xml:space="preserve">https://www.aquaporservicos.pt/ </t>
  </si>
  <si>
    <t>No</t>
  </si>
  <si>
    <t>23691</t>
  </si>
  <si>
    <t>Aquavall</t>
  </si>
  <si>
    <t>Valladolid</t>
  </si>
  <si>
    <t>Providing water and wastewater services to Valladolid</t>
  </si>
  <si>
    <t>http://aquavall.es/</t>
  </si>
  <si>
    <t>4845</t>
  </si>
  <si>
    <t>Ayuntamiento de Huesca- Unidad de Infraestructura y Medio Ambiente-Servicio de Aguas</t>
  </si>
  <si>
    <t>Aragon</t>
  </si>
  <si>
    <t>Huesca</t>
  </si>
  <si>
    <t>Providing water and wastewater services to City of Huesca</t>
  </si>
  <si>
    <t>https://sede.huesca.es/tramites/?s=aguas&amp;r=1</t>
  </si>
  <si>
    <t>3886</t>
  </si>
  <si>
    <t>Girgenti Acque S.p.A.</t>
  </si>
  <si>
    <t>Sicily</t>
  </si>
  <si>
    <t>Aragona</t>
  </si>
  <si>
    <t>Providing water and wastewater services in the ATO Agrigento</t>
  </si>
  <si>
    <t>Campione Industries SpA (41.63%)  / Acoset SpA (25.8%)  / Voltano SpA (13.34%)  / Giuseppe Campione SpA (10.22%) / Civiesse Srl (4%) / Other shareholders (5.01%)</t>
  </si>
  <si>
    <t>http://www.girgentiacque.com</t>
  </si>
  <si>
    <t>4021</t>
  </si>
  <si>
    <t>Piave Servizi Srl</t>
  </si>
  <si>
    <t>Veneto</t>
  </si>
  <si>
    <t>Roncade</t>
  </si>
  <si>
    <t>Providing water and wastewater services to 39 Municipalities</t>
  </si>
  <si>
    <t>https://www.piaveservizisrl.it/home.html</t>
  </si>
  <si>
    <t>6918</t>
  </si>
  <si>
    <t>Borsodvíz Zrt.</t>
  </si>
  <si>
    <t>Hungary</t>
  </si>
  <si>
    <t>Miskolc</t>
  </si>
  <si>
    <t>Providing water and wastewater services to Borsod-Abaúj-Zemplén county</t>
  </si>
  <si>
    <t>http://www.borsodviz.hu</t>
  </si>
  <si>
    <t>3477</t>
  </si>
  <si>
    <t>Stadt Eschweiler</t>
  </si>
  <si>
    <t>City of Eschweiler</t>
  </si>
  <si>
    <t>Eschweiler</t>
  </si>
  <si>
    <t>Providing wastewater services to Eschweiler</t>
  </si>
  <si>
    <t>http://www.eschweiler.de/city_info/webaccessibility/index.cfm?waid=459&amp;item_id=0&amp;region_id=437&amp;design_id=11057&amp;modul_id=15&amp;record_id=22195&amp;fsize=1&amp;contrast=0&amp;search=abwasser</t>
  </si>
  <si>
    <t>2024-2029</t>
  </si>
  <si>
    <t>02.03.2026</t>
  </si>
  <si>
    <t>pp. 34-36</t>
  </si>
  <si>
    <t>No Klaeranlagen - Klaeranlagen operated by Wasserverband Eifel-Rur</t>
  </si>
  <si>
    <t>https://rat.eschweiler.de/bi/getfile.php?id=86809&amp;type=do [contains project descriptions in more detail]</t>
  </si>
  <si>
    <t>27146</t>
  </si>
  <si>
    <t>Cartagua</t>
  </si>
  <si>
    <t>Concessionaire responsible for the management and operation of water distribution systems and wastewater collection in the municipality of Cartaxo, Portugal.</t>
  </si>
  <si>
    <t>https://www.cartagua.pt/</t>
  </si>
  <si>
    <t>7222</t>
  </si>
  <si>
    <t>Clare County Council</t>
  </si>
  <si>
    <t>Ireland</t>
  </si>
  <si>
    <t>Ennis</t>
  </si>
  <si>
    <t>Providing water and wastewater services to County Clare, excluding the Ennis and Kilrush urban areas</t>
  </si>
  <si>
    <t>http://www.clarecoco.ie/</t>
  </si>
  <si>
    <t>3900</t>
  </si>
  <si>
    <t>Centro Veneto Servizi S.p.A.</t>
  </si>
  <si>
    <t>Monselice</t>
  </si>
  <si>
    <t>Providing water and wastewater services to 58 municipalities in the ATO Bacchiglione</t>
  </si>
  <si>
    <t>http://www.centrovenetoservizi.it</t>
  </si>
  <si>
    <t>26958</t>
  </si>
  <si>
    <t>Codeur</t>
  </si>
  <si>
    <t>Andalucía</t>
  </si>
  <si>
    <t>Almería</t>
  </si>
  <si>
    <t>Water operator in Vera, Almeria that also provides project management and construction services for water projects in the local region.</t>
  </si>
  <si>
    <t>http://www.codeur.es/</t>
  </si>
  <si>
    <t>3486</t>
  </si>
  <si>
    <t>Stadt Hattingen</t>
  </si>
  <si>
    <t>Hattingen</t>
  </si>
  <si>
    <t>Providing wastewater services to Hattingen</t>
  </si>
  <si>
    <t>http://www.hattingen.de</t>
  </si>
  <si>
    <t>Yes BUT</t>
  </si>
  <si>
    <t>pp. 18-48</t>
  </si>
  <si>
    <t>No Klaeranlagen</t>
  </si>
  <si>
    <t>3920</t>
  </si>
  <si>
    <t>Azienda Multiservizi Comunali S.p.A.</t>
  </si>
  <si>
    <t>Gallarate</t>
  </si>
  <si>
    <t>Providing water and wastewater services in 17 municipalities in the province of Varese, wastewater service in 7 municipalities in the province of Varese</t>
  </si>
  <si>
    <t>http://www.amsc.it</t>
  </si>
  <si>
    <t>7060</t>
  </si>
  <si>
    <t>Cork City Council</t>
  </si>
  <si>
    <t>Cork</t>
  </si>
  <si>
    <t>Providing water and wastewater services to Cork City</t>
  </si>
  <si>
    <t>http://www.corkcity.ie/</t>
  </si>
  <si>
    <t>6780</t>
  </si>
  <si>
    <t>Cork County Council</t>
  </si>
  <si>
    <t>Providing water and wastewater services to County Cork</t>
  </si>
  <si>
    <t>http://www.corkcoco.ie/</t>
  </si>
  <si>
    <t>7531</t>
  </si>
  <si>
    <t>Debreceni Vízmu Zrt.</t>
  </si>
  <si>
    <t>Debrecen</t>
  </si>
  <si>
    <t>Providing water and wastewater services to Debrecen, Józsa, Pallag, Kismacs, Nagymacs, Ondód, Dombos-Tanya, Bánk, Szikigyakor,Vekeri Tó.</t>
  </si>
  <si>
    <t>http://www.debreceni-vizmu.hu</t>
  </si>
  <si>
    <t>7023</t>
  </si>
  <si>
    <t>Donegal County Council</t>
  </si>
  <si>
    <t>Lifford</t>
  </si>
  <si>
    <t>Providing water and wastewater services to County Donegal</t>
  </si>
  <si>
    <t>http://www.donegalcoco.ie/</t>
  </si>
  <si>
    <t>6868</t>
  </si>
  <si>
    <t>Dún Laoghaire-Rathdown County Council</t>
  </si>
  <si>
    <t>Dun Laoghaire</t>
  </si>
  <si>
    <t>Providing water and wastewater services to Dun Laoghaire Rathdown County</t>
  </si>
  <si>
    <t>http://www.dlrcoco.ie/</t>
  </si>
  <si>
    <t>27155</t>
  </si>
  <si>
    <t>EMALGESA</t>
  </si>
  <si>
    <t>Operator managing water supply and sewerage services in the City of Algeciras.</t>
  </si>
  <si>
    <t>https://www.emalgesa.com/</t>
  </si>
  <si>
    <t>4783</t>
  </si>
  <si>
    <t>Empresa Municipal de Aguas de Gijón</t>
  </si>
  <si>
    <t>Asturias</t>
  </si>
  <si>
    <t>Gijón</t>
  </si>
  <si>
    <t>Providing water services to City of Gijon</t>
  </si>
  <si>
    <t>http://agua.gijon.es/</t>
  </si>
  <si>
    <t>14832</t>
  </si>
  <si>
    <t>Entemanser</t>
  </si>
  <si>
    <t>Adeje</t>
  </si>
  <si>
    <t xml:space="preserve">Provides water supply and effluent management services to four municipalities in Tenerife. </t>
  </si>
  <si>
    <t>https://www.entemanser.es/</t>
  </si>
  <si>
    <t>plan provided directly by utility</t>
  </si>
  <si>
    <t>ALSO plan for Àrea Metropolitana de Barcelona</t>
  </si>
  <si>
    <t>https://www.amb.cat/en/web/medi-ambient/aigua/planificacio</t>
  </si>
  <si>
    <t>Table</t>
  </si>
  <si>
    <t>Council</t>
  </si>
  <si>
    <t>3427</t>
  </si>
  <si>
    <t>Entsorgungsbetrieb der Stadt Siegen</t>
  </si>
  <si>
    <t>Siegen</t>
  </si>
  <si>
    <t>Providing wastewater services to Siegen</t>
  </si>
  <si>
    <t>http://www.esi-siegen.de/</t>
  </si>
  <si>
    <t>2026-2030</t>
  </si>
  <si>
    <t>03.03.2026</t>
  </si>
  <si>
    <t>pp. 6-10</t>
  </si>
  <si>
    <t>https://ratsinfo.siegen.de/sdnetrim/UGhVM0hpd2NXNFdFcExjZaelL2lDCnWXBVM2dfmZ-4irissNnGTgTs5ZmSbxrpdQ/2026_Wipla_ESi_V1.xlsm.pdf</t>
  </si>
  <si>
    <t>https://ratsinfo.siegen.de/vorgang/?__=UGhVM0hpd2NXNFdFcExjZTcKtjpjp1OSofKQNVW3vOI</t>
  </si>
  <si>
    <t>3430</t>
  </si>
  <si>
    <t>Entsorgungsbetriebe Konstanz</t>
  </si>
  <si>
    <t>Konstanz</t>
  </si>
  <si>
    <t>Providing wastewater services to Konstanz</t>
  </si>
  <si>
    <t>http://www.konstanz.de/ebk/01177/01178/index.html</t>
  </si>
  <si>
    <t>Yes but - quarterly reports</t>
  </si>
  <si>
    <t>https://www.konstanz.sitzung-online.de/public/to020?6--anlagenVoHeaderPanel-attachmentsList-0-attachment-link&amp;TOLFDNR=1047235</t>
  </si>
  <si>
    <t>https://www.konstanz.sitzung-online.de/public/vo020?VOLFDNR=1014329&amp;refresh=false</t>
  </si>
  <si>
    <t>26110</t>
  </si>
  <si>
    <t>Érd és Térsége Víziközmű Kft.</t>
  </si>
  <si>
    <t>Erd</t>
  </si>
  <si>
    <t>Providing water and wastewater services to central Hungary, including Érd</t>
  </si>
  <si>
    <t>https://www.erdivizmuvek.hu</t>
  </si>
  <si>
    <t>7532</t>
  </si>
  <si>
    <t>Északmagyarországi Reg. Vízmuvek Zrt.</t>
  </si>
  <si>
    <t>Kazincbarcika</t>
  </si>
  <si>
    <t>Kazinbarcika</t>
  </si>
  <si>
    <t>Providing water and wastewater services to 79 local authories served</t>
  </si>
  <si>
    <t>http://www.ervzrt.hu</t>
  </si>
  <si>
    <t>3434</t>
  </si>
  <si>
    <t>EUV Stadtbetrieb Castrop-Rauxe</t>
  </si>
  <si>
    <t>Castrop-Rauxel</t>
  </si>
  <si>
    <t>Providing wastewater services to Castrop-Rauxel</t>
  </si>
  <si>
    <t>http://www.euv-stadtbetrieb.de/der-euv.html</t>
  </si>
  <si>
    <t>p. 52, p. 85, p. 91, 99-103, p. 150</t>
  </si>
  <si>
    <t>https://castroprauxel.gremien.info/pdf-viewer?name=V2lydHNjaGFmdHNwbGFuIEVVViAyMDI2IHZvcmzkdWZpZyAyNjExMjAyNQ==&amp;watermark=0&amp;generated=25-02-2026&amp;document=aHR0cHM6Ly9jYXN0cm9wcmF1eGVsLmdyZW1pZW4uaW5mby9hcGkucGhwP2RvY3VtZW50X3R5cGVfaWQ9MTMmZG9jdW1lbnRfcmVsYXRpb25faWQ9MzkyNDExMTAwMDY5JTdDMjAyNTExMjYxNTM3NTgtMC5wZGYlN0Mmc3VibWlzc2lvbl9hdHRhY2htZW50X2lkPTM5MjQxMTEwMDA2OSU3QzIwMjUxMTI2MTUzNzU4LTAucGRmJTdDJmlkPTY5Jmpzb249MSZwbGF0Zm9ybT13ZWImc3lzdGVtPXJpcyZkb2N1bWVudGFibGVfaWQ9MzkyNDExMTAwMDY5fDIwMjUxMTI2MTUzNzU4LTAucGRmfA==</t>
  </si>
  <si>
    <t>https://castroprauxel.gremien.info/meeting/1532</t>
  </si>
  <si>
    <t>7476</t>
  </si>
  <si>
    <t>FARYS</t>
  </si>
  <si>
    <t>Ghent</t>
  </si>
  <si>
    <t>Providing water and wastewater services to 84 municipalities in the region of Gent</t>
  </si>
  <si>
    <t>https://www.farys.be/</t>
  </si>
  <si>
    <t>6821</t>
  </si>
  <si>
    <t>Fingal County Council</t>
  </si>
  <si>
    <t>Clonsilla</t>
  </si>
  <si>
    <t>Providing water and wastewater services to Fingal County</t>
  </si>
  <si>
    <t>http://www.fingalcoco.ie/</t>
  </si>
  <si>
    <t>6517</t>
  </si>
  <si>
    <t>Fovárosi Vízmuvek Zrt.</t>
  </si>
  <si>
    <t>Budapest</t>
  </si>
  <si>
    <t>Providing water services to Budapest And Area</t>
  </si>
  <si>
    <t>http://www.vizmuvek.hu</t>
  </si>
  <si>
    <t>7035</t>
  </si>
  <si>
    <t>Galway County Council</t>
  </si>
  <si>
    <t>Galway</t>
  </si>
  <si>
    <t>Providing water and wastewater services to County Galway, excluding Galway City and Ballinasloe Urban District</t>
  </si>
  <si>
    <t>http://www.galway.ie/</t>
  </si>
  <si>
    <t>1918</t>
  </si>
  <si>
    <t>Gelsenwasser</t>
  </si>
  <si>
    <t>Gelsenkirchen</t>
  </si>
  <si>
    <t xml:space="preserve">One of the largest German utility companies, supplying power, natural gas and fresh water to residents and businesses in Germany and neighbouring countries. It supplies drinking water to 2.7 million people. </t>
  </si>
  <si>
    <t>Wasser und Gas Westfalen GmbH (92.9%) / Other shareholders (7.1%)</t>
  </si>
  <si>
    <t>https://www.gelsenwasser.de</t>
  </si>
  <si>
    <t>27156</t>
  </si>
  <si>
    <t>Girona SA</t>
  </si>
  <si>
    <t>Girona</t>
  </si>
  <si>
    <t>Manages the supply of drinking water, sanitation services, and public lighting in the municipalities of Girona and Salt.</t>
  </si>
  <si>
    <t>http://gironasa.cat/</t>
  </si>
  <si>
    <t>23688</t>
  </si>
  <si>
    <t>SIAM</t>
  </si>
  <si>
    <t>Syracuse</t>
  </si>
  <si>
    <t>Managing the Integrated Water Service for city of Syracuse, including the fractions of Belvedere, Cassibile and the bathing area south of the town.</t>
  </si>
  <si>
    <t>https://www.siamspa.it/</t>
  </si>
  <si>
    <t>3940</t>
  </si>
  <si>
    <t>ASM Vigevano e Lomellina S.p.A.</t>
  </si>
  <si>
    <t>Vigevano</t>
  </si>
  <si>
    <t>Providing water and wastewater services in 21 municipalities and wastewater service in 13 municipalities in the province of Pavia</t>
  </si>
  <si>
    <t>http://www.asmvigevano.it</t>
  </si>
  <si>
    <t>4849</t>
  </si>
  <si>
    <t>Hidrobal - Calvia, Illes Balears</t>
  </si>
  <si>
    <t>Illes Balears</t>
  </si>
  <si>
    <t>Santa Ponça</t>
  </si>
  <si>
    <t>Providing water services to Municipality of Calvia</t>
  </si>
  <si>
    <t>Compañía de Aguas de Peguera SL   / Aguas del Término de Calvia SA   / Aguas de Barcelona  [via wholly owned subsidary Hidrobal]</t>
  </si>
  <si>
    <t>https://www.hidrobal.net/</t>
  </si>
  <si>
    <t>7214</t>
  </si>
  <si>
    <t>Jelgavas Ūdens</t>
  </si>
  <si>
    <t>Latvia</t>
  </si>
  <si>
    <t>Jelgava</t>
  </si>
  <si>
    <t>Providing water and wastewater services to Jelgava City and Municipality</t>
  </si>
  <si>
    <t>http://www.ju.lv</t>
  </si>
  <si>
    <t>https://www.ju.lv/files/info_par_uznemumu/2025/Videja_termina_strategija_2025-2029.pdf?utm_source=chatgpt.com</t>
  </si>
  <si>
    <t>8793</t>
  </si>
  <si>
    <t>JVP-EURA Oy</t>
  </si>
  <si>
    <t>Finland</t>
  </si>
  <si>
    <t>Eura</t>
  </si>
  <si>
    <t>Providing wastewater services to Eura and its environs</t>
  </si>
  <si>
    <t>http://www.jvp-eura.fi/</t>
  </si>
  <si>
    <t>8967</t>
  </si>
  <si>
    <t>Kalmar Vatten AB</t>
  </si>
  <si>
    <t>Sweden</t>
  </si>
  <si>
    <t>Kalmar</t>
  </si>
  <si>
    <t>Providing water and wastewater services to Kemi and its environs</t>
  </si>
  <si>
    <t>https://www.kalmarvatten.se/</t>
  </si>
  <si>
    <t>6749</t>
  </si>
  <si>
    <t>Kauno Vandenys</t>
  </si>
  <si>
    <t>Lithuania</t>
  </si>
  <si>
    <t>Kaunus</t>
  </si>
  <si>
    <t>Providing water and wastewater services to Kaunas municipality</t>
  </si>
  <si>
    <t>http://www.kaunovandenys.lt</t>
  </si>
  <si>
    <t>3450</t>
  </si>
  <si>
    <t>Kemptener Kommunalunternehmen</t>
  </si>
  <si>
    <t>Bavaria</t>
  </si>
  <si>
    <t>Kempten (Allgäu)</t>
  </si>
  <si>
    <t>Providing water and wastewater services to Kempten</t>
  </si>
  <si>
    <t>http://www.kku-kempten.de/m_start.php</t>
  </si>
  <si>
    <t>https://ratsinfo.kempten.de/bi/suchen01.php</t>
  </si>
  <si>
    <t>7094</t>
  </si>
  <si>
    <t>Kerry County Council</t>
  </si>
  <si>
    <t>Tralee</t>
  </si>
  <si>
    <t>Providing water and wastewater services to Kerry County</t>
  </si>
  <si>
    <t>http://www.kerrycoco.ie/</t>
  </si>
  <si>
    <t>6973</t>
  </si>
  <si>
    <t>Kildare County Council</t>
  </si>
  <si>
    <t>Naas</t>
  </si>
  <si>
    <t>Providing water and wastewater services to County Kildare</t>
  </si>
  <si>
    <t>http://kildare.ie/countycouncil/index.html</t>
  </si>
  <si>
    <t>7309</t>
  </si>
  <si>
    <t>Kilkenny County Council</t>
  </si>
  <si>
    <t>Kilkenny</t>
  </si>
  <si>
    <t>Providing water and wastewater services to County Kilkenny</t>
  </si>
  <si>
    <t>http://www.kilkennycoco.ie/</t>
  </si>
  <si>
    <t>3451</t>
  </si>
  <si>
    <t>Kommunale Betriebe Nordhorn AöR</t>
  </si>
  <si>
    <t>Nordhorn</t>
  </si>
  <si>
    <t>Providing wastewater services to Nordhorn</t>
  </si>
  <si>
    <t>http://www.nordhorn.de/staticsite/staticsite.php?menuid=1821&amp;topmenu=127</t>
  </si>
  <si>
    <t>6777</t>
  </si>
  <si>
    <t>Korösi Vagyonkezelo Zrt.</t>
  </si>
  <si>
    <t>Nagykorös</t>
  </si>
  <si>
    <t>Nagykőrös</t>
  </si>
  <si>
    <t>Providing water and wastewater services to County</t>
  </si>
  <si>
    <t>http://www.kovart.hu</t>
  </si>
  <si>
    <t>3452</t>
  </si>
  <si>
    <t>Landeshauptsadt Kiel</t>
  </si>
  <si>
    <t>Schleswig-Holstein</t>
  </si>
  <si>
    <t>Kiel</t>
  </si>
  <si>
    <t>Providing wastewater services to Kiel</t>
  </si>
  <si>
    <t>http://www.kiel.de/rathaus/service/_organisationseinheit.php?id=9034020</t>
  </si>
  <si>
    <t>7298</t>
  </si>
  <si>
    <t>Laois County Council</t>
  </si>
  <si>
    <t>Portlaoise</t>
  </si>
  <si>
    <t>Providing water and wastewater services to County Laois</t>
  </si>
  <si>
    <t>http://www.laois.ie/</t>
  </si>
  <si>
    <t>8825</t>
  </si>
  <si>
    <t>Lapinlahden Kaskihovi Oy</t>
  </si>
  <si>
    <t>Lapinlahti</t>
  </si>
  <si>
    <t>Providing water and wastewater services to the municipality of Lapinlahti</t>
  </si>
  <si>
    <t>https://kaskihovi.fi/</t>
  </si>
  <si>
    <t>7482</t>
  </si>
  <si>
    <t>Lemesos Sewerage Board</t>
  </si>
  <si>
    <t>Cyprus</t>
  </si>
  <si>
    <t>Limassol</t>
  </si>
  <si>
    <t>Providing wastewater services to Municipalities of Lemesos, Mesa Geitonia, Kato Polemidia and Ayios Athanasios</t>
  </si>
  <si>
    <t>http://www.sbla.com.cy/</t>
  </si>
  <si>
    <t>7354</t>
  </si>
  <si>
    <t>Limerick City Council</t>
  </si>
  <si>
    <t>Limerick</t>
  </si>
  <si>
    <t>Providing water and wastewater services to Limerick City</t>
  </si>
  <si>
    <t>http://www.limerickcity.ie/</t>
  </si>
  <si>
    <t>7272</t>
  </si>
  <si>
    <t>Limerick County Council</t>
  </si>
  <si>
    <t>Dooradoyle</t>
  </si>
  <si>
    <t>Providing water and wastewater services to Limerick County</t>
  </si>
  <si>
    <t>http://www.lcc.ie/</t>
  </si>
  <si>
    <t>27154</t>
  </si>
  <si>
    <t>Linaqua</t>
  </si>
  <si>
    <t>Manages the water cycle of the City of Linares.</t>
  </si>
  <si>
    <t>https://www.linaqua.es</t>
  </si>
  <si>
    <t>7143</t>
  </si>
  <si>
    <t>Louth County Council</t>
  </si>
  <si>
    <t>Dundalk</t>
  </si>
  <si>
    <t>Providing water and wastewater services to County Louth</t>
  </si>
  <si>
    <t>http://www.louthcoco.ie/</t>
  </si>
  <si>
    <t>3455</t>
  </si>
  <si>
    <t>Ludwigshafen Stadt am Rhein - mostly came up w chair tenders so did NOT extract all potential options</t>
  </si>
  <si>
    <t>Rhineland-Palatinate</t>
  </si>
  <si>
    <t>Ludwigshafen</t>
  </si>
  <si>
    <t>Providing wastewater services to Ludwigshafen</t>
  </si>
  <si>
    <t>http://www.ludwigshafen.de/buergerservice/dienstleistungen-a-z/detail/services-detail/abwasser-und-grundstuecksentwaesserung/</t>
  </si>
  <si>
    <t>6872</t>
  </si>
  <si>
    <t>Mariborski Vodovod</t>
  </si>
  <si>
    <t>Slovenia</t>
  </si>
  <si>
    <t>Maribor</t>
  </si>
  <si>
    <t>Providing water and wastewater services to 17 municipalities including city of Maribor</t>
  </si>
  <si>
    <t>https://www.mb-vodovod.si</t>
  </si>
  <si>
    <t>7229</t>
  </si>
  <si>
    <t>Mayo County Council</t>
  </si>
  <si>
    <t>Castlebar</t>
  </si>
  <si>
    <t>Providing water and wastewater services to County Mayo</t>
  </si>
  <si>
    <t>http://www.mayococo.ie/</t>
  </si>
  <si>
    <t>7323</t>
  </si>
  <si>
    <t>Mažeikių vandenys</t>
  </si>
  <si>
    <t>Mažeikiai</t>
  </si>
  <si>
    <t>Providing water and wastewater services to Mažeikiai District Municipality</t>
  </si>
  <si>
    <t>http://www.mvandenys.lt</t>
  </si>
  <si>
    <t>7011</t>
  </si>
  <si>
    <t>Meath County Council</t>
  </si>
  <si>
    <t>Navan</t>
  </si>
  <si>
    <t>Providing water and wastewater services to County Meath</t>
  </si>
  <si>
    <t>http://www.meath.ie/</t>
  </si>
  <si>
    <t>7526</t>
  </si>
  <si>
    <t>Municipal Company of Water Supply and Sewage System Rhodes</t>
  </si>
  <si>
    <t>Greece</t>
  </si>
  <si>
    <t>Rhodes</t>
  </si>
  <si>
    <t>Providing water and wastewater services to the municipality of Rhodes</t>
  </si>
  <si>
    <t>http://www.deyar.gr/</t>
  </si>
  <si>
    <t>7071</t>
  </si>
  <si>
    <t>Municipal Enterprise for Water - Sewage Greater Volos</t>
  </si>
  <si>
    <t>Volos</t>
  </si>
  <si>
    <t>Providing water and wastewater services to the municipalities of Volos, Nea Ionia and Aisonia</t>
  </si>
  <si>
    <t>http://www.deyamv.gr</t>
  </si>
  <si>
    <t>7527</t>
  </si>
  <si>
    <t>Municipal Water Supply and Sewage of Chania</t>
  </si>
  <si>
    <t>Chania</t>
  </si>
  <si>
    <t>Providing water and wastewater services to Chania Region</t>
  </si>
  <si>
    <t>http://www.deyax.org.gr/</t>
  </si>
  <si>
    <t>7528</t>
  </si>
  <si>
    <t>Municipal Water Supply and Sewerage Tripoli</t>
  </si>
  <si>
    <t>Tripoli</t>
  </si>
  <si>
    <t>Providing water and wastewater services to the municipality of Tripoli</t>
  </si>
  <si>
    <t>http://www.deyatrip.gr/</t>
  </si>
  <si>
    <t>8869</t>
  </si>
  <si>
    <t>Narvik Vann</t>
  </si>
  <si>
    <t>Norway</t>
  </si>
  <si>
    <t>Narvik</t>
  </si>
  <si>
    <t>https://narvikvann.no</t>
  </si>
  <si>
    <t>3960</t>
  </si>
  <si>
    <t>Servizi Idrici Integrati Salernitani S.c.a.r.l.</t>
  </si>
  <si>
    <t>Salerno</t>
  </si>
  <si>
    <t>Providing water and wastewater services in the ATO Sele</t>
  </si>
  <si>
    <t>http://www.siis-idro.it</t>
  </si>
  <si>
    <t>3961</t>
  </si>
  <si>
    <t>ASM Voghera S.p.A.</t>
  </si>
  <si>
    <t>Voghera</t>
  </si>
  <si>
    <t>Providing water and wastewater services in 34 municipalities</t>
  </si>
  <si>
    <t>http://www.asmvoghera.it</t>
  </si>
  <si>
    <t>7031</t>
  </si>
  <si>
    <t>Orkuveita Reykjavikur</t>
  </si>
  <si>
    <t>Iceland</t>
  </si>
  <si>
    <t>Reykjavik</t>
  </si>
  <si>
    <t>Providing water and wastewater services to Reykjavik, Akraneskaupstaður and Borgarbyggd</t>
  </si>
  <si>
    <t>http://www.or.is/</t>
  </si>
  <si>
    <t>3528</t>
  </si>
  <si>
    <t>Stadtwerke Erftstadt</t>
  </si>
  <si>
    <t>Erftstadt-Lechenich</t>
  </si>
  <si>
    <t>Providing water and wastewater services to Erftstadt</t>
  </si>
  <si>
    <t>http://www.stw-erftstadt.de</t>
  </si>
  <si>
    <t>2025-2030</t>
  </si>
  <si>
    <t>pp. 29-30</t>
  </si>
  <si>
    <t>https://ratsinfo.erftstadt.de/sdnetrim/UGhVM0hpd2NXNFdFcExjZSmJODTXu0-2tyKtNBG9-hWMK6-K02GYMDtxjP2imAr8/8._Fortschreibung_ABEKO_2025-2030.pdf</t>
  </si>
  <si>
    <t>https://ratsinfo.erftstadt.de/vorgang/?__=UGhVM0hpd2NXNFdFcExjZTdtFsgiB1e3osMVFTCvbFI</t>
  </si>
  <si>
    <t>8845</t>
  </si>
  <si>
    <t>Porsgrunn kommune</t>
  </si>
  <si>
    <t>Porsgrunn</t>
  </si>
  <si>
    <t>http://www.porsgrunn.kommune.no/</t>
  </si>
  <si>
    <t>7081</t>
  </si>
  <si>
    <t>Razgrad ViK</t>
  </si>
  <si>
    <t>Bulgaria</t>
  </si>
  <si>
    <t>Razgrad</t>
  </si>
  <si>
    <t>Providing water and wastewater services to Razgrad region</t>
  </si>
  <si>
    <t>http://www.dunav-rz.com/</t>
  </si>
  <si>
    <t>3459</t>
  </si>
  <si>
    <t>Regionale Wasser- und Abwassergesellschaft Stralsund mbh</t>
  </si>
  <si>
    <t>Mecklenburg-Vorpommern</t>
  </si>
  <si>
    <t>Stralsund</t>
  </si>
  <si>
    <t>Providing water and wastewater services to Stralsund, as well as 26 municipalities in the district of Vorpommern-Rügen</t>
  </si>
  <si>
    <t>http://www.rewa-stralsund.info/</t>
  </si>
  <si>
    <t>https://webris.stralsund.de/buergerinfo/getfile.asp?id=52931&amp;type=do</t>
  </si>
  <si>
    <t>https://webris.stralsund.de/buergerinfo/to0050.asp?__ktonr=24827</t>
  </si>
  <si>
    <t>3559</t>
  </si>
  <si>
    <t>Stadtwerke Wolfenbüttel</t>
  </si>
  <si>
    <t>Wolfenbüttel</t>
  </si>
  <si>
    <t>Providing water and wastewater services to Wolfenbüttel</t>
  </si>
  <si>
    <t>City of Wolfenbüttel (74%)  / E.ON Avacon (26%)</t>
  </si>
  <si>
    <t>http://www.stadtwerke-wf.de</t>
  </si>
  <si>
    <t>Yes BUT - only drainage</t>
  </si>
  <si>
    <t>https://ris.wf.de/bi/getfile.asp?id=145517&amp;type=do</t>
  </si>
  <si>
    <t>https://ris.wf.de/bi/vo0050.asp?__kvonr=6754</t>
  </si>
  <si>
    <t>7407</t>
  </si>
  <si>
    <t>Roscommon County Council</t>
  </si>
  <si>
    <t>Roscommon</t>
  </si>
  <si>
    <t>Providing water and wastewater services to County Roscommon</t>
  </si>
  <si>
    <t>http://www.roscommoncoco.ie/</t>
  </si>
  <si>
    <t>3462</t>
  </si>
  <si>
    <t>SE Langenhagen</t>
  </si>
  <si>
    <t>Stadtentwässerung Langenhagen</t>
  </si>
  <si>
    <t>Langenhagen</t>
  </si>
  <si>
    <t>Providing wastewater services to Langenhagen</t>
  </si>
  <si>
    <t>http://www.se-langenhagen.de/</t>
  </si>
  <si>
    <t>p. 31</t>
  </si>
  <si>
    <t>https://www.langenhagen.sitzung-online.de/public/wicket/resource/org.apache.wicket.Application/doc2411594.pdf</t>
  </si>
  <si>
    <t>https://www.langenhagen.sitzung-online.de/public/vo020?VOLFDNR=2002449&amp;refresh=false</t>
  </si>
  <si>
    <t>3463</t>
  </si>
  <si>
    <t>SEHi - Stadtentwässerung Hildesheim</t>
  </si>
  <si>
    <t>Hildesheim</t>
  </si>
  <si>
    <t>Providing wastewater services to Hildesheim</t>
  </si>
  <si>
    <t>http://www.sehi-hildesheim.de/abwasserreinigung.html</t>
  </si>
  <si>
    <t>3464</t>
  </si>
  <si>
    <t>Servicebetriebe Neuwied AöR</t>
  </si>
  <si>
    <t>Neuwied</t>
  </si>
  <si>
    <t>Providing wastewater services to Neuweid</t>
  </si>
  <si>
    <t>http://www.sbn-neuwied.de/jsp/epctrl.jsp;jsessionid=0C5ECD3709A851BF1D799195669262E1?mod=servicen000020&amp;cat=servicen000020&amp;pri=servicen</t>
  </si>
  <si>
    <t>Yes BUT - only for one year</t>
  </si>
  <si>
    <t>https://sessionnet.owl-it.de/kreis_neuwied/bi/suchen01.asp</t>
  </si>
  <si>
    <t>4824</t>
  </si>
  <si>
    <t>Servicio Municipal de Aguas de Vélez-Málaga</t>
  </si>
  <si>
    <t>Vélez-Málaga</t>
  </si>
  <si>
    <t>Providing water and wastewater services to Municipality of Vélez-Málaga</t>
  </si>
  <si>
    <t>FCC Aqualia (100%)</t>
  </si>
  <si>
    <t>https://www.aqualia.com/es/web/aqualia-velez-malaga</t>
  </si>
  <si>
    <t>6953</t>
  </si>
  <si>
    <t>Shumen ViK</t>
  </si>
  <si>
    <t>Shumen</t>
  </si>
  <si>
    <t>Providing water and wastewater services to Shumen region</t>
  </si>
  <si>
    <t>https://vik-shumen.net</t>
  </si>
  <si>
    <t>7324</t>
  </si>
  <si>
    <t>Sligo County Council</t>
  </si>
  <si>
    <t>Sligo</t>
  </si>
  <si>
    <t>Providing water and wastewater services to County Sligo</t>
  </si>
  <si>
    <t>http://www.sligococo.ie/</t>
  </si>
  <si>
    <t>6859</t>
  </si>
  <si>
    <t>Sliven ViK</t>
  </si>
  <si>
    <t>Sliven</t>
  </si>
  <si>
    <t>Providing water and wastewater services to Sliven region</t>
  </si>
  <si>
    <t>http://vik.sliven.net</t>
  </si>
  <si>
    <t>8863</t>
  </si>
  <si>
    <t>Sondre Follo Renseanlegg IKS</t>
  </si>
  <si>
    <t>Vestby </t>
  </si>
  <si>
    <t>http://sfrens.no</t>
  </si>
  <si>
    <t>6836</t>
  </si>
  <si>
    <t>South Dublin County Council</t>
  </si>
  <si>
    <t>Dublin</t>
  </si>
  <si>
    <t>Providing water and wastewater services to South Dublin, not including central city</t>
  </si>
  <si>
    <t>http://www.sdublincoco.ie/</t>
  </si>
  <si>
    <t>7249</t>
  </si>
  <si>
    <t>South Tipperary County Council</t>
  </si>
  <si>
    <t>Clonmel</t>
  </si>
  <si>
    <t>Providing water and wastewater services to South Tipperary</t>
  </si>
  <si>
    <t>http://www.southtippcoco.ie/</t>
  </si>
  <si>
    <t>3465</t>
  </si>
  <si>
    <t>Stadt Ahlen Abwasserwerk</t>
  </si>
  <si>
    <t>Ahlen</t>
  </si>
  <si>
    <t>Providing wastewater services to Ahlen</t>
  </si>
  <si>
    <t>http://www.ahlen.de/bauen/abwasserwerk/</t>
  </si>
  <si>
    <t>3466</t>
  </si>
  <si>
    <t>Stadt Aschaffenburg</t>
  </si>
  <si>
    <t>Aschaffenburg</t>
  </si>
  <si>
    <t>Providing wastewater services to Aschaffenburg</t>
  </si>
  <si>
    <t>http://www.aschaffenburg.de/de/Verwaltung/Dienststellen_von_AZ/Tiefbauamt/Sachgebiet_Klaerwerk/normal/fgac/index.html</t>
  </si>
  <si>
    <t>3467</t>
  </si>
  <si>
    <t>Stadt Bad Homburg</t>
  </si>
  <si>
    <t>Bad Homburg vor der Höhe</t>
  </si>
  <si>
    <t>Providing wastewater services to Bad-Homburg</t>
  </si>
  <si>
    <t>http://www.bad-homburg.de</t>
  </si>
  <si>
    <t>830</t>
  </si>
  <si>
    <t>Isabelle</t>
  </si>
  <si>
    <t>Acea Ato 2</t>
  </si>
  <si>
    <t>Acea Ato 2 (Central Lazio-Rome)</t>
  </si>
  <si>
    <t>Roma</t>
  </si>
  <si>
    <t>Acea Ato 2 entirely manages the integrated water service in 96 municipalities in the Optimum Area 2 of Central Lazio - Rome (in 79 municipalities entirely and in 17 municipalities, partially one or more services)</t>
  </si>
  <si>
    <t>Acea SpA (96.46%)  / Public shareholders (3.54%)</t>
  </si>
  <si>
    <t>https://www.gruppo.acea.it/al-servizio-delle-persone/acqua/acea-ato-2</t>
  </si>
  <si>
    <t>151-188</t>
  </si>
  <si>
    <t>https://www.aceaato2.a-acqua.it/content/dam/acea-ato2/pdf/it/societ%C3%A0-trasparente/08_Relazione%20di%20accompagnamento%20PdI%2024-29_post%20istruttoria%20ARERA%20DEF.pdf</t>
  </si>
  <si>
    <t>3469</t>
  </si>
  <si>
    <t>Stadt Baden-Baden</t>
  </si>
  <si>
    <t>Baden-Baden</t>
  </si>
  <si>
    <t>Providing wastewater services to Baden-Baden</t>
  </si>
  <si>
    <t>http://www.baden-baden.de/de/buergerservice/c/content/contentstadt/lebenslage/verfahren/00045/index.html&amp;nav=l556</t>
  </si>
  <si>
    <t>Not yet - tried q hard</t>
  </si>
  <si>
    <t>https://baden-baden.gremien.info/search?suchbegriffe=abwasser&amp;datum_von=2024-01-01&amp;datum_bis=2026-12-14&amp;kriterium=si&amp;entry=0</t>
  </si>
  <si>
    <t>3471</t>
  </si>
  <si>
    <t>Stadt Bayreuth</t>
  </si>
  <si>
    <t>Bayreuth</t>
  </si>
  <si>
    <t>Providing wastewater services to Bayreuth</t>
  </si>
  <si>
    <t>http://www.bayreuth.de/rathaus_buerger_service/umwelt_energie/neue_abwassergebuehr_1193.html</t>
  </si>
  <si>
    <t>3460</t>
  </si>
  <si>
    <t>Technische Betriebe Remscheid</t>
  </si>
  <si>
    <t>Remscheid</t>
  </si>
  <si>
    <t>Providing wastewater services to Remscheid </t>
  </si>
  <si>
    <t>http://www.tbr-info.de/</t>
  </si>
  <si>
    <t>pp. 36-42</t>
  </si>
  <si>
    <t>https://sessionnet.owl-it.de/remscheid/bi/getfile.asp?id=303472&amp;type=do</t>
  </si>
  <si>
    <t>Perhaps no Klaeranlagen</t>
  </si>
  <si>
    <t>https://sessionnet.owl-it.de/remscheid/bi/si0057.asp?__ksinr=6396&amp;toselect=120568</t>
  </si>
  <si>
    <t>3475</t>
  </si>
  <si>
    <t>Stadt Dinslaken</t>
  </si>
  <si>
    <t>Dinslaken</t>
  </si>
  <si>
    <t>Providing wastewater services to Dinslaken</t>
  </si>
  <si>
    <t>https://www.dinslaken.de/C12576A4003702FE/html/B08F1CED5AF1C938C12576A4004B6185?opendocument</t>
  </si>
  <si>
    <t>3476</t>
  </si>
  <si>
    <t>Stadt Erlangen</t>
  </si>
  <si>
    <t>Entwässerungsbetrieb der Stadt Erlangen</t>
  </si>
  <si>
    <t>Erlangen</t>
  </si>
  <si>
    <t>Providing wastewater services to Erlangen and surrounding districts</t>
  </si>
  <si>
    <t>http://www.erlangen.de/desktopdefault.aspx/tabid-1271/</t>
  </si>
  <si>
    <t>pp. 21-22 - NB pg 23 = Verpflichtungsermächtigungen</t>
  </si>
  <si>
    <t>https://ratsinfo.erlangen.de/getfile.asp?id=18280346&amp;type=do</t>
  </si>
  <si>
    <t>https://ratsinfo.erlangen.de/to0050.asp?__ktonr=5071593</t>
  </si>
  <si>
    <r>
      <t xml:space="preserve">p. 20, p. 24-31  (desc) - already incorporated </t>
    </r>
    <r>
      <rPr>
        <b/>
        <sz val="11"/>
        <rFont val="Aptos Narrow"/>
        <family val="2"/>
        <scheme val="minor"/>
      </rPr>
      <t>no need for AI desc</t>
    </r>
  </si>
  <si>
    <t>3575</t>
  </si>
  <si>
    <t>Wasserverband Eifel-Rur</t>
  </si>
  <si>
    <t>Düren</t>
  </si>
  <si>
    <t>Providing water and wastewater services to Rur-Eifel region</t>
  </si>
  <si>
    <t>Municipalities, counties, water-use and effluent-discharging commercial establishments, water utilities</t>
  </si>
  <si>
    <t>http://www.wver.de/aktuelles/presse/druckschriften_broschueren/wver-info-englisch_pdf.php</t>
  </si>
  <si>
    <t>Sort of: ABK</t>
  </si>
  <si>
    <t>https://sessionnet.owl-it.de/dueren/bi/vo0050.asp?__kvonr=14107252&amp;smcspf=4</t>
  </si>
  <si>
    <t>3478</t>
  </si>
  <si>
    <t>Stadt Esslingen am Neckar</t>
  </si>
  <si>
    <t>Esslingen am Neckar</t>
  </si>
  <si>
    <t>Providing wastewater services to Esslingen am Neckar</t>
  </si>
  <si>
    <t>http://www.esslingen.de/,Lde/start/es_services/Aemterliste+A_Z.html?amtsID=906813</t>
  </si>
  <si>
    <t>3479</t>
  </si>
  <si>
    <t>Stadt Eurskirchen</t>
  </si>
  <si>
    <t>Euskirchen</t>
  </si>
  <si>
    <t>Providing wastewater services to Euskirchen</t>
  </si>
  <si>
    <t>http://www.euskirchen.de/index.php?id=2246</t>
  </si>
  <si>
    <t>3482</t>
  </si>
  <si>
    <t>Stadt Göppingen</t>
  </si>
  <si>
    <t>Göppingen</t>
  </si>
  <si>
    <t>Providing wastewater services to Göppingen</t>
  </si>
  <si>
    <t>http://www.goeppingen.de/,Lde/start/Buergerservice/Verfahrensbeschreibung.html?vtid=1882995&amp;vtmid=0</t>
  </si>
  <si>
    <t>No - no info on ratsinfo</t>
  </si>
  <si>
    <t>3485</t>
  </si>
  <si>
    <t>Stadt Hanau-Abwasserbeseitigung und Hochwasserschutz</t>
  </si>
  <si>
    <t>Eigenbetriebs Hanau Infrasktruktur Service</t>
  </si>
  <si>
    <t>Hanau</t>
  </si>
  <si>
    <t>Providing wastewater services to Hanau</t>
  </si>
  <si>
    <t>http://www.hanau.de/lih/umwelt/wasser/019597/index.html</t>
  </si>
  <si>
    <t>Investitionen sheet</t>
  </si>
  <si>
    <t>https://www.sitzungsdienst-hanau.de/bi/___tmp/tmp/45081036/EcKwb2lv7SpxWyMOMEQoR9RpYhS2M8mOfNkasbtx/jXeudKQJ/43-Anlagen/01/Wirtschaftsplan2026mitAnlagen.xlsx</t>
  </si>
  <si>
    <t>https://www.sitzungsdienst-hanau.de/bi/vo020.asp?VOLFDNR=14873</t>
  </si>
  <si>
    <t>Excel</t>
  </si>
  <si>
    <t>3487</t>
  </si>
  <si>
    <t>Stadt Hilden</t>
  </si>
  <si>
    <t>Hilden</t>
  </si>
  <si>
    <t>Providing wastewater services to Hilden</t>
  </si>
  <si>
    <t>http://www.hilden.de</t>
  </si>
  <si>
    <t>3867</t>
  </si>
  <si>
    <t>Isabelle &amp; Emma</t>
  </si>
  <si>
    <t>AcegasApsAmga</t>
  </si>
  <si>
    <t>Trieste</t>
  </si>
  <si>
    <t>Providing water and wastewater services in the areas of Trieste, Padova and Saccisica</t>
  </si>
  <si>
    <t>Hera SpA (100%)</t>
  </si>
  <si>
    <t>http://www.acegasapsamga.it/</t>
  </si>
  <si>
    <t>All pages</t>
  </si>
  <si>
    <t>https://www.ausir.fvg.it/media/files/A00411/attachment/All._C_AAA_PdI_24-29.pdf</t>
  </si>
  <si>
    <t>3491</t>
  </si>
  <si>
    <t>Stadt Marl</t>
  </si>
  <si>
    <t>Marl</t>
  </si>
  <si>
    <t>Providing wastewater services to Marl</t>
  </si>
  <si>
    <t>http://www.marl.de/zbh/geschaeftsfelder/stadtentwaesserung/abwasser.html</t>
  </si>
  <si>
    <t>901</t>
  </si>
  <si>
    <t>Aguas de Valencia</t>
  </si>
  <si>
    <t>Entidad Pública de Saneamiento de Aguas Residuales de la Comunidad Valenciana</t>
  </si>
  <si>
    <t>Entity for Wastewater Sanitation of the Valencian Community</t>
  </si>
  <si>
    <t>EPSAR; Augas de Valencia</t>
  </si>
  <si>
    <t>Subsidiary of  Global Omnium, Aguas de Valenciasupplies water and wastewater services to the region of Valencia.</t>
  </si>
  <si>
    <t xml:space="preserve">www.aguasdevalencia.es </t>
  </si>
  <si>
    <t>3493</t>
  </si>
  <si>
    <t>Stadt Menden</t>
  </si>
  <si>
    <t>Menden</t>
  </si>
  <si>
    <t>Providing wastewater services to Menden</t>
  </si>
  <si>
    <t>http://www.menden.de/lim/ue/se/wu/117130100000079829.php</t>
  </si>
  <si>
    <t>FOULL</t>
  </si>
  <si>
    <t>https://sessionnet.owl-it.de/menden/bi/getfile.asp?id=234713&amp;type=do</t>
  </si>
  <si>
    <t>https://sessionnet.owl-it.de/menden/bi/to0050.asp?__ktonr=141248</t>
  </si>
  <si>
    <t>3494</t>
  </si>
  <si>
    <t>Stadt Mülheim an der Ruhr</t>
  </si>
  <si>
    <t>Mülheim an der Ruhr</t>
  </si>
  <si>
    <t>Providing wastewater services to Mülheim an der Ruhr</t>
  </si>
  <si>
    <t>http://www.muelheim-ruhr.de/cms/abwasserbeseitigung.html</t>
  </si>
  <si>
    <t>3497</t>
  </si>
  <si>
    <t>Stadt Norderstedt</t>
  </si>
  <si>
    <t>Norderstedt</t>
  </si>
  <si>
    <t>Providing wastewater services to Norderstedt</t>
  </si>
  <si>
    <t>http://www.norderstedt.de/Leben-Wohnen/Wohnen/Ver-und-Entsorgung/Abwasser</t>
  </si>
  <si>
    <t>3498</t>
  </si>
  <si>
    <t>Stadt Passau</t>
  </si>
  <si>
    <t>Passau</t>
  </si>
  <si>
    <t>Providing wastewater services to Passau</t>
  </si>
  <si>
    <t>http://www.passau.de/Stadt,Buerger-Politik/Buerger-Info/Stadtverwaltung/Behoerdenwegweiser.aspx?view=~/kxp/orgdata/default&amp;orgid=efe5e525-6f50-42dd-9fef-77f405950271</t>
  </si>
  <si>
    <t>same as Koeln</t>
  </si>
  <si>
    <t>3499</t>
  </si>
  <si>
    <t>Stadt Reutilingen</t>
  </si>
  <si>
    <t>Reutlingen</t>
  </si>
  <si>
    <t>Providing wastewater services to Reutlingen</t>
  </si>
  <si>
    <t>http://www.reutlingen.de/746?id=585&amp;item=service&amp;view=publish</t>
  </si>
  <si>
    <t>7006</t>
  </si>
  <si>
    <t>Águas do Porto</t>
  </si>
  <si>
    <t>Porto</t>
  </si>
  <si>
    <t>Providing water and wastewater services to the municipality of Porto.</t>
  </si>
  <si>
    <t>https://aguasdoporto.pt/informacao-legal/instrumentos-de-gestao-previsional</t>
  </si>
  <si>
    <t>p29</t>
  </si>
  <si>
    <t>no project-based investment, only sector-based</t>
  </si>
  <si>
    <t>3503</t>
  </si>
  <si>
    <t>Stadt Waiblingen</t>
  </si>
  <si>
    <t>Waiblingen</t>
  </si>
  <si>
    <t>Providing wastewater services to Waiblingen</t>
  </si>
  <si>
    <t>http://www.waiblingen.de</t>
  </si>
  <si>
    <t>pp.22 (desc broken down p. 23-24), p. 25-30 (desc broken down p. 31), p. 41 (desc broken down p. 42-43), p. 44 (desc broken down p. 44-45), p. 46 (desc broken down p. 46)</t>
  </si>
  <si>
    <t>https://sessionnet.waiblingen.de/bi/getfile.asp?id=34156&amp;type=do</t>
  </si>
  <si>
    <t>3505</t>
  </si>
  <si>
    <t>Stadt Willich</t>
  </si>
  <si>
    <t>Willich</t>
  </si>
  <si>
    <t>Providing wastewater services to Willich</t>
  </si>
  <si>
    <t>http://www.stadt-willich.de</t>
  </si>
  <si>
    <t>Águas do Tejo Atlântico</t>
  </si>
  <si>
    <t>Lisboa</t>
  </si>
  <si>
    <t>A subsidiary of Águas de Portugal providing wastewater collection and treatment services to the Greater Lisbon and Oeste regions. The utility was formed in 2017, taking over services previously operated by Sanest, Simtejo and Águas do Oeste.</t>
  </si>
  <si>
    <t>Águas de Portugal (50.68%) / Local municipalities (49.32%)</t>
  </si>
  <si>
    <t xml:space="preserve">https://www.aguasdotejoatlantico.adp.pt/ </t>
  </si>
  <si>
    <t>2025-2027</t>
  </si>
  <si>
    <t>56-57</t>
  </si>
  <si>
    <t>https://www.aguasdotejoatlantico.adp.pt/sites/aguasdotejoatlantico.adp.pt/files/paginas_base/s_empresa/financeira/plano_de_atividades_e_orcamento_pao_2025.pdf</t>
  </si>
  <si>
    <t>3508</t>
  </si>
  <si>
    <t>Stadtbetriebe Unna</t>
  </si>
  <si>
    <t>Unna</t>
  </si>
  <si>
    <t>Providing wastewater services to Unna</t>
  </si>
  <si>
    <t>http://www.sb-unna.de/</t>
  </si>
  <si>
    <t>Not yet - requested 26/02/2026 w fragdenstaat</t>
  </si>
  <si>
    <t>3513</t>
  </si>
  <si>
    <t>Stadtentwässerung Fürth</t>
  </si>
  <si>
    <t>Fürth</t>
  </si>
  <si>
    <t>Providing wastewater services to Fürth, Obermichelbach, Rothenberg and Zirndorf</t>
  </si>
  <si>
    <t>http://www.fuerth.de/desktopdefault.aspx/tabid-939/1577_read-21191/</t>
  </si>
  <si>
    <t>3514</t>
  </si>
  <si>
    <t>Stadtentwässerung Grevenbroich</t>
  </si>
  <si>
    <t>Grevenbroich</t>
  </si>
  <si>
    <t>Providing wastewater services to Grevenbroich</t>
  </si>
  <si>
    <t>http://stadtentwaesserung-gv.de/</t>
  </si>
  <si>
    <t>3304</t>
  </si>
  <si>
    <t>Stadtwerke Essen AG</t>
  </si>
  <si>
    <t>Essen</t>
  </si>
  <si>
    <t>Providing water and wastewater services to Essen</t>
  </si>
  <si>
    <t>City of Essen (51%)  / RWE AG (29%)  / Thüga AG (20%)</t>
  </si>
  <si>
    <t>http://www.stadtwerke-essen.de/</t>
  </si>
  <si>
    <t>Yes but - Abwasserbeseitigungskonzept 2026-2031</t>
  </si>
  <si>
    <t>https://ris.essen.de/vorgang/?__=UGhVM0hpd2NXNFdFcExjZUm2QOmYB1O9-dEr61sD3Hc</t>
  </si>
  <si>
    <t>Yes????</t>
  </si>
  <si>
    <t>3520</t>
  </si>
  <si>
    <t>Stadtverwaltung Schwäbisch Gmünd- Eigenbetrieb Stadtentwässerung</t>
  </si>
  <si>
    <t>Schwäbisch Gmünd</t>
  </si>
  <si>
    <t>Providing wastewater services to Schwäbisch Gmünd</t>
  </si>
  <si>
    <t>http://www.schwaebisch-gmuend.de/4790.php</t>
  </si>
  <si>
    <t>https://bi.schwaebisch-gmuend.de/to0050.asp?__ktonr=59662</t>
  </si>
  <si>
    <t>27931</t>
  </si>
  <si>
    <t>Stadtwerke Bad Belzig</t>
  </si>
  <si>
    <t>Brandenburg</t>
  </si>
  <si>
    <t>A multi-utility established in 2023 covering water, wastewater, district heating and gas in the town of Bad Belzig. The utility is a joint venture with Remondis which already operated the town's water treatment plant under a contract from 2010 (ext. 2023-2026).</t>
  </si>
  <si>
    <t>Bad Belzig municipality (51%) / Remondis (49%)</t>
  </si>
  <si>
    <t>https://www.stadtwerke-bad-belzig.de/</t>
  </si>
  <si>
    <t>3539</t>
  </si>
  <si>
    <t>Stadtwerke Kiel</t>
  </si>
  <si>
    <t>Is a utility based in the city of Kiel, Germany, which provides drinking water and wastewater collection alongside electricity, gas and heating services.</t>
  </si>
  <si>
    <t>MVV Energie AG (51%)  / City of Kiel (49%)</t>
  </si>
  <si>
    <t>https://www.stadtwerke-kiel.de/swk/de/index.jsp</t>
  </si>
  <si>
    <t>3541</t>
  </si>
  <si>
    <t>Stadtwerke Landshut</t>
  </si>
  <si>
    <t>Landshut</t>
  </si>
  <si>
    <t>Providing water and wastewater services to Landshut</t>
  </si>
  <si>
    <t>http://www.stadtwerke-landshut.de/produkte-leistungen/wasser.html</t>
  </si>
  <si>
    <t>3544</t>
  </si>
  <si>
    <t>Stadtwerke Marburg GmbH</t>
  </si>
  <si>
    <t>Marburg</t>
  </si>
  <si>
    <t>Providing water and wastewater services to Marburg and surrounding neighbourhoods</t>
  </si>
  <si>
    <t>http://stadtwerke-marburg.de/wasser.html</t>
  </si>
  <si>
    <t>3557</t>
  </si>
  <si>
    <t>Stadtwerke Wesel</t>
  </si>
  <si>
    <t>Wesel</t>
  </si>
  <si>
    <t>Water and wastewater utility in the city of Wesel, the company also provides electricity and natural gas. Gelsenwasser AG owns a 20 % stake in Stadtwerke Wesel.</t>
  </si>
  <si>
    <t>City of Wesel (78.1%)  / Gelsenwasser AG (20%)  / Niederrheinische Sparkasse Rhein Lippe (1.9%)</t>
  </si>
  <si>
    <t>https://www.stadtwerke-wesel.de/</t>
  </si>
  <si>
    <t>11282</t>
  </si>
  <si>
    <t>Stadtwerke Zehdenick</t>
  </si>
  <si>
    <t>Zehdenick</t>
  </si>
  <si>
    <t>Water and wastewater utility operating in the city of Zehdenick. The company also supplies electricity, natural gas, and heating to the city.</t>
  </si>
  <si>
    <t>Gelsenwasser AG (74.9%)  / city of Zehdenick (25.1%)</t>
  </si>
  <si>
    <t>http://www.stadtwerke-zehdenick.de/</t>
  </si>
  <si>
    <t>4002</t>
  </si>
  <si>
    <t>Saronno Servizi S.p.A.</t>
  </si>
  <si>
    <t>Saronno</t>
  </si>
  <si>
    <t>Providing water and wastewater services in 5 municipalities in the province of Varese</t>
  </si>
  <si>
    <t>http://www.saronnoservizi.it</t>
  </si>
  <si>
    <t>8958</t>
  </si>
  <si>
    <t>SYVAB</t>
  </si>
  <si>
    <t>Grödinge</t>
  </si>
  <si>
    <t>n/a</t>
  </si>
  <si>
    <t>7533</t>
  </si>
  <si>
    <t>Szegedi Vízmu Zrt.</t>
  </si>
  <si>
    <t>Szeged</t>
  </si>
  <si>
    <t>Providing water and wastewater services to City of Szeged</t>
  </si>
  <si>
    <t>City of Szeged (51%)  / Veolia (49%)</t>
  </si>
  <si>
    <t>http://www.szegedivizmu.hu</t>
  </si>
  <si>
    <t>23690</t>
  </si>
  <si>
    <t>Taigua</t>
  </si>
  <si>
    <t>Terrassa</t>
  </si>
  <si>
    <t>Providing water and wastewater services to the city of Terrassa</t>
  </si>
  <si>
    <t>https://www.taigua.cat/</t>
  </si>
  <si>
    <t>3415</t>
  </si>
  <si>
    <t>Brawag GmbH</t>
  </si>
  <si>
    <t>Brandenburg an der Havel</t>
  </si>
  <si>
    <t>Providing water and wastewater services to Brandenburg an der Havel</t>
  </si>
  <si>
    <t>http://www.brawag.de/</t>
  </si>
  <si>
    <t>2020-2024</t>
  </si>
  <si>
    <t>Not yet - PLAN TOO OLD</t>
  </si>
  <si>
    <t>p. 43-48</t>
  </si>
  <si>
    <t>https://ctx1.stadt-brandenburg.de/bi/___tmp/tmp/45081036/GFFnDgNRSfV2viArMw6QlfPH5KqzCcOO5r6AKh9Y/rHXZvESZ/46-Anlagen/01/ABK2020-StadtBrandenburganderHavel.pdf</t>
  </si>
  <si>
    <t>PROBLEM: plan is WEIRD</t>
  </si>
  <si>
    <t>https://ctx1.stadt-brandenburg.de/bi/vo020.asp?VOLFDNR=5873</t>
  </si>
  <si>
    <t>3374</t>
  </si>
  <si>
    <t>Mittel­hessi­schen Wasser­betrie­ben</t>
  </si>
  <si>
    <t>Giessen</t>
  </si>
  <si>
    <t>Providing water and wastewater services to Giessen</t>
  </si>
  <si>
    <t>http://www.mwb-giessen.de/cms/</t>
  </si>
  <si>
    <t>Sort of - should be this but document missing</t>
  </si>
  <si>
    <t>https://parlamentsinfo.giessen.de/to0050.php?__ktonr=59691</t>
  </si>
  <si>
    <t>4756</t>
  </si>
  <si>
    <t>Aigües de Barcelona</t>
  </si>
  <si>
    <t>Aigües de Barcelona, Empresa Metropolitana de Gestió del Cicle Integral de l’Aigua, S.A (ABEMCIA)</t>
  </si>
  <si>
    <t>ABEMCIA</t>
  </si>
  <si>
    <t>Utility responsible for drinking water and wastewater services in the city of Barcelona and 28 surrounding muncipalities. The company was created in 2013 as a joint venture between Agbar and the metropolitan area of Barcelona (AMB), when it was awarded a 35 year concession. In 2018, Criteria Caixaholding acquired a 15% stake in the utility, as part of a deal which saw Suez acquire the 24.14 % stake that "la Caixa" held in Agbar.</t>
  </si>
  <si>
    <t>Agbar Group (70%) / Criteria Caixaholding (15%) / Àrea Metropolitana de Barcelona (15%)</t>
  </si>
  <si>
    <t>http://www.aiguesdebarcelona.cat/</t>
  </si>
  <si>
    <t>2024-2028</t>
  </si>
  <si>
    <t>pp. 25-33</t>
  </si>
  <si>
    <t>This is the Cicle de l'Aigua plan for Àrea Metropolitana de Barcelona</t>
  </si>
  <si>
    <t>7480</t>
  </si>
  <si>
    <t>Tekija d.o.o.</t>
  </si>
  <si>
    <t>Croatia</t>
  </si>
  <si>
    <t>Pozega</t>
  </si>
  <si>
    <t>Providing water and wastewater services to PoZega and Pleternica and surrounding municipalities (Kutjevo, Velika, Jaksic, Kaptol, Brestovac i Caglin)</t>
  </si>
  <si>
    <t>https://tekija.hr/</t>
  </si>
  <si>
    <t>6967</t>
  </si>
  <si>
    <t>Tettye Forrásház Zrt.</t>
  </si>
  <si>
    <t>Pécs</t>
  </si>
  <si>
    <t>Providing water and wastewater services to Pecs and surrounding villages</t>
  </si>
  <si>
    <t>http://www.tettyeforrashaz.hu</t>
  </si>
  <si>
    <t>3572</t>
  </si>
  <si>
    <t>Tiefbauamt - Stadtentwässerung Stadt Dorsten</t>
  </si>
  <si>
    <t>Dorsten</t>
  </si>
  <si>
    <t>Providing wastewater services to Dorsten</t>
  </si>
  <si>
    <t>http://www.dorsten.de/Verwaltung/Formulare.asp?seite=oe&amp;id=197&amp;suchtext=</t>
  </si>
  <si>
    <t>8823</t>
  </si>
  <si>
    <t>Toholammin Vesihuolto Oy</t>
  </si>
  <si>
    <t>Toholampi</t>
  </si>
  <si>
    <t>http://www.tohovesi.fi</t>
  </si>
  <si>
    <t>3574</t>
  </si>
  <si>
    <t>Universitätsstadt Tübingen</t>
  </si>
  <si>
    <t>Tübingen</t>
  </si>
  <si>
    <t>Providing wastewater services to Tübingen</t>
  </si>
  <si>
    <t>http://www.tuebingen.de/verwaltung/dienststellen#wasserwirtschaft</t>
  </si>
  <si>
    <t>Yes BUT - multiple parts of plan</t>
  </si>
  <si>
    <t>p. 52-55, 62</t>
  </si>
  <si>
    <t>https://www.tuebingen.de/ratsdokumente/vorlage/2025_800a_anlage_1.pdf</t>
  </si>
  <si>
    <t>https://www.tuebingen.de/ratsdokumente/?q=Stadtentw%C3%A4sserung</t>
  </si>
  <si>
    <t>8970</t>
  </si>
  <si>
    <t>Västvatten AB</t>
  </si>
  <si>
    <t>Uddevalla</t>
  </si>
  <si>
    <t>https://vastvatten.se/</t>
  </si>
  <si>
    <t>8960</t>
  </si>
  <si>
    <t>Vatten &amp; Miljö i Väst AB</t>
  </si>
  <si>
    <t>Falkenberg</t>
  </si>
  <si>
    <t>https://www.vivab.info/</t>
  </si>
  <si>
    <t>6789</t>
  </si>
  <si>
    <t>ViK Blagoevgrad</t>
  </si>
  <si>
    <t>Blagoevgrad</t>
  </si>
  <si>
    <t>Providing water and wastewater services to Blagoevgrad region</t>
  </si>
  <si>
    <t>http://vikblg.com/</t>
  </si>
  <si>
    <t>7425</t>
  </si>
  <si>
    <t>ViK Isperih</t>
  </si>
  <si>
    <t>Isperikh</t>
  </si>
  <si>
    <t>Providing water and wastewater services to Isperih region</t>
  </si>
  <si>
    <t>https://vikisperih.com/</t>
  </si>
  <si>
    <t>7301</t>
  </si>
  <si>
    <t>ViK Trgovishte</t>
  </si>
  <si>
    <t>Trgovishte</t>
  </si>
  <si>
    <t>Providing water and wastewater services to Trgovishte, Antonovo and Omurtag municipalities</t>
  </si>
  <si>
    <t>http://viktg.com</t>
  </si>
  <si>
    <t>8962</t>
  </si>
  <si>
    <t>Vimmerby Energi &amp; Miljö</t>
  </si>
  <si>
    <t>Vimmerby</t>
  </si>
  <si>
    <t>http://www.vemab.se/</t>
  </si>
  <si>
    <t>3386</t>
  </si>
  <si>
    <t>Stadtwerke Hürth</t>
  </si>
  <si>
    <t>Hürth</t>
  </si>
  <si>
    <t>Providing water and wastewater services to Hürth</t>
  </si>
  <si>
    <t>http://www.stadtwerke-huerth.de/de/trinkwasser/</t>
  </si>
  <si>
    <t>Maybe</t>
  </si>
  <si>
    <t>https://ratsinfo.huerth.de/vorgang/?__=UGhVM0hpd2NXNFdFcExjZUqgwdfB14_UcKMIjNJVoo0</t>
  </si>
  <si>
    <t>7534</t>
  </si>
  <si>
    <t>Víz- és Csatornaművek Koncessziós ZRt. - Szolnok</t>
  </si>
  <si>
    <t>Szolnok</t>
  </si>
  <si>
    <t>Providing water and wastewater services to Szolnok + 7 surrounding villages</t>
  </si>
  <si>
    <t>http://www.vcsm.hu</t>
  </si>
  <si>
    <t>6741</t>
  </si>
  <si>
    <t>Vodovod i kanalizacija Split d.o.o.</t>
  </si>
  <si>
    <t>Split</t>
  </si>
  <si>
    <t>Providing water and wastewater services to the cities of Split, Solin, Kastela, Trogir and municipalities of Podstrana, Seget and Solta</t>
  </si>
  <si>
    <t>http://www.vik-split.hr/</t>
  </si>
  <si>
    <t>7366</t>
  </si>
  <si>
    <t>Vodovod-Osijek d.o.o.</t>
  </si>
  <si>
    <t>Osijek</t>
  </si>
  <si>
    <t>Providing water and wastewater services to city of Osijek</t>
  </si>
  <si>
    <t>https://vodovod.com/</t>
  </si>
  <si>
    <t>27097</t>
  </si>
  <si>
    <t>WAG Schwerin</t>
  </si>
  <si>
    <t>Utility providing drinking water and wastewater disposal services to the city of Schwerin, Germany. In 2003 the company took over responsibility for wastewater services under a concession agreement to 2030.</t>
  </si>
  <si>
    <t>Stadtwerke Schwerin (51%)/ Remondis (49%)</t>
  </si>
  <si>
    <t>https://www.wag-schwerin.de/</t>
  </si>
  <si>
    <t>https://egomv.sitzung-mv.de/public/tr010</t>
  </si>
  <si>
    <t>3404</t>
  </si>
  <si>
    <t>Abwasserverband Matheide</t>
  </si>
  <si>
    <t>Celle</t>
  </si>
  <si>
    <t>Providing wastewater services to Celle</t>
  </si>
  <si>
    <t>http://www.abwasserverband-matheide.de/41.html</t>
  </si>
  <si>
    <t>p. 12</t>
  </si>
  <si>
    <t>https://www.celle.de/buergerinformationssystem/wicket/resource/org.apache.wicket.Application/doc2219877.pdf</t>
  </si>
  <si>
    <t>https://www.celle.de/buergerinformationssystem/vo020?VOLFDNR=2001723&amp;refresh=false</t>
  </si>
  <si>
    <t>839</t>
  </si>
  <si>
    <t>Amiacque Srl</t>
  </si>
  <si>
    <t>Gruppo Cap</t>
  </si>
  <si>
    <t>Milano</t>
  </si>
  <si>
    <t>Providing water and wastewater services in 165 municipalities in Milan province; wastewater service in 142 municipalities</t>
  </si>
  <si>
    <t>https://www.gruppocap.it/</t>
  </si>
  <si>
    <t>Yes (by Baz)</t>
  </si>
  <si>
    <t>2021-2029</t>
  </si>
  <si>
    <t>All (3 documents: Allegato N, P &amp; R)</t>
  </si>
  <si>
    <t>Allegato N: https://condivisioni.atocittametropolitanadimilano.it/index.php/s/jqTcHc6HbJzMGHJ?openfile=true [Open the following folders: Allegati alla Delibera n. 4 - 27.09.2024.zip &gt; ALLEGATO A - Del CdC n. 4 - 30.09.2024 &gt; Allegato N - Piano degli Investimenti CAP]; Allegato P: https://condivisioni.atocittametropolitanadimilano.it/index.php/s/jqTcHc6HbJzMGHJ?openfile=true [Open the following folders: Allegati alla Delibera n. 4 - 27.09.2024.zip &gt; ALLEGATO A - Del CdC n. 4 - 30.09.2024 &gt; Allegato P - Piano degli Investimenti AC...]; Allegato R: https://condivisioni.atocittametropolitanadimilano.it/index.php/s/jqTcHc6HbJzMGHJ?openfile=true [Open the following folders: Allegati alla Delibera n. 4 - 27.09.2024.zip &gt; ALLEGATO A - Del CdC n. 4 - 30.09.2024 &gt; Allegato R - Piano degli Interventi DEP MB]</t>
  </si>
  <si>
    <t>NB there are also operere strategiche plans from 2023-2034 BUT the CIP breaks on them (and values til 2029 consistent across both plans)</t>
  </si>
  <si>
    <t>https://atocittametropolitanadimilano.it/informazioni/seduta-del-30-09-2024/</t>
  </si>
  <si>
    <t>7413</t>
  </si>
  <si>
    <t>Waterford City Council</t>
  </si>
  <si>
    <t>Waterford</t>
  </si>
  <si>
    <t>Providing water and wastewater services to Waterford City</t>
  </si>
  <si>
    <t>http://www.waterfordcity.ie/</t>
  </si>
  <si>
    <t>7122</t>
  </si>
  <si>
    <t>Wexford County Council</t>
  </si>
  <si>
    <t>Wexford</t>
  </si>
  <si>
    <t>Providing water and wastewater services to County Wexford</t>
  </si>
  <si>
    <t>http://www.wexford.ie/wex/</t>
  </si>
  <si>
    <t>7127</t>
  </si>
  <si>
    <t>Wicklow County Council</t>
  </si>
  <si>
    <t>Wicklow</t>
  </si>
  <si>
    <t>Providing water and wastewater services to County Wicklow</t>
  </si>
  <si>
    <t>http://www.wicklow.ie/</t>
  </si>
  <si>
    <t>6790</t>
  </si>
  <si>
    <t>Yovkovtsi Ltd. Veliko Tarnovo</t>
  </si>
  <si>
    <t>Veliko Tarnovo</t>
  </si>
  <si>
    <t>Providing water and wastewater services to Veliko Tarnovo region</t>
  </si>
  <si>
    <t>http://www.vik-vt.com</t>
  </si>
  <si>
    <t>23429</t>
  </si>
  <si>
    <t>Zásobování teplem Vsetín a.s.</t>
  </si>
  <si>
    <t>Czech Republic</t>
  </si>
  <si>
    <t>Zlín Region</t>
  </si>
  <si>
    <t>Vsetin</t>
  </si>
  <si>
    <t>Utility providing water and wastewater services to the town of Vsetín, and since 2011 the town of Studénka. The utility also provides electricity and heating services.</t>
  </si>
  <si>
    <t>MVV Energie CZ (100%)</t>
  </si>
  <si>
    <t>http://ztv.mvv.cz/</t>
  </si>
  <si>
    <t>3579</t>
  </si>
  <si>
    <t>Zweckverband Wasser und Abwasser Vogtland</t>
  </si>
  <si>
    <t>Saxony</t>
  </si>
  <si>
    <t>Plauen</t>
  </si>
  <si>
    <t>Providing water and wastewater services to Adorf, Auerbach, Oelsnitz, Plauen County, Plauen City, Reichenbach, Rodewisch</t>
  </si>
  <si>
    <t>http://www.zwav.de/index.php/abwasser.html</t>
  </si>
  <si>
    <t>Same format as Koeln</t>
  </si>
  <si>
    <t>3063</t>
  </si>
  <si>
    <t>Conseil départemental du Val-de-Marne</t>
  </si>
  <si>
    <t>Créteil</t>
  </si>
  <si>
    <t>Owns and operates wastewater and stormwater conveyance networks in the département of Val-de-Marne, south-east of Paris. Most wastewater collection is done by individual municipalities, whose networks flow into the département's conveyance network. Wastewater treatment is performed by SIAAP.</t>
  </si>
  <si>
    <t>https://www.valdemarne.fr/eau-assainissement</t>
  </si>
  <si>
    <t>Maybe - plan but no figures</t>
  </si>
  <si>
    <t>https://www.valdemarne.fr/sites/default/files/le_plan_strategique_departemental_de_lassainissement_a_lhorizon_2030.pdf</t>
  </si>
  <si>
    <t>https://www.valdemarne.fr/newsletters/plan-bleu-du-val-de-marne/le-plan-strategique-departemental-de-lassainissement-a-lhorizon-2030</t>
  </si>
  <si>
    <t>715</t>
  </si>
  <si>
    <t>Canal de Isabel II</t>
  </si>
  <si>
    <t>Madrid</t>
  </si>
  <si>
    <t>Providing water and wastewater services to City of Madrid and almost all other municipalites in the Madrid Autonomous Community. Its water services cover 175 out of the total of 179 municipalities and it provides wastewater services to 176 municiaplities in the region.</t>
  </si>
  <si>
    <t>https://www.cyii.es/</t>
  </si>
  <si>
    <t>6546</t>
  </si>
  <si>
    <t>Baz</t>
  </si>
  <si>
    <t>Amstel, Gooi en Vecht</t>
  </si>
  <si>
    <t>Waterschap Amstel, Gooi en Vecht</t>
  </si>
  <si>
    <t>Amstel, Gooi en Vecht WaterBoard</t>
  </si>
  <si>
    <t>AGV</t>
  </si>
  <si>
    <t>Netherlands</t>
  </si>
  <si>
    <t>Amsterdam</t>
  </si>
  <si>
    <t>Providing wastewater services to the area from Amsterdam to Utrecht and from Uithoorn to Hilversum.</t>
  </si>
  <si>
    <t>http://www.agv.nl</t>
  </si>
  <si>
    <t>23117</t>
  </si>
  <si>
    <t>ASG (Gifhorn)</t>
  </si>
  <si>
    <t>Abwasser- und Straßenreinigungsbetrieb Stadt Gifhorn (ASG)</t>
  </si>
  <si>
    <t>Wastewater and street cleaning company of the city of Gifhorn (ASG)</t>
  </si>
  <si>
    <t>ASG</t>
  </si>
  <si>
    <t>Gifhorn</t>
  </si>
  <si>
    <t>State owned sewage treatment and road cleaning company responsible for the collection, discharge and treatment of domestic &amp; industrial wastewater and cleaning of streets in the city of Gifhorn.</t>
  </si>
  <si>
    <t>Stadt Gifhorn (City of Gifhorn)</t>
  </si>
  <si>
    <t>https://www.asg-gifhorn.de/</t>
  </si>
  <si>
    <t>2024-2030</t>
  </si>
  <si>
    <t>pp. 6-8</t>
  </si>
  <si>
    <t>https://www.stadt-gifhorn.sitzung-online.de/public/vo020?3--anlagenHeaderPanel-attachmentsList-0-attachment-link&amp;VOLFDNR=1001192&amp;refresh=false</t>
  </si>
  <si>
    <t>https://www.stadt-gifhorn.sitzung-online.de/public/vo020?VOLFDNR=1001192&amp;refresh=false</t>
  </si>
  <si>
    <t>841</t>
  </si>
  <si>
    <t>Acquedotto Pugliese SpA</t>
  </si>
  <si>
    <t>Puglia</t>
  </si>
  <si>
    <t>Bari</t>
  </si>
  <si>
    <t>Providing water and wastewater services in the ATO Puglia</t>
  </si>
  <si>
    <t>http://www.aqp.it</t>
  </si>
  <si>
    <t>https://www.autoritaidrica.puglia.it/aip/zf/index.php/atti-amministrativi/delibere/dettaglio/atto/G9XpnMkTRPT0-A</t>
  </si>
  <si>
    <t>2063</t>
  </si>
  <si>
    <t>Athens Water Supply and Sewerage Company</t>
  </si>
  <si>
    <t>Central Athens</t>
  </si>
  <si>
    <t>Galatsi</t>
  </si>
  <si>
    <t>The largest utility in Greece, EYDAP provides water and wastewater services to the greater metropolitan area of Athens and is listed on the city's stock exchange. It supplies water to approximately 4.3 million people, and wastewater services to around 3.5 million. The company is also active in the renewable energy sector. EYDAP also has the right to operate and provide a full range of services outside its area of responsibility through subsidiaries and programming contracts with local authorities.</t>
  </si>
  <si>
    <t>https://www.eydap.gr</t>
  </si>
  <si>
    <t>Not available- asked EYDAP for it</t>
  </si>
  <si>
    <t>627</t>
  </si>
  <si>
    <t>Berliner Wasserbetriebe</t>
  </si>
  <si>
    <t>Berlin</t>
  </si>
  <si>
    <t>Providing water and wastewater services to Berlin and surrounding areas</t>
  </si>
  <si>
    <t>Land Berlin (100%)</t>
  </si>
  <si>
    <t>https://bwb.de</t>
  </si>
  <si>
    <t>2013</t>
  </si>
  <si>
    <t>Augas de Galicia</t>
  </si>
  <si>
    <t>Galicia</t>
  </si>
  <si>
    <t>Santiago de Compostela</t>
  </si>
  <si>
    <t>Operates 25 WWTP in Galicia</t>
  </si>
  <si>
    <t>http://augasdegalicia.xunta.es</t>
  </si>
  <si>
    <t>174-190</t>
  </si>
  <si>
    <t>https://www.xunta.gal/dog/Publicados/2023/20230220/AnuncioG0533-080223-0001_gl.pdf</t>
  </si>
  <si>
    <t>2054</t>
  </si>
  <si>
    <t>Hera SpA</t>
  </si>
  <si>
    <t>Modena</t>
  </si>
  <si>
    <t>The largest multi-utility service company in Italy, providing electricity, gas, water, and waste services to customers in Emilia-Romagna. The company provides integrated water services to 3.6 million people in the ATOs of Modena, Ferrara, Bologna, Ravenna, Forli'-Cesena, and Rimini.</t>
  </si>
  <si>
    <t>Public shareholders (51.9%) / Private shareholders (8.2%) / Free float (39.9%)</t>
  </si>
  <si>
    <t>http://www.gruppohera.it</t>
  </si>
  <si>
    <t>Yes- but separate plans available for different municipalities</t>
  </si>
  <si>
    <t>Text</t>
  </si>
  <si>
    <t>NEW</t>
  </si>
  <si>
    <t>AZV Breisgauer Bucht</t>
  </si>
  <si>
    <t>Abwasserzweckverband Breisgauer Bucht</t>
  </si>
  <si>
    <t>Freiburg</t>
  </si>
  <si>
    <t>Runs a 660,000 PE wastewater treatment plant for 29 muncipalities near Freiburg</t>
  </si>
  <si>
    <t>https://azv-breisgau.de/</t>
  </si>
  <si>
    <t>2025-28</t>
  </si>
  <si>
    <t>PDF</t>
  </si>
  <si>
    <t>AZV Staufener Bucht</t>
  </si>
  <si>
    <t>Abwasserzweckverband Staufener Bucht</t>
  </si>
  <si>
    <t>Staufener Bucht Wastewater Association</t>
  </si>
  <si>
    <t>Runs a 140,000 PE wastewater treatment plant near Freiburg</t>
  </si>
  <si>
    <t>https://azv-staufener-bucht.de/</t>
  </si>
  <si>
    <t>22-23</t>
  </si>
  <si>
    <t>Content Team - EU Wastewater Tracker\Germany research - water projects\Future spending plans - Germany\AZV Staufener Bucht 2025-28 (Freiburg) p.22-23.pdf</t>
  </si>
  <si>
    <t>Direct from source</t>
  </si>
  <si>
    <t>6489</t>
  </si>
  <si>
    <t>De Watergroep</t>
  </si>
  <si>
    <t>Brussels</t>
  </si>
  <si>
    <t>Providing water and wastewater services to 170 municipalities in the regions of West and East Flanders, Flemish Brabant and Limburg</t>
  </si>
  <si>
    <t>http://www.dewatergroep.be/</t>
  </si>
  <si>
    <t>6524</t>
  </si>
  <si>
    <t>Miejskie Przedsiębiorstwo Wodociągów i Kanalizacji w m.st. Warszawie, SA</t>
  </si>
  <si>
    <t>Poland</t>
  </si>
  <si>
    <t>Warszawa</t>
  </si>
  <si>
    <t>Providing water and wastewater services to Warszawa City</t>
  </si>
  <si>
    <t>http://www.mpwik.com.pl</t>
  </si>
  <si>
    <t>6825</t>
  </si>
  <si>
    <t>Bergen Water and Sewerage Works</t>
  </si>
  <si>
    <t>Bergen Kommune Vann og avløp</t>
  </si>
  <si>
    <t>Bergen</t>
  </si>
  <si>
    <t>Providing water and wastewater services in the municipality of Bergen</t>
  </si>
  <si>
    <t>https://www.bergen.kommune.no/omkommunen/avdelinger/vannog-avlopsetaten</t>
  </si>
  <si>
    <t>2025-2032</t>
  </si>
  <si>
    <t>Used online version https://pub.framsikt.net/2025/bergen/bm-2025-kortversjon_hop25-28#/generic/summary/investmentplan</t>
  </si>
  <si>
    <t>Online table</t>
  </si>
  <si>
    <t>6502</t>
  </si>
  <si>
    <t>Vivaqua</t>
  </si>
  <si>
    <t>Region of Brussels</t>
  </si>
  <si>
    <t>Providing water and wastewater services to 38 municipalities, in and around the city of Brussels</t>
  </si>
  <si>
    <t>http://www.vivaqua.be/</t>
  </si>
  <si>
    <t>http://www.ato3torinese.it/site2015/pianificazione/interventi/allegatoB2-POS2024-2035.pdf</t>
  </si>
  <si>
    <t>3411</t>
  </si>
  <si>
    <t>Bergisch Gladbach</t>
  </si>
  <si>
    <t>Providing wastewater services to Bergisch Gladbach</t>
  </si>
  <si>
    <t>http://www.bergischgladbach.de/Abwasserwerk.aspx</t>
  </si>
  <si>
    <t>pp. 16-30</t>
  </si>
  <si>
    <t>https://mandatsinfo.bergischgladbach.de/bi/getfile.asp?id=590266&amp;type=do</t>
  </si>
  <si>
    <t>https://mandatsinfo.bergischgladbach.de/bi/vo0050.asp?__kvonr=34979</t>
  </si>
  <si>
    <t>618</t>
  </si>
  <si>
    <t>Bordeaux Métropole</t>
  </si>
  <si>
    <t>City of Bordeaux</t>
  </si>
  <si>
    <t>Gironde</t>
  </si>
  <si>
    <t>Bordeaux</t>
  </si>
  <si>
    <t>Providing 23 municipalities with drinking water services, all by delegated management. The utility also provides 27 municipalities with wastewater services</t>
  </si>
  <si>
    <t>Lyonnaise des Eaux (Suez Environnement)</t>
  </si>
  <si>
    <t>http://www.bordeaux-metropole.fr</t>
  </si>
  <si>
    <t>Yes but (I'm not 100% confident in its comprehensiveness)</t>
  </si>
  <si>
    <t>2017-2030</t>
  </si>
  <si>
    <t>27.02.2026</t>
  </si>
  <si>
    <t>p. 12, p. 15</t>
  </si>
  <si>
    <t>https://leaubordeauxmetropole.fr/sites/default/files/2022-12/Sch%C3%A9ma%20directeur%20d%27assainissement%20-%20Synth%C3%A8se.pdf</t>
  </si>
  <si>
    <t>yes?</t>
  </si>
  <si>
    <t>2042</t>
  </si>
  <si>
    <t>Consorcio de Aguas Bilbao Bizkaia</t>
  </si>
  <si>
    <t>Bilbao Bizkaia Water Consortium</t>
  </si>
  <si>
    <t>CABB</t>
  </si>
  <si>
    <t>Basque Country</t>
  </si>
  <si>
    <t>Bilbao</t>
  </si>
  <si>
    <t>Providing water and wastewater services to 80 municipalities in Bizkaia</t>
  </si>
  <si>
    <t>https://www.consorciodeaguas.eus/</t>
  </si>
  <si>
    <t>2026-2029</t>
  </si>
  <si>
    <t>pp. 108-114</t>
  </si>
  <si>
    <t>https://www.consorciodeaguas.eus/wp-content/uploads/2025/11/Presupuesto-CABB-2026.pdf</t>
  </si>
  <si>
    <t>https://www.consorciodeaguas.eus/quienes-somos/transparencia/economica/presupuestos/?utm</t>
  </si>
  <si>
    <t>3416</t>
  </si>
  <si>
    <t>Der Stadtentwässerungsbetrieb Paderborn</t>
  </si>
  <si>
    <t>Stadtentwässerungsbetrieb Paderborn</t>
  </si>
  <si>
    <t xml:space="preserve">Paderborn City Drainage Company </t>
  </si>
  <si>
    <t>STEB Paderborn</t>
  </si>
  <si>
    <t>Paderborn</t>
  </si>
  <si>
    <t>Providing wastewater services to Paderborn</t>
  </si>
  <si>
    <t>http://www.paderborn.de/microsite/steb/</t>
  </si>
  <si>
    <t>pp. 22-31 AND p. 32 (for undetailed plan til 2029)</t>
  </si>
  <si>
    <t>https://ratsinfo.paderborn.de/sdnetrim/UGhVM0hpd2NXNFdFcExjZVzUBEQGL5echN5aNXvSJdpsG34rB3R4wtPu0QtNLHHi/2026-Wirtschaftsplan_Entwurf.pdf</t>
  </si>
  <si>
    <t>https://ratsinfo.paderborn.de/vorgang/?__=UGhVM0hpd2NXNFdFcExjZVL-EWSOuuB7gbmDw0yDPos</t>
  </si>
  <si>
    <t>623</t>
  </si>
  <si>
    <t>Hamburg Wasser</t>
  </si>
  <si>
    <t>Hamburg</t>
  </si>
  <si>
    <t>Providing water and wastewater services to Metropolitan region of Hamburg</t>
  </si>
  <si>
    <t>City of Hamburg (100%)</t>
  </si>
  <si>
    <t>https://www.hamburgwasser.de</t>
  </si>
  <si>
    <t>3398</t>
  </si>
  <si>
    <t>Detmolder Abwasser GmbH</t>
  </si>
  <si>
    <t>Detmold Wastewater Ltd.</t>
  </si>
  <si>
    <t>Detmold</t>
  </si>
  <si>
    <t>Providing wastewater services to Detmold</t>
  </si>
  <si>
    <t>http://www.detmolder-abwasser.de/</t>
  </si>
  <si>
    <t>2026-2031</t>
  </si>
  <si>
    <t>p. 1</t>
  </si>
  <si>
    <t>6609</t>
  </si>
  <si>
    <t>Stichtse Rijnlanden</t>
  </si>
  <si>
    <t>Houten</t>
  </si>
  <si>
    <t>Providing wastewater services to the southern part of the province of Utrecht and a small part of South Holland</t>
  </si>
  <si>
    <t>http://www.hdsr.nl</t>
  </si>
  <si>
    <t>pp. 51-54</t>
  </si>
  <si>
    <t>https://repository.officiele-overheidspublicaties.nl/externebijlagen/exb-2024-40005/1/bijlage/exb-2024-40005.pdf?utm_</t>
  </si>
  <si>
    <t>https://zoek.officielebekendmakingen.nl/uitgebreidzoeken</t>
  </si>
  <si>
    <t>Govt website</t>
  </si>
  <si>
    <t>6520</t>
  </si>
  <si>
    <t>S.C. Apa Nova Bucuresti S.A.</t>
  </si>
  <si>
    <t>Romania</t>
  </si>
  <si>
    <t>Bucharest</t>
  </si>
  <si>
    <t>Providing water and wastewater services to Bucharest</t>
  </si>
  <si>
    <t>Veolia Eau (73.69%)  / Public shareholders (16.31%)  / S.C. Apa Nova Buchuresti S.A. Employees (10%)</t>
  </si>
  <si>
    <t>https://www.apanovabucuresti.ro/</t>
  </si>
  <si>
    <t>https://bip.katowice.eu/Lists/Zarzadzenia/Attachments/14507/3784-2024a.pdf?utm_source=chatgpt.com</t>
  </si>
  <si>
    <t>713</t>
  </si>
  <si>
    <t>Empresa Metropolitana de Abastecimiento y Saneamiento de Aguas de Sevilla S.A.</t>
  </si>
  <si>
    <t>Sevilla</t>
  </si>
  <si>
    <t>Providing water and wastewater services to 12  municipalities in the province of Sevilla including the city of Sevilla</t>
  </si>
  <si>
    <t>http://www.emasesa.com/</t>
  </si>
  <si>
    <t>https://www.moa.gov.cy/moa/wdd/WDD.nsf/All/9C95FC3F1264EADAC2258B3B003D6654/$file/%CE%95%CE%B8%CE%BD%CE%B9%CE%BA%CF%8C%20%CE%95%CF%80%CE%B5%CE%BD%CE%B4%CF%85%CF%84%CE%B9%CE%BA%CF%8C%20%CE%A0%CE%BB%CE%AC%CE%BD%CE%BF%20%CE%A5%CE%B4%CE%AC%CF%84%CF%89%CE%BD_%CE%A4%CE%95%CE%9B%CE%99%CE%9A%CE%9F%20-%20%CE%99%CE%B1%CE%BD%CE%BF%CF%85%CE%AC%CF%81%CE%B9%CE%BF%CF%82%202025.pdf</t>
  </si>
  <si>
    <t>3417</t>
  </si>
  <si>
    <t>Die Göttinger Entsorgungsbetriebe</t>
  </si>
  <si>
    <t>Göttinger Entsorgungsbetriebe</t>
  </si>
  <si>
    <t>Göttingen</t>
  </si>
  <si>
    <t>Providing wastewater services to Gottingen</t>
  </si>
  <si>
    <t>http://www.stadtentwaesserung.goettingen.de/html/index.php?id=119</t>
  </si>
  <si>
    <t>pp. 60-61</t>
  </si>
  <si>
    <t>https://www.goettingen.de/allris/vo020?1--anlagenHeaderPanel-attachmentsList-0-attachment-link&amp;VOLFDNR=1005180&amp;refresh=false</t>
  </si>
  <si>
    <t>Further info on pg 64</t>
  </si>
  <si>
    <t>https://www.goettingen.de/allris/vo020?VOLFDNR=1005180&amp;refresh=false</t>
  </si>
  <si>
    <t>6519</t>
  </si>
  <si>
    <t>ebswien hauptkläranlage Ges.m.b.H.</t>
  </si>
  <si>
    <t>Austria</t>
  </si>
  <si>
    <t>Vienna</t>
  </si>
  <si>
    <t>Providing wastewater services to Wien.</t>
  </si>
  <si>
    <t>http://www.ebswien.at</t>
  </si>
  <si>
    <t>https://www.smas-sintra.pt/wp-content/uploads/2024/12/gop2025smas-sintra.pdf</t>
  </si>
  <si>
    <t>829</t>
  </si>
  <si>
    <t>Abbanoa SpA</t>
  </si>
  <si>
    <t>Sardinia</t>
  </si>
  <si>
    <t>Nuoro</t>
  </si>
  <si>
    <t>Providing water and wastewater services for the region of Sardinia</t>
  </si>
  <si>
    <t>http://www.abbanoa.it</t>
  </si>
  <si>
    <t>7475</t>
  </si>
  <si>
    <t>IGRETEC</t>
  </si>
  <si>
    <t>Wallonia</t>
  </si>
  <si>
    <t>Charleroi</t>
  </si>
  <si>
    <t>Providing wastewater services to 21 municipalities around the city of Charleroi and in the region of Sud Hainaut</t>
  </si>
  <si>
    <t>http://www.igretec.com/</t>
  </si>
  <si>
    <t>https://allris.pforzheim.de/vo020?0--anlagenHeaderPanel-attachmentsList-3-attachment-link&amp;VOLFDNR=1005672&amp;refresh=false</t>
  </si>
  <si>
    <t>https://allris.pforzheim.de/vo020?4--anlagenHeaderPanel-attachmentsList-3-attachment-link&amp;VOLFDNR=1005672&amp;refresh=false</t>
  </si>
  <si>
    <t>892</t>
  </si>
  <si>
    <t>Canaragua Concesiones</t>
  </si>
  <si>
    <t>Islas Canarias</t>
  </si>
  <si>
    <t>Santa Cruz de Tenerife</t>
  </si>
  <si>
    <t>Manager of water supply and sewerage services for over 1.3 million people in the Canary Islands, across 35 concession contracts. In 2021, Suez acquired Itochu's33.4% share inthe company. Following the takeover of Suez assets by Veolia in 2022, a Veolia subsidiary (Groupo Agbar) which have long held majority shares in Canaragua Concesiones became sole owners.</t>
  </si>
  <si>
    <t>(66.67%)  / Itochu Corporation (33.33%)</t>
  </si>
  <si>
    <t>http://www.canaragua.es/</t>
  </si>
  <si>
    <t>2064</t>
  </si>
  <si>
    <t>Thessaloniki Water Supply and Sewerage Company (EYATH)</t>
  </si>
  <si>
    <t>Thessaloniki Water Supply and Sewerage Co SA</t>
  </si>
  <si>
    <t>EYATH</t>
  </si>
  <si>
    <t>Thessaloniki</t>
  </si>
  <si>
    <t>EYATH is the water supply and wastewater provider for ​​the Thessaloniki Metropolitan Area in Greece, which includes more than 18 municipalities. The company is the product of a 1998 merger between the Thessaloniki Water Supply Organisation and the Thessaloniki Sewerage Organisation, which changed hands from public ownership to being publicly listed in June 1997. In addition to simple water and wastewater provision, EYATH also produces hydroelectricity.</t>
  </si>
  <si>
    <t>Greek Government (74.02%)  / Suez SA (5.47%)  / HMG Finance S.A. (1.06%)  / Other shareholders (19.45%)</t>
  </si>
  <si>
    <t>http://www.eyath.gr</t>
  </si>
  <si>
    <t>04.03.2026</t>
  </si>
  <si>
    <t>21-28</t>
  </si>
  <si>
    <t>https://www.eyath.gr/wp-content/uploads/2025/10/Eyath_Financial_Results_1st_half_2025.pdf</t>
  </si>
  <si>
    <t>Εταιρεία Ύδρευσης και Αποχέτευσης Θεσσαλονίκης Α.Ε.</t>
  </si>
  <si>
    <t>examples of TED tender results: https://ted.europa.eu/en/search/result?FT=%CE%95%CF%84%CE%B1%CE%B9%CF%81%CE%B5%CE%AF%CE%B1+%CE%8E%CE%B4%CF%81%CE%B5%CF%85%CF%83%CE%B7%CF%82+%CE%BA%CE%B1%CE%B9+%CE%91%CF%80%CE%BF%CF%87%CE%AD%CF%84%CE%B5%CF%85%CF%83%CE%B7%CF%82+%CE%98%CE%B5%CF%83%CF%83%CE%B1%CE%BB%CE%BF%CE%BD%CE%AF%CE%BA%CE%B7%CF%82+%CE%91.%CE%95.&amp;search-scope=ALL&amp;scope=ALL&amp;onlyLatestVersions=false&amp;sortColumn=publication-number&amp;sortOrder=DESC&amp;page=1</t>
  </si>
  <si>
    <t>6510</t>
  </si>
  <si>
    <t>ViK Sofia</t>
  </si>
  <si>
    <t>Sofia</t>
  </si>
  <si>
    <t>Providing water and wastewater services to Sofia region</t>
  </si>
  <si>
    <t>http://viksofia.com/</t>
  </si>
  <si>
    <t>3857</t>
  </si>
  <si>
    <t>Gestione Ottimale Risorse Idriche S.p.A.</t>
  </si>
  <si>
    <t>Campania</t>
  </si>
  <si>
    <t>Ercolano</t>
  </si>
  <si>
    <t>Providing water and wastewater services in the ATO Sarnese Vesuviano</t>
  </si>
  <si>
    <t>Sarnese Vesuviano Area Authority  (51%)  / Sarnese Vesuviano Srl  (37.05%)  / ASM  (11.93%)  / ASAM (0.02%)</t>
  </si>
  <si>
    <t>http://www.goriacqua.com</t>
  </si>
  <si>
    <t>6542</t>
  </si>
  <si>
    <t>Delfland</t>
  </si>
  <si>
    <t>Delft</t>
  </si>
  <si>
    <t>Providing wastewater services and dyke management to the municipalities of Delft, Midden-Delfland and Den Haag</t>
  </si>
  <si>
    <t>http://www.hhdelfland.nl</t>
  </si>
  <si>
    <t>Hoogheemraadschap Hollands Noorderkwartier (HHNK)</t>
  </si>
  <si>
    <t>3419</t>
  </si>
  <si>
    <t>Eigenbetrieb Kasselwasser</t>
  </si>
  <si>
    <t>Kasselwasser</t>
  </si>
  <si>
    <t>Kassel</t>
  </si>
  <si>
    <t>Providing water and wastewater services to Kassel</t>
  </si>
  <si>
    <t>City of Kassel</t>
  </si>
  <si>
    <t>http://www.ks-keb.de/inhalt/aufgaben.html</t>
  </si>
  <si>
    <t>pp. 17-26 (though seems to have also processed p27)</t>
  </si>
  <si>
    <t>https://ratsinfo.kassel.de/sdnet4/sdnetrim/UGhVM0hpd2NXNFdFcExjZY0kOI0Yn99gOJpnOim8QMsVOLbqOvPqyolnuTbGXOLX/Wirtschaftsplan.pdf</t>
  </si>
  <si>
    <t>https://ratsinfo.kassel.de/sdnet4/vorgang/?__=UGhVM0hpd2NXNFdFcExjZeLei2OsUttCcFkOdyqd01w</t>
  </si>
  <si>
    <t>3420</t>
  </si>
  <si>
    <t>Eigenbetrieb Stadtentwässerung Ludwisburg</t>
  </si>
  <si>
    <t>Stadtentwässerung Ludwigsburg</t>
  </si>
  <si>
    <t>Ludwigsburg City Drainage</t>
  </si>
  <si>
    <t>SEL</t>
  </si>
  <si>
    <t>Ludwigsburg</t>
  </si>
  <si>
    <t>Providing wastewater services to Ludwigsburg</t>
  </si>
  <si>
    <t>http://www.ludwigsburg.de/,Lde/694443.html?amtsID=928140</t>
  </si>
  <si>
    <t>p. 17-41</t>
  </si>
  <si>
    <t>https://ris.ludwigsburg.de/bi/getfile.php?id=230475&amp;type=do</t>
  </si>
  <si>
    <t>https://ris.ludwigsburg.de/bi/to0050.php?__ktonr=43738</t>
  </si>
  <si>
    <t>3084</t>
  </si>
  <si>
    <t>Rennes Métropole</t>
  </si>
  <si>
    <t>Ille-et-Vilaine</t>
  </si>
  <si>
    <t>Rennes</t>
  </si>
  <si>
    <t>Providing 45 municipalities with wastewater services, 18 by delegated management</t>
  </si>
  <si>
    <t>https://metropole.rennes.fr/</t>
  </si>
  <si>
    <t>https://www.eaudubassinrennais-collectivite.fr/app/uploads/2026/01/LGE-schema-directeur.pdf?utm_source=chatgpt.com</t>
  </si>
  <si>
    <t>4860</t>
  </si>
  <si>
    <t>La Entidad Regional de Saneamiento y Depuración de Aguas Residuales</t>
  </si>
  <si>
    <t>Murcia</t>
  </si>
  <si>
    <t>Providing wastewater services to Wastewater treatment services and operation of 89 WWTPs owned by municipalities in the Murcia Region</t>
  </si>
  <si>
    <t>http://www.esamur.com/</t>
  </si>
  <si>
    <t>3421</t>
  </si>
  <si>
    <t>Eigenbetrieb Stadtentwässerung Pforzheim</t>
  </si>
  <si>
    <t>Pforzheim City Drainage Company</t>
  </si>
  <si>
    <t>Pforzheim</t>
  </si>
  <si>
    <t>Providing wastewater services to Pforzheim</t>
  </si>
  <si>
    <t>http://www.pforzheim.de/umwelt-natur/abwasser.html</t>
  </si>
  <si>
    <t>P2-7</t>
  </si>
  <si>
    <t>3297</t>
  </si>
  <si>
    <t>Eigenbetrieb Stadtentwässerung Stuttgart</t>
  </si>
  <si>
    <t>Stadtentwässerung Stuttgart</t>
  </si>
  <si>
    <t>Stuttgart City Drainage</t>
  </si>
  <si>
    <t>Stuttgart</t>
  </si>
  <si>
    <t>Providing wastewater services to Stuttgart</t>
  </si>
  <si>
    <t>http://www.stuttgart-stadtentwaesserung.de</t>
  </si>
  <si>
    <t>2022-2028</t>
  </si>
  <si>
    <t>Excel doc! (Then converted to pdf)</t>
  </si>
  <si>
    <t>https://allris.stuttgart.de/vo020?3--anlagenHeaderPanel-attachmentsList-6-attachment-link&amp;VOLFDNR=2652&amp;refresh=false</t>
  </si>
  <si>
    <t>https://allris.stuttgart.de/vo020?VOLFDNR=2652&amp;refresh=false</t>
  </si>
  <si>
    <t>V helpful documents on individual projects</t>
  </si>
  <si>
    <t>6523</t>
  </si>
  <si>
    <t>Fovárosi Csatornázási Muvek Zrt. (Budapest Főváros Önkormányzata_)</t>
  </si>
  <si>
    <t>Fővárosi Csatornázási Művek Zrt</t>
  </si>
  <si>
    <t>Budapest Sewerage Works Ltd.</t>
  </si>
  <si>
    <t>Providing wastewater services to Budapest and area</t>
  </si>
  <si>
    <t>Municipality of Budapest   / Csatorna Holding Vagyonkezelő Zrt   / Veolia Environnement-VE SA   / Veolia Central &amp; Eastern Europe SA  / Fővárosi Csatornázási Művek Zrt</t>
  </si>
  <si>
    <t>http://www.fcsm.hu</t>
  </si>
  <si>
    <t>2025-2039</t>
  </si>
  <si>
    <t>32-44</t>
  </si>
  <si>
    <t>832</t>
  </si>
  <si>
    <t>Publiacqua SpA</t>
  </si>
  <si>
    <t>Tuscany</t>
  </si>
  <si>
    <t>Firenze</t>
  </si>
  <si>
    <t>Providing water and wastewater services in the ATO Medio Valdarno</t>
  </si>
  <si>
    <t>Acque Blue Florentine (40%)  / Consiag (24.94%)  / Comune di Firenze (21.67%)  / Altri Comuni (12.96%) / Publiservizi (0.43%)</t>
  </si>
  <si>
    <t>http://www.publiacqua.it</t>
  </si>
  <si>
    <t>6541</t>
  </si>
  <si>
    <t>Sofiyska voda AD</t>
  </si>
  <si>
    <t>Providing water and wastewater services to Sofia Municipality</t>
  </si>
  <si>
    <t>https://www.sofiyskavoda.bg/</t>
  </si>
  <si>
    <t>6540</t>
  </si>
  <si>
    <t>Pražské vodovody a kanalizace, a. s.</t>
  </si>
  <si>
    <t>Prague</t>
  </si>
  <si>
    <t>Providing water and wastewater services to Prague, Stredocesky region</t>
  </si>
  <si>
    <t>VEOLIA CENTRAL &amp; EASTERN EUROPE SA (51%)  / Pražská vodohospodářská společnost, AS (49%)</t>
  </si>
  <si>
    <t>http://www.pvk.cz/</t>
  </si>
  <si>
    <t>7470</t>
  </si>
  <si>
    <t>AIDE</t>
  </si>
  <si>
    <t>Saint-Nicolas</t>
  </si>
  <si>
    <t>Providing wastewater services to 84 municipalities in the region of Lieges</t>
  </si>
  <si>
    <t>http://www.aide.be/</t>
  </si>
  <si>
    <t>6626</t>
  </si>
  <si>
    <t>Fryslân</t>
  </si>
  <si>
    <t>Wetterskip Fryslân</t>
  </si>
  <si>
    <t>Fryslân Water Board</t>
  </si>
  <si>
    <t>Leeuwarden</t>
  </si>
  <si>
    <t>Providing wastewater services and waterway management to the province of Friesland</t>
  </si>
  <si>
    <t>http://www.wetterskipfryslan.nl</t>
  </si>
  <si>
    <t>p. 4</t>
  </si>
  <si>
    <t>https://wetterskipfryslan.begrotingsapp.nl/begroting-2025---2029/programma/financile-begroting#onderdeel-3817308-overzicht-investeringen</t>
  </si>
  <si>
    <t>2010</t>
  </si>
  <si>
    <t>AMAP S.p.A.</t>
  </si>
  <si>
    <t>Palermo</t>
  </si>
  <si>
    <t>AMAP SPA manages the integrated water service in 35 Municipalities of the Metropolitan City of Palermo. This includes bulk water deliveries to 14 municipalities and water and wastewater services.</t>
  </si>
  <si>
    <t>http://www.amapspa.it</t>
  </si>
  <si>
    <t>Waterschap Vallei en Veluwe</t>
  </si>
  <si>
    <t>4768</t>
  </si>
  <si>
    <t>Acosol</t>
  </si>
  <si>
    <t>Marbella</t>
  </si>
  <si>
    <t>Providing water and wastewater services to Mancomunidad de Municipios de la Costa del Sol Occidental (an association of 11 municipalities in Costa del Sol)</t>
  </si>
  <si>
    <t>http://www.acosol.es</t>
  </si>
  <si>
    <t>Not yet - requested 22/12/2025</t>
  </si>
  <si>
    <t>845</t>
  </si>
  <si>
    <t>Cap Holding Spa</t>
  </si>
  <si>
    <t>Assago</t>
  </si>
  <si>
    <t>Providing water and wastewater services in 160 municipalities in the provinces of Milan and Monza-Brianza</t>
  </si>
  <si>
    <t>2024-2029, 2024-2035</t>
  </si>
  <si>
    <t>All</t>
  </si>
  <si>
    <t>https://condivisioni.atocittametropolitanadimilano.it/index.php/s/jqTcHc6HbJzMGHJ?openfile=true [Open the following folders: Allegati alla Delibera n. 4 - 27.09.2024.zip &gt; ALLEGATO A - Del CdC n. 4 - 30.09.2024 &gt; Allegato R - Piano degli Interventi DEP MB]</t>
  </si>
  <si>
    <t>There is a column in the original plans indicating whether a project in the PdI is also included in the POS</t>
  </si>
  <si>
    <t>CAP Holding SPA</t>
  </si>
  <si>
    <t>3088</t>
  </si>
  <si>
    <t>Association of municipalities Artois</t>
  </si>
  <si>
    <t>Pas-de-Calais</t>
  </si>
  <si>
    <t>Béthune</t>
  </si>
  <si>
    <t>Providing 100 municipalities with wastewater services, all by delegated management</t>
  </si>
  <si>
    <t>Veolia Eau</t>
  </si>
  <si>
    <t>https://www.bethunebruay.fr/</t>
  </si>
  <si>
    <t>6570</t>
  </si>
  <si>
    <t>Helsinki Region Environmental Services Authority</t>
  </si>
  <si>
    <t>Helsingin seudun ympäristöpalvelut</t>
  </si>
  <si>
    <t>HSY</t>
  </si>
  <si>
    <t>Helsinki</t>
  </si>
  <si>
    <t>Providing water and wastewater services in Espoo, Helsinki, Kauniainen and Vantaa</t>
  </si>
  <si>
    <t>https://www.hsy.fi/en/residents/pages/default.aspx</t>
  </si>
  <si>
    <t>2025-2044 AND 2024-2028</t>
  </si>
  <si>
    <t>2025-2044 = pp. 27-28; 2024-2028 = p. 26, 39, 47, 51</t>
  </si>
  <si>
    <t>2025-2024 = https://hsy10.oncloudos.com/kokous/2024168-8-43116.PDF ;  2024-2028 = https://hsy10.oncloudos.com/kokous/2025203-2-56030.PDF</t>
  </si>
  <si>
    <t>p. 6-10 - Intended strategies. p. 49-50 - Environmental goals &amp; compliance</t>
  </si>
  <si>
    <t>6543</t>
  </si>
  <si>
    <t>Hollands Noorderkwartier</t>
  </si>
  <si>
    <t>Heerhugowaard</t>
  </si>
  <si>
    <t>Providing wastewater services, waterway management and water defense management to North Holland</t>
  </si>
  <si>
    <t>http://www.hhnk.nl</t>
  </si>
  <si>
    <t>Hera SpA- Bologna</t>
  </si>
  <si>
    <t>Hera SpA Bologna</t>
  </si>
  <si>
    <t>Bologna</t>
  </si>
  <si>
    <t>pp. 20-21</t>
  </si>
  <si>
    <t>https://www.atersir.it/sites/default/files/2024-06/Delibera_POI_2024-2029_HERABO-combinato_0.pdf</t>
  </si>
  <si>
    <t>HORRID</t>
  </si>
  <si>
    <t>?</t>
  </si>
  <si>
    <t>6567</t>
  </si>
  <si>
    <t>Vallei en Veluwe</t>
  </si>
  <si>
    <t>Apeldoorn</t>
  </si>
  <si>
    <t>Providing wastewater services in the area between Ijssel, Lower Rhine, Utrecht Ridge and Randmeren</t>
  </si>
  <si>
    <t>http://www.vallei-veluwe.nl</t>
  </si>
  <si>
    <t>Hera SpA- Ferrara</t>
  </si>
  <si>
    <t>Hera SpA Ferrara</t>
  </si>
  <si>
    <t>Ferrara</t>
  </si>
  <si>
    <t>p. 15</t>
  </si>
  <si>
    <t xml:space="preserve">https://www.atersir.it/sites/default/files/2024-06/Delibera_POI_2024-2029_HERAFE-combinato_0.pdf </t>
  </si>
  <si>
    <t>3080</t>
  </si>
  <si>
    <t>Association of municipalities of Caen-La Mer</t>
  </si>
  <si>
    <t>Calvados</t>
  </si>
  <si>
    <t>Hérouville-Saint-Clair</t>
  </si>
  <si>
    <t>Providing 43 municipalities with wastewater services, 4 by delegated management</t>
  </si>
  <si>
    <t>https://www.caenlamer.fr/</t>
  </si>
  <si>
    <t>Hera SpA- Forlì-Cesena</t>
  </si>
  <si>
    <r>
      <t>Hera SpA Forl</t>
    </r>
    <r>
      <rPr>
        <sz val="11"/>
        <color rgb="FF000000"/>
        <rFont val="Aptos Narrow"/>
        <family val="2"/>
      </rPr>
      <t>ì</t>
    </r>
    <r>
      <rPr>
        <sz val="9.6999999999999993"/>
        <color rgb="FF000000"/>
        <rFont val="Calibri"/>
        <family val="2"/>
      </rPr>
      <t>-Cesena</t>
    </r>
  </si>
  <si>
    <t>Forlì-Cesena</t>
  </si>
  <si>
    <t>pp. 23-24</t>
  </si>
  <si>
    <t>https://atersir.it/sites/default/files/2024-06/CLFC_6_2024_POI_2024-29_HERA_ATO_8-combinato_0.pdf</t>
  </si>
  <si>
    <t>Hera SpA- Modena</t>
  </si>
  <si>
    <t>Hera SpA Modena</t>
  </si>
  <si>
    <t>p. 20</t>
  </si>
  <si>
    <t xml:space="preserve">https://amministrazionetrasparente.atersir.it/sites/atersir/files/atti-documenti/Delibera_POI_2024-2029_HERAMO-combinato.pdf </t>
  </si>
  <si>
    <t>3413</t>
  </si>
  <si>
    <t>Bottrop</t>
  </si>
  <si>
    <t>Providing wastewater services to Bottrop</t>
  </si>
  <si>
    <t>http://www.bottrop.de/rathaus/ortsrecht/bauwesen/entwaesserungssatzung.php</t>
  </si>
  <si>
    <t>USEFUL INFO on Abwasser generally https://ratsinfo-bottrop.de/recherche/?__=UGhVM0hpd2NXNFdFcExjZVdCdV38o0cznDrHbyqrvUIbP_wXUhdbeQ38PEoIx93ha2VPDCrOauuNhoB3NEj0RA</t>
  </si>
  <si>
    <t>Hera SpA- Ravenna</t>
  </si>
  <si>
    <t>Hera SpA Ravenna</t>
  </si>
  <si>
    <t>Ravenna</t>
  </si>
  <si>
    <t>pp. 26-28</t>
  </si>
  <si>
    <t>https://www.atersir.it/sites/default/files/2024-06/CLRA_2_2024_POI_2024-29_HERA_ATO7-combinato.pdf</t>
  </si>
  <si>
    <t>6560</t>
  </si>
  <si>
    <t>Severočeské vodovody a kanalizace, a.s.</t>
  </si>
  <si>
    <t>Teplice</t>
  </si>
  <si>
    <t>Providing water and wastewater services to Liberec and Usti nad Labem region</t>
  </si>
  <si>
    <t>Veolia Central &amp; Eastern Europe SA (50.1%)  / Severočeská vodárenská společnost AS (49.1%)  / Other shareholders (0.8%)</t>
  </si>
  <si>
    <t>http://www.scvk.cz/</t>
  </si>
  <si>
    <t>6931</t>
  </si>
  <si>
    <t>Linz AG Wasser</t>
  </si>
  <si>
    <t>Oberösterreich</t>
  </si>
  <si>
    <t>Linz</t>
  </si>
  <si>
    <t>Providing water services to Linz and 24 adjacent municipalities, and wastewater services to Linz and 39 adjacent municipalities.</t>
  </si>
  <si>
    <t>http://www.linzag.at/wasser</t>
  </si>
  <si>
    <t>DENIED - Angry refusal</t>
  </si>
  <si>
    <t>NO</t>
  </si>
  <si>
    <t>pp. 14-24</t>
  </si>
  <si>
    <t>https://linz-am-rhein.gremien.info/pdf-viewer?name=MjUxMDI5IEFXTGlueiBXaVBsYW4gMjAyNiBFbnR3dXJmIGZpbmFs&amp;watermark=0&amp;generated=04-12-2025&amp;document=aHR0cHM6Ly9saW56LWFtLXJoZWluLmdyZW1pZW4uaW5mby9hcGkucGhwP2RvY3VtZW50X3R5cGVfaWQ9MTMmZG9jdW1lbnRfcmVsYXRpb25faWQ9MjQwMTI0MTAxMDAyNjYlN0MyMDI1MTAzMTE0NDkzOC0wLnBkZiU3QyZzdWJtaXNzaW9uX2F0dGFjaG1lbnRfaWQ9MjQwMTI0MTAxMDAyNjYlN0MyMDI1MTAzMTE0NDkzOC0wLnBkZiU3QyZpZD02OSZqc29uPTEmcGxhdGZvcm09d2ViJnN5c3RlbT1yaXMmYWdlbmRhX2l0ZW1faWQ9MjAyNS0wMV9SYXQtNzN8MjQwMTI0MTAxMDAyNjZ8MSZkb2N1bWVudGFibGVfaWQ9MjQwMTI0MTAxMDAyNjZ8MjAyNTEwMzExNDQ5MzgtMC5wZGZ8</t>
  </si>
  <si>
    <t>https://linz-am-rhein.gremien.info/meeting/1117</t>
  </si>
  <si>
    <t>6569</t>
  </si>
  <si>
    <t>Severoceska vodarenska spolecnost, a.s</t>
  </si>
  <si>
    <t>Providing water and wastewater services to Nothern Bohemia region</t>
  </si>
  <si>
    <t>http://www.svs.cz</t>
  </si>
  <si>
    <t>6600</t>
  </si>
  <si>
    <t>Aquanet S.A.</t>
  </si>
  <si>
    <t>Poznań</t>
  </si>
  <si>
    <t>Providing water and wastewater services to City of Poznań and neighbouring municipalities</t>
  </si>
  <si>
    <t>http://www.aquanet.pl/</t>
  </si>
  <si>
    <t>Hera SpA- Rimini</t>
  </si>
  <si>
    <t>Hera SpA Rimini</t>
  </si>
  <si>
    <t>Rimini</t>
  </si>
  <si>
    <t>https://amministrazionetrasparente.atersir.it/sites/atersir/files/atti-documenti/CLRN_8_2024_POI_2024-29_HERA_ATO_9-combinato.pdf</t>
  </si>
  <si>
    <t>1976</t>
  </si>
  <si>
    <t>Zagrebački Holding doo</t>
  </si>
  <si>
    <t>Zagreb</t>
  </si>
  <si>
    <t>Providing water and wastewater services to Cities of Zagreb, Samobor, Sv. Nedelja and Stupnik</t>
  </si>
  <si>
    <t>https://www.vio.hr</t>
  </si>
  <si>
    <t>See copilot docs, plan to 2030 should exist, need to trawl council meetings</t>
  </si>
  <si>
    <t>6594</t>
  </si>
  <si>
    <t>Hollandse Delta</t>
  </si>
  <si>
    <t>Ridderkerk</t>
  </si>
  <si>
    <t>Providing wastewater services and dyke management in the region Zuid-Holland Zuid</t>
  </si>
  <si>
    <t>http://www.wshd.nl</t>
  </si>
  <si>
    <t>6661</t>
  </si>
  <si>
    <t>HOFOR København A/S</t>
  </si>
  <si>
    <t>Denmark</t>
  </si>
  <si>
    <t>København</t>
  </si>
  <si>
    <t>Providing water and wastewater services in Albertslund, Brøndby, Dragør, Herlev, Hvidovre, København, Rødovre and Vallensbæk</t>
  </si>
  <si>
    <t>http://www.hofor.dk</t>
  </si>
  <si>
    <t>2025-2035</t>
  </si>
  <si>
    <t>https://www.kk.dk/sites/default/files/agenda/215325b3-dbc6-452c-ab53-ec1c53ebd915/f38a3aa3-2ce6-46ec-8eb5-994a00b3e34e-bilag-6_0.pdf</t>
  </si>
  <si>
    <t>https://www.kk.dk/dagsordener-og-referater/Klima-%2C%20Milj%C3%B8-%20og%20Teknikudvalget/m%C3%B8de-24022026/dagsorden/punkt-20</t>
  </si>
  <si>
    <t>3296</t>
  </si>
  <si>
    <t>Niersverband</t>
  </si>
  <si>
    <t>Viersen</t>
  </si>
  <si>
    <t>Providing wastewater services to Above-ground catchment area of ​​Nier</t>
  </si>
  <si>
    <t>Cities and towns, counties, bodies of public water supply and industrial enterprises</t>
  </si>
  <si>
    <t>http://www.niersverband.de</t>
  </si>
  <si>
    <t>4760</t>
  </si>
  <si>
    <t>Aigües de la Costa Brava</t>
  </si>
  <si>
    <t>Providing wastewater services to 27 municipalities on the Costa Brava, Province of Girona, Catalonia.</t>
  </si>
  <si>
    <t>http://www.aiguescb.com/</t>
  </si>
  <si>
    <t>6597</t>
  </si>
  <si>
    <t>Brabantse Delta</t>
  </si>
  <si>
    <t>Breda</t>
  </si>
  <si>
    <t>Providing wastewater services to the region of West-Brabant</t>
  </si>
  <si>
    <t>http://www.brabantsedelta.nl</t>
  </si>
  <si>
    <t>Yes - BUT</t>
  </si>
  <si>
    <t>https://brabantsedelta.bestuurlijkeinformatie.nl/Agenda/Document/af9207bd-5424-43ca-963a-bc9698900336?documentId=5e0d3d1c-fa80-41cf-af99-31ff7c63c07f&amp;agendaItemId=750ca5bb-6142-4a2f-994f-3629806f13c9</t>
  </si>
  <si>
    <t>3861</t>
  </si>
  <si>
    <t>VERITAS S.p.A.</t>
  </si>
  <si>
    <t>Venezia</t>
  </si>
  <si>
    <t>Veritas provides environmental services to citizens and businesses in an area of ​​over 2,650 square kilometers and 930,000 inhabitants , to which must be added the over 40 million tourists who visit Venice, the coast and the surrounding areas every year. Veritas manages urban hygiene services in Eastern Veneto through the associate company Asvo spa.</t>
  </si>
  <si>
    <t>http://www.gruppoveritas.it</t>
  </si>
  <si>
    <t>6590</t>
  </si>
  <si>
    <t>De Dommel</t>
  </si>
  <si>
    <t>Boxtel</t>
  </si>
  <si>
    <t>Providing wastewater services to the region of Central-Brabant around the Dommel River</t>
  </si>
  <si>
    <t>http://www.dommel.nl</t>
  </si>
  <si>
    <t>3859</t>
  </si>
  <si>
    <t>Acque S.p.A.</t>
  </si>
  <si>
    <t>Empoli</t>
  </si>
  <si>
    <t>Providing water and wastewater services to ATO Basso Valdarno serving 55 municipalities</t>
  </si>
  <si>
    <t>ABAB  (45%)  / Publiservizi SPA (19.31%)  / Cerbaie SPA in liquidazone (16.26%)  / Gea Servizi (12.27%) / Aquapur SPA (5.04%) / Other shareholders (2.12%)</t>
  </si>
  <si>
    <t>http://www.acque.net</t>
  </si>
  <si>
    <t>4762</t>
  </si>
  <si>
    <t>Servicio Municipal de Aguas de Jerez</t>
  </si>
  <si>
    <t>Jerez de la Frontera</t>
  </si>
  <si>
    <t>Providing water and wastewater services to Jerez de la Frontera</t>
  </si>
  <si>
    <t>FCC Aqualia (51%)  / Banco Santander (49%)</t>
  </si>
  <si>
    <t>http://www.aquajerez.es/</t>
  </si>
  <si>
    <t>3860</t>
  </si>
  <si>
    <t>Brianzacque S.r.l.</t>
  </si>
  <si>
    <t>Monza</t>
  </si>
  <si>
    <t>Providing water and wastewater services in 24 municipalities in the ATO Milan; wastewater service in 62 municipalities</t>
  </si>
  <si>
    <t>Provincia Monza e Brianza (13.76%)  / Municipalities (85.56%)  / AEB Spa (0.15%)  / ASML SpA (0.5%) / GELSIA Srl (0.01%) / Gestione Servizi Desio SpA (0.03%)</t>
  </si>
  <si>
    <t>http://www.brianzacque.it</t>
  </si>
  <si>
    <t>716</t>
  </si>
  <si>
    <t>Consorcio de Aguas</t>
  </si>
  <si>
    <t>Oviedo</t>
  </si>
  <si>
    <t>Providing wastewater services to Bulk water supply for 25 municipalities in Asturias (including Aviles and Gijon) and Wastewater services for 16 municipalites in Asturias</t>
  </si>
  <si>
    <t>http://www.consorcioaa.com</t>
  </si>
  <si>
    <t>3071</t>
  </si>
  <si>
    <t>SIVOM de la Région Mulhousienne</t>
  </si>
  <si>
    <t>Haut-Rhin</t>
  </si>
  <si>
    <t>Mulhouse</t>
  </si>
  <si>
    <t>Providing 31 municipalities with wastewater services, 15 by delegated management</t>
  </si>
  <si>
    <t>Lyonnaise des Eaux &amp; SOGEST (Suez Environnement)/ Veolia Eau</t>
  </si>
  <si>
    <t>https://www.sivom-mulhouse.fr/</t>
  </si>
  <si>
    <t>3067</t>
  </si>
  <si>
    <t>Syndicat Intercommunal du Lac d'Annecy</t>
  </si>
  <si>
    <t>Haute-Savoie</t>
  </si>
  <si>
    <t>Cran-Gevrier</t>
  </si>
  <si>
    <t>Providing 48 municipalities with wastewater services</t>
  </si>
  <si>
    <t>https://www.sila.fr/</t>
  </si>
  <si>
    <t>https://www.sila.fr/nos-grands-projets/le-schema-general-dassainissement/?utm_source=chatgpt.com</t>
  </si>
  <si>
    <t>6625</t>
  </si>
  <si>
    <t>Waterschap Aa en Maas</t>
  </si>
  <si>
    <t>s-Hertogenbosch</t>
  </si>
  <si>
    <t>Providing wastewater services in the region of East-Brabant</t>
  </si>
  <si>
    <t>http://www.aaenmaas.nl</t>
  </si>
  <si>
    <t>3078</t>
  </si>
  <si>
    <t>Metz Métropole</t>
  </si>
  <si>
    <t>Moselle</t>
  </si>
  <si>
    <t>Metz</t>
  </si>
  <si>
    <t>Providing 44 municipalities with wastewater services</t>
  </si>
  <si>
    <t>https://www.metzmetropole.fr/</t>
  </si>
  <si>
    <t>6588</t>
  </si>
  <si>
    <t>Východoslovenská vodárenská spolocnost, a.s.</t>
  </si>
  <si>
    <t>Slovakia</t>
  </si>
  <si>
    <t>Kosice</t>
  </si>
  <si>
    <t>Providing water and wastewater services to Coverage of Eastern regions</t>
  </si>
  <si>
    <t>http://www.vodarne.eu/</t>
  </si>
  <si>
    <t>3862</t>
  </si>
  <si>
    <t>Acque Veronesi S.c.a.r.l.</t>
  </si>
  <si>
    <t>Verona</t>
  </si>
  <si>
    <t>Providing water and wastewater services to 77 municipalities in the Province of Verona</t>
  </si>
  <si>
    <t>http://www.acqueveronesi.it</t>
  </si>
  <si>
    <t>836</t>
  </si>
  <si>
    <t>Iren - Genova</t>
  </si>
  <si>
    <t>Liguria</t>
  </si>
  <si>
    <t>Genova</t>
  </si>
  <si>
    <t>Providing water and wastewater services to the city of Genova</t>
  </si>
  <si>
    <t>Gruppo Iren (10000%)</t>
  </si>
  <si>
    <t>https://www.irenacqua.it</t>
  </si>
  <si>
    <t>3448</t>
  </si>
  <si>
    <t>InfraStrukturNeuss</t>
  </si>
  <si>
    <t>Neuss</t>
  </si>
  <si>
    <t>Providing wastewater services to Neuss</t>
  </si>
  <si>
    <t>http://www.infrastruktur-neuss.de/unternehmen/aufgabenbereiche-infrastruktur-neuss/abwasser-neuss.html</t>
  </si>
  <si>
    <t>pp. 1-3</t>
  </si>
  <si>
    <t>https://ris-neuss.itk-rheinland.de/sessionnetneubi/getfile.asp?id=215896&amp;type=do</t>
  </si>
  <si>
    <t>https://ris-neuss.itk-rheinland.de/sessionnetneubi/to0050.asp?__ktonr=244580</t>
  </si>
  <si>
    <t>6614</t>
  </si>
  <si>
    <t>Zakład Wodociagów i Kanalizacji Sp. z o.o. w Łódzi</t>
  </si>
  <si>
    <t>Łódź</t>
  </si>
  <si>
    <t>Providing water and wastewater services to Łódź City</t>
  </si>
  <si>
    <t>http://www.zwik.lodz.pl</t>
  </si>
  <si>
    <t>3444</t>
  </si>
  <si>
    <t>hanseWasser Bremen</t>
  </si>
  <si>
    <t>Bremen</t>
  </si>
  <si>
    <t>Wastewater disposal company and environmental service provider for the city of Bremen, hanseWasser Bremen is also the operator of the Bremen's canal network.</t>
  </si>
  <si>
    <t>SWB AG (38.2%) [Via hanseWasser Ver- und Entsorgungs-GmbH] / Gelsenwasser AG (36.7%) [Via hanseWasser Ver- und Entsorgungs-GmbH] / City of Bremen (25.1%)</t>
  </si>
  <si>
    <t>https://www.hansewasser.de/startseite.html</t>
  </si>
  <si>
    <t>842</t>
  </si>
  <si>
    <t>UniAcque SpA</t>
  </si>
  <si>
    <t>Bergamo</t>
  </si>
  <si>
    <t>Providing water and wastewater services in 166 municipalities in Bergamo province; wastewater service in 168 municipalities</t>
  </si>
  <si>
    <t>http://www.uniacque.bg.it</t>
  </si>
  <si>
    <t>4766</t>
  </si>
  <si>
    <t>Ecociudad Zaragoza</t>
  </si>
  <si>
    <t>Zaragoza</t>
  </si>
  <si>
    <t>Providing wastewater services for the city of Zaragoza</t>
  </si>
  <si>
    <t>https://www.zaragoza.es/sede/portal/agua/saneamiento/</t>
  </si>
  <si>
    <t>8705</t>
  </si>
  <si>
    <t>Irish Water</t>
  </si>
  <si>
    <t>Uisce Éireann</t>
  </si>
  <si>
    <t>National</t>
  </si>
  <si>
    <t>Providing water and wastewater services to the whole of the Republic of Ireland</t>
  </si>
  <si>
    <t>https://www.water.ie</t>
  </si>
  <si>
    <t>Katowickie Wodociągi S.A.</t>
  </si>
  <si>
    <t>Katowickie Wodociągi Spółka Akcyjna</t>
  </si>
  <si>
    <t>Katowice Waterworks</t>
  </si>
  <si>
    <t>Katowice</t>
  </si>
  <si>
    <t>Providing  services in the field of water and sewage management for the residents of the city of Katowice</t>
  </si>
  <si>
    <t>https://wodociagi.katowice.pl/?utm_source=chatgpt.com</t>
  </si>
  <si>
    <t>2024-2026</t>
  </si>
  <si>
    <t>12-15</t>
  </si>
  <si>
    <t>3893</t>
  </si>
  <si>
    <t>Marche Multiservizi S.p.A.</t>
  </si>
  <si>
    <t>Marche Multiservizi</t>
  </si>
  <si>
    <t>Pesaro</t>
  </si>
  <si>
    <t>Providing water and wastewater services in the ATO Marche Centro-Ancona</t>
  </si>
  <si>
    <t>Hera SpA (46.39%)  / Public shareholders (52.85%)  / Private shareholders (0.03%)</t>
  </si>
  <si>
    <t>http://www.gruppomarchemultiservizi.it</t>
  </si>
  <si>
    <t>https://www.ato1acqua.marche.it/atomarchen1/zf/index.php/servizi-aggiuntivi/index/index/idtesto/87</t>
  </si>
  <si>
    <t>6646</t>
  </si>
  <si>
    <t>Rijn en Ijssel</t>
  </si>
  <si>
    <t>Doetinchem</t>
  </si>
  <si>
    <t>Providing wastewater services and dyke management to 22 municipalities in East Gelderland, south Overijssel and the southeast of the Veluwe.</t>
  </si>
  <si>
    <t>http://www.wrij.nl</t>
  </si>
  <si>
    <t>Waterschap Rijn en Ijssel</t>
  </si>
  <si>
    <t>834</t>
  </si>
  <si>
    <t>Metropolitana Milanese SpA</t>
  </si>
  <si>
    <t>MM SpA</t>
  </si>
  <si>
    <t>Metropolitana Milanese manages the Integrated water service for the city of Milan.</t>
  </si>
  <si>
    <t>https://www.mmspa.eu</t>
  </si>
  <si>
    <t>MSD = Manutenzione Straordinaria Distrettuale</t>
  </si>
  <si>
    <t>3086</t>
  </si>
  <si>
    <t>Limoges Métropole</t>
  </si>
  <si>
    <t>Haute-Vienne</t>
  </si>
  <si>
    <t>Limoges</t>
  </si>
  <si>
    <t>Providing 20 municipalities with wastewater services</t>
  </si>
  <si>
    <t>http://www.agglo-limoges.fr</t>
  </si>
  <si>
    <t>6639</t>
  </si>
  <si>
    <t>AWW</t>
  </si>
  <si>
    <t>Antwerp</t>
  </si>
  <si>
    <t>Providing water and wastewater services to City of Antwerpen and surrounding areas, including the port of Antwerpen. Water-link is part of AquaFlanders, an umbrella organization of water companies in Flanders.</t>
  </si>
  <si>
    <t>https://water-link-jaarverslag.be/</t>
  </si>
  <si>
    <t>626</t>
  </si>
  <si>
    <t>Münchner Stadtentwässerung</t>
  </si>
  <si>
    <r>
      <t>M</t>
    </r>
    <r>
      <rPr>
        <sz val="11"/>
        <color rgb="FF0D0D0D"/>
        <rFont val="Aptos Narrow"/>
        <family val="2"/>
      </rPr>
      <t>ünchner Stadtentwässerung</t>
    </r>
  </si>
  <si>
    <t>Munich City Drainage</t>
  </si>
  <si>
    <t>Munich</t>
  </si>
  <si>
    <t>Providing wastewater services to Munich</t>
  </si>
  <si>
    <t>http://www.muenchen.de/rathaus/Stadtverwaltung/baureferat/mse/Unternehmen.html</t>
  </si>
  <si>
    <t>2020-2029</t>
  </si>
  <si>
    <t>Doc 1: 2024-2030-onwards [p. 24, 45, 71, 82, 83, 84, 85, 86]; Doc 2: 2020-onwards [p. 23, 38, 57, 65, 66, 67, 68, 69]</t>
  </si>
  <si>
    <t xml:space="preserve">Doc 1: https://risi.muenchen.de/risi/dokument/v/9306860  Doc 2: https://risi.muenchen.de/risi/dokument/v/6333991 </t>
  </si>
  <si>
    <t xml:space="preserve">Doc 1: NB: there are detailed breakdowns of each individual item on Investitions Liste [IL] 1 but NOT for IL2 or IL3. There is no Investitionsprogramm for Betrieb und Gebaeude for IL 3. Finanzierung bis 2024 [finances up to 2024] are logged under ‘Prior Year Spending/Costs (PY)’; Restfinanzierung 2030 ff [remaining finances from 2030-onwards] are logged under ‘Future Year Costs (FC)’. Extracted years 2025-2029. Doc 2: NB: there are detailed breakdowns of each individual item on Investitions Liste [IL] 1 but NOT for IL2 or IL3. There is no Investitionsprogramm for Betrieb und Gebaeude for IL 3. Finanzierung bis 2019 [finances up to 2019] are logged under ‘Prior year Spending/Costs (PY’; Restfinanzierung 2025 ff [remaining finances from 2025-onwards] are logged under ‘Future Year Costs (FC)’. Extracted years 2020-2024. </t>
  </si>
  <si>
    <t>Doc 1: https://risi.muenchen.de/risi/sitzungsvorlage/detail/9222524 ; Doc 2: https://risi.muenchen.de/risi/sitzungsvorlage/detail/6155989</t>
  </si>
  <si>
    <t>yes but no explanation of them</t>
  </si>
  <si>
    <t>6632</t>
  </si>
  <si>
    <t>Miejskie Przedsiębiorsto Wodociągów i Kanalizacji S.A. we Wrocławiu</t>
  </si>
  <si>
    <t>Wrocław</t>
  </si>
  <si>
    <t>Providing water and wastewater services to City of Wroclaw and neighbouring municipalities</t>
  </si>
  <si>
    <t>6622</t>
  </si>
  <si>
    <t>Dunántúli Regionális Vízmu Zrt.</t>
  </si>
  <si>
    <t>Siófok</t>
  </si>
  <si>
    <t>Providing water and wastewater services to multiple counties west of the Danube</t>
  </si>
  <si>
    <t>http://www.drv.hu</t>
  </si>
  <si>
    <t>6623</t>
  </si>
  <si>
    <t>Baz + Emma</t>
  </si>
  <si>
    <t>Rigas Udens</t>
  </si>
  <si>
    <t>Riga Water</t>
  </si>
  <si>
    <t>Riga</t>
  </si>
  <si>
    <t>Providing water and wastewater services to Riga City and surrounding municipalities</t>
  </si>
  <si>
    <t>https://www.rigasudens.lv</t>
  </si>
  <si>
    <t>all</t>
  </si>
  <si>
    <t>https://portalplus.riga.lv/NAAPD-DAM/index.php/Main/getData/1029133001</t>
  </si>
  <si>
    <t>Filter by Rigas Udens (column M)), can we generate descriptions using the results and the start-end date without making it sound like they are all already finished?</t>
  </si>
  <si>
    <t>https://portalplus.riga.lv/NAAPD-DAM/index.php/main/element/1035824148</t>
  </si>
  <si>
    <t>council search https://portalplus.riga.lv/NAAPD-DAM/index.php</t>
  </si>
  <si>
    <t>SIA "Rīgas ūdens"</t>
  </si>
  <si>
    <t>6613</t>
  </si>
  <si>
    <t>Schieland en de Krimpenerwaard</t>
  </si>
  <si>
    <t>Rotterdam</t>
  </si>
  <si>
    <t>Providing wastewater services to the areas of Rotterdam, Schoonhoven and Zoetermeer</t>
  </si>
  <si>
    <t>http://www.schielandendekrimpenerwaard.nl</t>
  </si>
  <si>
    <t>619</t>
  </si>
  <si>
    <t>Nantes Métropole</t>
  </si>
  <si>
    <t>City of Nantes</t>
  </si>
  <si>
    <t>Loire-Atlantique</t>
  </si>
  <si>
    <t>La Roche-sur-Yon</t>
  </si>
  <si>
    <t>Providing 24 municipalities with drinking water services. The utility also provides 24 municipalities with wastewater services</t>
  </si>
  <si>
    <t>Veolia Eau/ SAUR/ Lyonnaise des Eaux (Suez Environnement)</t>
  </si>
  <si>
    <t>http://www.nantesmetropole.fr</t>
  </si>
  <si>
    <t>2024-2040</t>
  </si>
  <si>
    <t>18.02.2026</t>
  </si>
  <si>
    <t>https://leaa-citoyens.nantesmetropole.fr/arcade/index.html#/portal/globalSearch</t>
  </si>
  <si>
    <t>718</t>
  </si>
  <si>
    <t>Empresa Municipal de Aguas de Málaga S.A.</t>
  </si>
  <si>
    <t>Málaga</t>
  </si>
  <si>
    <t>Providing water and wastewater services to City of Malaga and a few other surrounding municipalities</t>
  </si>
  <si>
    <t>https://www.emasa.es</t>
  </si>
  <si>
    <t>6689</t>
  </si>
  <si>
    <t>Vestfjorden Avløpsselskap – VEAS</t>
  </si>
  <si>
    <t>Slemmestad</t>
  </si>
  <si>
    <t>Providing wastewater services to the associated municipalities</t>
  </si>
  <si>
    <t>https://www.veas.nu/</t>
  </si>
  <si>
    <t>3864</t>
  </si>
  <si>
    <t>Acquedotto Lucano S.p.A.</t>
  </si>
  <si>
    <t>Basilicata</t>
  </si>
  <si>
    <t>Potenza</t>
  </si>
  <si>
    <t>Providing water and wastewater services to 130 municipalities</t>
  </si>
  <si>
    <t>http://www.acquedottolucano.it</t>
  </si>
  <si>
    <t>6732</t>
  </si>
  <si>
    <t>Waterschap Drents Overijsselse Delta</t>
  </si>
  <si>
    <t>Zwolle</t>
  </si>
  <si>
    <t>Providing wastewater services and waterway management to 22 municipalities in the western part of the province of Overijssel</t>
  </si>
  <si>
    <t>https://www.wdodelta.nl/</t>
  </si>
  <si>
    <t>6618</t>
  </si>
  <si>
    <t>Bratislavská vodárenská spolocnost, a.s.</t>
  </si>
  <si>
    <t>Bratislava</t>
  </si>
  <si>
    <t>Providing water and wastewater services to Bratislava Region, a portion of the Trnava Region (Senica and Skalica Districts) and a portion of the Trenčín Region (Myjava District)</t>
  </si>
  <si>
    <t>http://www.bvsas.sk</t>
  </si>
  <si>
    <t>3865</t>
  </si>
  <si>
    <t>A2A Ciclo Idrico S.p.A.</t>
  </si>
  <si>
    <t>Providing water and wastewater services in 80 municipalities in the province of Brescia</t>
  </si>
  <si>
    <t>A2A SpA</t>
  </si>
  <si>
    <t>http://www.a2acicloidrico.eu/</t>
  </si>
  <si>
    <t>631</t>
  </si>
  <si>
    <t>Leipziger Wasserwerke</t>
  </si>
  <si>
    <t>Leipzig</t>
  </si>
  <si>
    <t>Providing water and wastewater services to Leipzig and surrounding areas</t>
  </si>
  <si>
    <t>City of Leipzig (74.65%) / Zweckverband für Wasserversorgung und Abwasserbeseitigung Leipzig-Land (25.36%)</t>
  </si>
  <si>
    <t>https://www.l.de/stadtwerke</t>
  </si>
  <si>
    <t>6675</t>
  </si>
  <si>
    <t>Gothenburg Water and Sewerage Department</t>
  </si>
  <si>
    <t>Angered</t>
  </si>
  <si>
    <t>Providing water and wastewater services in the city of Gothenburg</t>
  </si>
  <si>
    <t>http://goteborg.se/wps/portal/start/kommun-o-politik/kommunens-organisation/forvaltningar/forvaltningar/forvaltningen-kretslopp-och-vatten/!ut/p/z1/hY7LCoMwFES_xm3uNT4SuwtSBPvaFLTZFJU0StVI1Ar9-tptaenshjnDDEjIQfbFo9HF1Ji-aFd_keHVpwm6qe_ukq1gKIKYBofjyYvPCNk_QK4x_pBASEE2ZUeWqiNIKA0YpzyKOPN5FEbsvS_60uMapFU3ZZUls11v1dM0jBsHHVyWhWhjdKtIZch8d_BbqTbjBPknC0OXP_cqEy_RA3se/dz/d5/L2dBISEvZ0FBIS9nQSEh/</t>
  </si>
  <si>
    <t>6663</t>
  </si>
  <si>
    <t>Services Industriels de Genève</t>
  </si>
  <si>
    <t>Switzerland</t>
  </si>
  <si>
    <t>Canton Geneva</t>
  </si>
  <si>
    <t>Genève</t>
  </si>
  <si>
    <t>Providing water and wastewater services to Canton of Geneva</t>
  </si>
  <si>
    <t>http://www.sig-ge.ch</t>
  </si>
  <si>
    <t>7473</t>
  </si>
  <si>
    <t>Intercommunale de Développement Economique et d'Aménagement de la Région Mons-Borinage-Centre</t>
  </si>
  <si>
    <t>Mons</t>
  </si>
  <si>
    <t>Providing wastewater services to 27 municipalities</t>
  </si>
  <si>
    <t>http://www.idea.be</t>
  </si>
  <si>
    <t>3866</t>
  </si>
  <si>
    <t>Pavia Acque S.r.l.</t>
  </si>
  <si>
    <t>Pavia</t>
  </si>
  <si>
    <t>Providing water and wastewater services in 190 municipalities in the province of Pavia</t>
  </si>
  <si>
    <t>http://www.paviaacque.it</t>
  </si>
  <si>
    <t>6610</t>
  </si>
  <si>
    <t>Západoslovenská vodárenská spoločnosť, a.s.</t>
  </si>
  <si>
    <t>Nitra</t>
  </si>
  <si>
    <t>Providing water and wastewater services to Districts of Dunajská Streda, Galanta, Šaľa, Levice, Nové Zámky, Nitra, Zlaté Moravce, Topoľčany, Bánovce nad Bebravou, Partizánskeand part of district Komárno</t>
  </si>
  <si>
    <t>https://www.zsvs.sk</t>
  </si>
  <si>
    <t>3099</t>
  </si>
  <si>
    <t>Association of municipalities of Dunkerque</t>
  </si>
  <si>
    <t>Nord</t>
  </si>
  <si>
    <t>Dunkerque</t>
  </si>
  <si>
    <t>Providing 17 municipalities with wastewater services, 10 by delegated management</t>
  </si>
  <si>
    <t>https://www.communaute-urbaine-dunkerque.fr/</t>
  </si>
  <si>
    <t>6666</t>
  </si>
  <si>
    <t>S.C. Compania De Apa Somes S.A.</t>
  </si>
  <si>
    <t>Cluj-Napoca</t>
  </si>
  <si>
    <t>Providing water and wastewater services to Cluj and Salaj Counties</t>
  </si>
  <si>
    <t>http://www.casomes.ro</t>
  </si>
  <si>
    <t>4758</t>
  </si>
  <si>
    <t>Hidralia, Gestión Integral de Aguas de Andalucía, SA</t>
  </si>
  <si>
    <t>Providing water and wastewater services to provides water supply to 58 municipalities and wastwater services to 55 municipalities in in Andalusia.</t>
  </si>
  <si>
    <t>Unicaja Banco SA   / Suez Group</t>
  </si>
  <si>
    <t>http://www.hidralia-sa.es/</t>
  </si>
  <si>
    <t>2066</t>
  </si>
  <si>
    <t>Severomoravské Vodovody a Kanalizace Ostrava (SMVAK)</t>
  </si>
  <si>
    <t>Ostrava</t>
  </si>
  <si>
    <t>Severomoravské vodovody a kanalizace Ostrava a. s. is the largest water supply company in the Moravian-Silesian region. From 1999 until 25 February 2004, the majority shareholder was Anglian Water. In 2004, Anglian Water sold its 54.3% interest to Penta (Waterfall Holding), while Suez (Ondeo) also sold its 44.07% stake to Penta. In April 2006, Penta sold its 98.47% stake in the company to FCC aqualia. In 2013, aqualia sold 49% of the company to Mitsui. In 2017 aqualia agreed to buy Mitsui's 49% stake for €92.5 million, taking aqualia's stake to 100%.</t>
  </si>
  <si>
    <t>http://www.smvak.cz/</t>
  </si>
  <si>
    <t>3120</t>
  </si>
  <si>
    <t>Association of municipalities Valence-Romans</t>
  </si>
  <si>
    <t>Drôme</t>
  </si>
  <si>
    <t>Valence</t>
  </si>
  <si>
    <t>Providing 49 municipalities with wastewater services</t>
  </si>
  <si>
    <t>http://www.valenceromansagglo.fr/</t>
  </si>
  <si>
    <t>6676</t>
  </si>
  <si>
    <t>Käppala Association</t>
  </si>
  <si>
    <t>Lindingö</t>
  </si>
  <si>
    <t>Providing wastewater services to 11 associated municipalities</t>
  </si>
  <si>
    <t>https://www.kappala.se/</t>
  </si>
  <si>
    <t>3868</t>
  </si>
  <si>
    <t>Acqualatina S.p.A.</t>
  </si>
  <si>
    <t>Lazio</t>
  </si>
  <si>
    <t>Latina</t>
  </si>
  <si>
    <t>Providing water and wastewater services in 38 municipalities of the ATO 4 Lazio Meridionale-Latina. Italgas subsidiary Nepta acquired Veolia's stake in the company in 2023 as part of its acquistion of Veolia's concessions in Lazio, Campania and Sicily.</t>
  </si>
  <si>
    <t>Italgas (Nepta) (49%)  / Public shareholders (51%)</t>
  </si>
  <si>
    <t>http://www.acqualatina.it</t>
  </si>
  <si>
    <t>1977</t>
  </si>
  <si>
    <t>Dublin City Council</t>
  </si>
  <si>
    <t>Providing water and wastewater services to Dublin City</t>
  </si>
  <si>
    <t>http://www.dublincity.ie/</t>
  </si>
  <si>
    <t>3090</t>
  </si>
  <si>
    <t>Association of municipalities Cergy-Pontoise - Wastewater</t>
  </si>
  <si>
    <t>Cergy-Pontoise</t>
  </si>
  <si>
    <t>Providing wastewater services to 12 municipalities</t>
  </si>
  <si>
    <t>Cergy Pontoise Assainissement (common subsidiary between Suez Environnement and Veolia Eau)</t>
  </si>
  <si>
    <t>6650</t>
  </si>
  <si>
    <t>Vilniaus Vendenys</t>
  </si>
  <si>
    <t>Vilnius</t>
  </si>
  <si>
    <t>Providing water and wastewater services to Vilnius City, Šalčininkai, Švenčionys and Vilnius District</t>
  </si>
  <si>
    <t>http://www.vv.lt</t>
  </si>
  <si>
    <t>6638</t>
  </si>
  <si>
    <t>S.C. Raja Constanta S.A.</t>
  </si>
  <si>
    <t>Constanta</t>
  </si>
  <si>
    <t>Providing water and wastewater services to Constanta</t>
  </si>
  <si>
    <t>http://rajac.ro/</t>
  </si>
  <si>
    <t>3293</t>
  </si>
  <si>
    <t>Oldenburg - Ostfriesischer Wasserverband</t>
  </si>
  <si>
    <t>Brake</t>
  </si>
  <si>
    <t>Providing water and wastewater services to Oldenburg and Brake</t>
  </si>
  <si>
    <t>http://www.oowv.de/</t>
  </si>
  <si>
    <t>3876</t>
  </si>
  <si>
    <t>Alto Trevigiano Servizi</t>
  </si>
  <si>
    <t>Montebelluna</t>
  </si>
  <si>
    <t>Providing water and wastewater services in 50 municipalities in the ATO Veneto Orientale</t>
  </si>
  <si>
    <t>http://www.altotrevigianoservizi.it</t>
  </si>
  <si>
    <t>27938</t>
  </si>
  <si>
    <t>Reggio Emilia - Azienda Reggiana per la Cura dell’Acqua</t>
  </si>
  <si>
    <t>Emilia-Romagna</t>
  </si>
  <si>
    <t>Reggio Emilia</t>
  </si>
  <si>
    <t>To manage water and wastewater assets for 500,000 people in 41 municipalities in the province of Reggio Emilia, Emilia Romagna. The contract excludes the city of Toano. The concessionaire will operate under the name ARCA (Azienda Reggiana per la Cura dell’Acqua), with the public shares held through AGAC Infrastrutture S.p.A. and the private (minority) shares held by Iren subsidiary IRETI.</t>
  </si>
  <si>
    <t>Iren (40%) / Public holding (60%)</t>
  </si>
  <si>
    <t>3870</t>
  </si>
  <si>
    <t>Umbra Acque S.p.A.</t>
  </si>
  <si>
    <t>Umbria</t>
  </si>
  <si>
    <t>Perugia</t>
  </si>
  <si>
    <t>Providing water and wastewater services in the ATI (Ambito Territoriale Integrato) 1 and 2 in the Umbria region</t>
  </si>
  <si>
    <t>Acea Spa (40%)  / Municipalities (60%)</t>
  </si>
  <si>
    <t>http://www.umbraacque.com/</t>
  </si>
  <si>
    <t>6673</t>
  </si>
  <si>
    <t>Gdańskie Wodociągi</t>
  </si>
  <si>
    <t>Gdańsk</t>
  </si>
  <si>
    <t xml:space="preserve">Utility serving the city of Gdańsk and neighbouring municipalities in Poland. From 1992 to 2022, the utility was operated under a lease contract and Saur held a 51% share of the company. For the duration of the contract the utility was named Saur Neptun Gdańsk. </t>
  </si>
  <si>
    <t>https://www.gdanskiewodociagi.pl/</t>
  </si>
  <si>
    <t>Not available- asked Gdansk for it</t>
  </si>
  <si>
    <t>6678</t>
  </si>
  <si>
    <t>VA SYD</t>
  </si>
  <si>
    <t>Malmö</t>
  </si>
  <si>
    <t>Providing water and wastewater services in the city of Malmö and the municipalities of Burlövs, Eslövs and Lunds</t>
  </si>
  <si>
    <t>http://www.vasyd.se</t>
  </si>
  <si>
    <t>3096</t>
  </si>
  <si>
    <t>Amiens Métropole - Wastewater</t>
  </si>
  <si>
    <t>Amiens</t>
  </si>
  <si>
    <t>Providing wastewater services to 33 municipalities</t>
  </si>
  <si>
    <t>3075</t>
  </si>
  <si>
    <t>Nimes Métropole</t>
  </si>
  <si>
    <r>
      <t>N</t>
    </r>
    <r>
      <rPr>
        <sz val="11"/>
        <rFont val="Aptos Narrow"/>
        <family val="2"/>
      </rPr>
      <t>î</t>
    </r>
    <r>
      <rPr>
        <sz val="10.25"/>
        <rFont val="Arial"/>
        <family val="1"/>
      </rPr>
      <t>mes</t>
    </r>
    <r>
      <rPr>
        <sz val="11"/>
        <rFont val="Arial"/>
        <family val="1"/>
      </rPr>
      <t xml:space="preserve"> Métropole</t>
    </r>
  </si>
  <si>
    <t>City of Nîmes</t>
  </si>
  <si>
    <t>Gard</t>
  </si>
  <si>
    <t>Nimes</t>
  </si>
  <si>
    <t>Providing 35 municipalities with drinking water services. The utility also provides 39 municipalities with wastewater services. All its services are operated by delegated management</t>
  </si>
  <si>
    <t>SADE (Veolia Eau)/ SDEI, subsidiary of Lyonnaise des Eaux (Suez Environnement)/ SAUR</t>
  </si>
  <si>
    <t>http://www.nimes-metropole.fr/</t>
  </si>
  <si>
    <t>2019-2035</t>
  </si>
  <si>
    <t>p. 18 (Tableau 9), p. 28 (Tableau 14)</t>
  </si>
  <si>
    <t>https://www.nimes-metropole.fr/fileadmin/mediatheque/canm/mon-quotidien/eau/general/schema-directeur-eau-potable-assainissement-annexe.pdf</t>
  </si>
  <si>
    <t>https://www.nimes-metropole.fr/mon-quotidien/eau/cycles-de-leau-et-agglo?utm_source=chatgpt.com</t>
  </si>
  <si>
    <t>p. 16, p. 24, p. 26</t>
  </si>
  <si>
    <t>23710</t>
  </si>
  <si>
    <t>Paris Est-Marne et Bois</t>
  </si>
  <si>
    <t>Paris</t>
  </si>
  <si>
    <t>Providing 13 municipalities with wastewater services</t>
  </si>
  <si>
    <t>https://parisestmarnebois.fr/</t>
  </si>
  <si>
    <t>6612</t>
  </si>
  <si>
    <t>ViK Plovdiv</t>
  </si>
  <si>
    <t>Plovdiv</t>
  </si>
  <si>
    <t>Providing water and wastewater services to Plovdiv region</t>
  </si>
  <si>
    <t>https://www.vik.bg</t>
  </si>
  <si>
    <t>3874</t>
  </si>
  <si>
    <t>Acea Ato 5</t>
  </si>
  <si>
    <t>Frosinone</t>
  </si>
  <si>
    <t>Providing water and wastewater services in the ATO Lazio Meridionale-Frosinone</t>
  </si>
  <si>
    <t>Acea SpA (94.58%)  / Public shareholders (5.42%)</t>
  </si>
  <si>
    <t>http://www.aceaato5.it</t>
  </si>
  <si>
    <t>6725</t>
  </si>
  <si>
    <t>Noorderzijlvest</t>
  </si>
  <si>
    <t>Waterschap Noorderzijlvest</t>
  </si>
  <si>
    <t>Noorderzijlvest Water Board</t>
  </si>
  <si>
    <t>Groningen</t>
  </si>
  <si>
    <t>Providing wastewater services and dyke managament to the north and west areas of the province of Groningen, in the northern part of Drenther and the Frisian part of the Lauwersmeerarea</t>
  </si>
  <si>
    <t>http://www.noorderzijlvest.nl</t>
  </si>
  <si>
    <t>pp. 28-30</t>
  </si>
  <si>
    <t>https://cuatro.sim-cdn.nl/noorderzijlvest/uploads/2464199%20Noorderzijlvest%20-%20Jaarplan%202025%20-%20A4%20-%20TOEGANKELIJK.pdf?cb=BTS7XTae</t>
  </si>
  <si>
    <t>https://www.noorderzijlvest.nl/jaarplan-2025</t>
  </si>
  <si>
    <t>Utility</t>
  </si>
  <si>
    <t>3872</t>
  </si>
  <si>
    <t>Consorzio Idrico Terra di Lavoro</t>
  </si>
  <si>
    <t>Caserta</t>
  </si>
  <si>
    <t>Providing water and wastewater services in 71 municipalities in the province of Caserta</t>
  </si>
  <si>
    <t>http://www.citl.it</t>
  </si>
  <si>
    <t>26096</t>
  </si>
  <si>
    <t>CA Cannes Pays de Lérins</t>
  </si>
  <si>
    <t>Alpes-Maritimes</t>
  </si>
  <si>
    <t>Cannes</t>
  </si>
  <si>
    <t>Providing 8 municipalities with wastewater services, all by delegated management</t>
  </si>
  <si>
    <t>http://www.paysdelerins.fr/</t>
  </si>
  <si>
    <t>4771</t>
  </si>
  <si>
    <t>EMPRESA MUNICIPAL DE AGUAS DE LA CORUÑA, S.A.</t>
  </si>
  <si>
    <t>A Coruña</t>
  </si>
  <si>
    <t>Providing water and wastewater services to Water services to City of La Coruña and wastewater treatment to La Coruña, Cambre, Culleredo, Arteixo y Oleiros</t>
  </si>
  <si>
    <t>https://www.emalcsa.es/</t>
  </si>
  <si>
    <t>7448</t>
  </si>
  <si>
    <t>Tiszamenti Regionális Vízmuvek Zrt.</t>
  </si>
  <si>
    <t>Providing water and wastewater services to 5 counties</t>
  </si>
  <si>
    <t>http://www.trvzrt.hu</t>
  </si>
  <si>
    <t>6665</t>
  </si>
  <si>
    <t>Vodárenská akciová společnost, a. s.</t>
  </si>
  <si>
    <t>Brno</t>
  </si>
  <si>
    <t>Providing water and wastewater services to Boskovice, Brno-outskirts, Jihlava, Trebic, Znojmo, Zdar nad Sazavou</t>
  </si>
  <si>
    <t>http://www.vodarenska.cz/</t>
  </si>
  <si>
    <t>3102</t>
  </si>
  <si>
    <t>Syndicat Intercommunal d'Assainissement de la Vallée de L'Orge Aval</t>
  </si>
  <si>
    <t>Essonne</t>
  </si>
  <si>
    <t>Viry-Châtillon</t>
  </si>
  <si>
    <t>Providing 38 municipalities with wastewater services</t>
  </si>
  <si>
    <t>https://www.syndicatdelorge.fr/</t>
  </si>
  <si>
    <t>26036</t>
  </si>
  <si>
    <t>CA de Pau Bearn Pyrénées</t>
  </si>
  <si>
    <t>Pyrénées-Atlantiques</t>
  </si>
  <si>
    <t>Pau</t>
  </si>
  <si>
    <t>https://www.pau.fr/</t>
  </si>
  <si>
    <t>6664</t>
  </si>
  <si>
    <t>ČEVAK, a.s</t>
  </si>
  <si>
    <t>České Budějovice</t>
  </si>
  <si>
    <t>Providing water and wastewater services to Ceske Budejovice, Tabor, Jindrichuv Hradec, Pisek, Strakonice</t>
  </si>
  <si>
    <t>http://www.cevak.cz</t>
  </si>
  <si>
    <t>3875</t>
  </si>
  <si>
    <t>Alto Calore Servizi S.p.A.</t>
  </si>
  <si>
    <t>Avellino</t>
  </si>
  <si>
    <t>Providing water and wastewater services to 126 members: 125 Municipalities of the Provinces of Avellino and Benevento and the Provincial Administration of Avellino.</t>
  </si>
  <si>
    <t>http://www.altocalore.it</t>
  </si>
  <si>
    <t>4856</t>
  </si>
  <si>
    <t>Consorci per a la Defensa de la Conca del riu Besòs</t>
  </si>
  <si>
    <t>Granollers</t>
  </si>
  <si>
    <t>Providing wastewater services to 35 municipalities (including Mollet del Vallès) in Catalonia</t>
  </si>
  <si>
    <t>http://besos-tordera.cat/</t>
  </si>
  <si>
    <t>4772</t>
  </si>
  <si>
    <t>Aguas de Murcia</t>
  </si>
  <si>
    <t>Providing water and wastewater services to City of Murcia</t>
  </si>
  <si>
    <t>Ayuntamiento de Murcia (51%)  / Aguas de Barcelona  (49%) [via wholly owned subsidary Hidrogea]</t>
  </si>
  <si>
    <t>http://www.emuasa.es/</t>
  </si>
  <si>
    <t>4863</t>
  </si>
  <si>
    <t>Medio Ambiente, Agua, Residuos y Energia de Cantabria</t>
  </si>
  <si>
    <t>Cantabria</t>
  </si>
  <si>
    <t>San Vicente de la Barquera</t>
  </si>
  <si>
    <t>Providing wastewater services to 75% of the wastewater services in Cantabria</t>
  </si>
  <si>
    <t>http://www.mare.es/</t>
  </si>
  <si>
    <t>3114</t>
  </si>
  <si>
    <t>Troyes Champagne Métropole</t>
  </si>
  <si>
    <t>Aube</t>
  </si>
  <si>
    <t>Troyes</t>
  </si>
  <si>
    <t>Providing 26 municipalities with wastewater services</t>
  </si>
  <si>
    <t>http://troyes-champagne-metropole.fr/</t>
  </si>
  <si>
    <t>6642</t>
  </si>
  <si>
    <t>Oslo Water and Sewerage Works</t>
  </si>
  <si>
    <t>Oslo Vann og avløp</t>
  </si>
  <si>
    <t>Oslo</t>
  </si>
  <si>
    <t>Providing water and wastewater services in the municipalities of Oslo and Ski</t>
  </si>
  <si>
    <t>https://www.oslo.kommune.no/vann-og-avlop/</t>
  </si>
  <si>
    <t>2025-2028</t>
  </si>
  <si>
    <t>https://www.oslo.kommune.no/getfile.php/13520895-1727256846/Tjenester%20og%20tilbud/Politikk%20og%20administrasjon/Budsjett%2C%20regnskap%20og%20rapportering/Budsjett%202025/Budsjettforslag%202025/Vedlegg%201%20-%20Byrådets%20forslag%20til%20budsjett%202025%20og%20økonomiplan%202025-2028.pdf</t>
  </si>
  <si>
    <t>https://www.oslo.kommune.no/politikk/budsjett-regnskap-og-rapportering/budsjett-2025/dokumentoversikt/</t>
  </si>
  <si>
    <t>3127</t>
  </si>
  <si>
    <t>Association of municipalities Plaine-Commune</t>
  </si>
  <si>
    <t>Saint-Denis</t>
  </si>
  <si>
    <t>Providing 9 municipalities with wastewater services</t>
  </si>
  <si>
    <t>https://plainecommune.fr/</t>
  </si>
  <si>
    <t>3878</t>
  </si>
  <si>
    <t>G.A.I.A. S.p.A.</t>
  </si>
  <si>
    <t>Lucca</t>
  </si>
  <si>
    <t>Providing water and wastewater services in the ATO Toscana Nord</t>
  </si>
  <si>
    <t>http://www.gaia-spa.it</t>
  </si>
  <si>
    <t>6686</t>
  </si>
  <si>
    <t>Intercommunale Namuroise de Services Publics</t>
  </si>
  <si>
    <t>Naninne</t>
  </si>
  <si>
    <t>Providing water and wastewater services to 38 municipalities</t>
  </si>
  <si>
    <t>http://www.inasep.be/</t>
  </si>
  <si>
    <t>3873</t>
  </si>
  <si>
    <t>CIIP - Cicli Integrati Impianti Primari S.p.A.</t>
  </si>
  <si>
    <t>Marche</t>
  </si>
  <si>
    <t>Ascoli Piceno</t>
  </si>
  <si>
    <t>Providing water and wastewater services in the ATO Marche Sud-Ascoli Piceno</t>
  </si>
  <si>
    <t>http://www.ciip.it</t>
  </si>
  <si>
    <t>3881</t>
  </si>
  <si>
    <t>CAFC S.p.A.</t>
  </si>
  <si>
    <t>Friuli-Venezia Giulia</t>
  </si>
  <si>
    <t>Udine</t>
  </si>
  <si>
    <t>Providing water and wastewater services in 83 municipalities in the province of Udine</t>
  </si>
  <si>
    <t>http://www.cafcspa.com</t>
  </si>
  <si>
    <t>4022</t>
  </si>
  <si>
    <t>Carniacque S.p.A.</t>
  </si>
  <si>
    <t>Tolmezzo</t>
  </si>
  <si>
    <t>Providing water and wastewater services to 41 municipalities in the province of Udine</t>
  </si>
  <si>
    <t>Hera SpA (34.85%)  / Municipalities (46.66%)  / Others (18.49%)</t>
  </si>
  <si>
    <t>http://www.cafcspa.com/</t>
  </si>
  <si>
    <t>6697</t>
  </si>
  <si>
    <t>Hunze en Aa's</t>
  </si>
  <si>
    <t>Veendam</t>
  </si>
  <si>
    <t>Providing wastewater services and water defenses in the region of North-Groningen and Northeast-Drenthe</t>
  </si>
  <si>
    <t>http://www.hunzeenaas.nl</t>
  </si>
  <si>
    <t>3577</t>
  </si>
  <si>
    <t>WSW Energie &amp; Wasser AG</t>
  </si>
  <si>
    <t>Wuppertal</t>
  </si>
  <si>
    <t>Providing water and wastewater services to Wuppertal</t>
  </si>
  <si>
    <t>City of Wuppertal (66.5%)  / District of Ennepe-Ruhr-Kreis (0.4%)  / Engie SA (33.1%)</t>
  </si>
  <si>
    <t>http://www.wsw-online.de/energie/Erzeugung</t>
  </si>
  <si>
    <t>3880</t>
  </si>
  <si>
    <t>Acquedotto del Fiora S.p.A.</t>
  </si>
  <si>
    <t>Grosseto</t>
  </si>
  <si>
    <t>Providing water and wastewater services to 55 Municipalities - all 28 in the province of Grosseto and 27 in the province of Siena.</t>
  </si>
  <si>
    <t>Acea SpA (40%) [via Ombrone SpA] / Public shareholders (60%)</t>
  </si>
  <si>
    <t>http://www.fiora.it</t>
  </si>
  <si>
    <t>6704</t>
  </si>
  <si>
    <t>Brněnské vodárny a kanalizace, a. s.</t>
  </si>
  <si>
    <t>Providing water and wastewater services to Brno, Kuřim, Modřice, Březová nad Svitavou, obce Lelekovice, Českou, Moravany, Nebovidy, Vranov, Měnín, Moutnice, Želešice, Štěpánov nad Svratkou, Švařec, Skorotice, Chlébské, Dolní Loučky</t>
  </si>
  <si>
    <t>Statutární město Brno (51%)  / SUEZ Environment (46.27%)  / Small shareholders (2.72%)</t>
  </si>
  <si>
    <t>http://www.bvk.cz/</t>
  </si>
  <si>
    <t>3877</t>
  </si>
  <si>
    <t>Viva Servizi SpA</t>
  </si>
  <si>
    <t>Ancona</t>
  </si>
  <si>
    <t>Providing water and wastewater services in 45 municipalities in the ATO Marche-Centro</t>
  </si>
  <si>
    <t>https://www.vivaservizi.it/</t>
  </si>
  <si>
    <t>724</t>
  </si>
  <si>
    <t>Emalsa</t>
  </si>
  <si>
    <t>Las Palmas</t>
  </si>
  <si>
    <t>Providing water and wastewater services to City of Las Palmas,  the municipality of Santa Brígida and the ports of la Luz and las Palmas. The company also provides water supply services for ships docking at the ports.</t>
  </si>
  <si>
    <t>Ayuntamiento de Las Palmas de Gran Canaria (34%)  / Valoriza Agua (33%)  / SAUR (33%)</t>
  </si>
  <si>
    <t>http://www.emalsa.es/</t>
  </si>
  <si>
    <t>1990</t>
  </si>
  <si>
    <t>Empresa Municipal d’Aigües i Clavegueram SA</t>
  </si>
  <si>
    <t>Palma</t>
  </si>
  <si>
    <t>Providing water and wastewater services to City of Palma de Mallorca</t>
  </si>
  <si>
    <t>http://www.emaya.es/portal/page?_pageid=53,44458&amp;_dad=portal&amp;_schema=PORTAL</t>
  </si>
  <si>
    <t>6803</t>
  </si>
  <si>
    <t>Innsbrucker Kommunalbetriebe AG</t>
  </si>
  <si>
    <t>Tirol</t>
  </si>
  <si>
    <t>Innsbruck</t>
  </si>
  <si>
    <t>Providing water and wastewater services to the city of Innsbruck and 14 adjacent municipalities.</t>
  </si>
  <si>
    <t>http://www.ikb.at</t>
  </si>
  <si>
    <t>https://www.innsbruck.gv.at/stadtpolitik-und-verwaltung/gemeinderat/langzeitarchiv?file-viewer-search-category=&amp;file-viewer-search-term=Innsbrucker+Kommunalbetriebe+AG&amp;file-viewer-search-type=fulltext&amp;file-viewer-page=2</t>
  </si>
  <si>
    <t>https://www.ris.bka.gv.at/Ergebnis.wxe?Abfrage=GemeinderechtAuth&amp;Titel=&amp;Bundesland=Tirol&amp;Bezirk=Stadt+Innsbruck&amp;Gemeinde=&amp;GemeindeAsString=&amp;Gemeindeverband=&amp;GemeindeverbandAsString=&amp;Kundmachungsnummer=&amp;KundmachungsdatumVon=&amp;KundmachungsdatumBis=&amp;BundeslandDefault=Tirol&amp;ImRisSeitVonDatum=&amp;ImRisSeitBisDatum=&amp;ImRisSeit=Undefined&amp;ResultPageSize=100&amp;Suchworte=&amp;Position=1&amp;SkipToDocumentPage=true</t>
  </si>
  <si>
    <t>6705</t>
  </si>
  <si>
    <t>Zakład Wodociagów i Kanalizacji Sp. z o.o. w Szczecinie</t>
  </si>
  <si>
    <t>Szczecin</t>
  </si>
  <si>
    <t>Providing water and wastewater services to Szczecin City</t>
  </si>
  <si>
    <t>http://www.zwik.szczecin.pl/</t>
  </si>
  <si>
    <t>1978</t>
  </si>
  <si>
    <t>Tallinna Vesi</t>
  </si>
  <si>
    <t>Estonia</t>
  </si>
  <si>
    <t>Tallinn</t>
  </si>
  <si>
    <t>Providing water and wastewater services to Tallinn Municipality</t>
  </si>
  <si>
    <t>http://www.tallinnavesi.ee/</t>
  </si>
  <si>
    <t>3871</t>
  </si>
  <si>
    <t>Acqua Novara VCO S.p.A.</t>
  </si>
  <si>
    <t>Novara</t>
  </si>
  <si>
    <t>Providing water and wastewater services to 139 municipalities in the Provinces of Novaro and the VCO</t>
  </si>
  <si>
    <t>http://www.acquanovaravco.eu</t>
  </si>
  <si>
    <t>6760</t>
  </si>
  <si>
    <t>Intercommunale de Propreté Publique du Hainaut Occidental</t>
  </si>
  <si>
    <t>Froyennes</t>
  </si>
  <si>
    <t>Providing wastewater services to 23 municipalities around the city of Charleroi and in the region of Sud Hainaut</t>
  </si>
  <si>
    <t>http://www.ipalle.be/</t>
  </si>
  <si>
    <t>6636</t>
  </si>
  <si>
    <t>Stredoslovenská codárenská prevádzková spoločnosť, a.s.</t>
  </si>
  <si>
    <t>Banská Bystrica</t>
  </si>
  <si>
    <t>Providing water and wastewater services to Region of Banska Bystrica</t>
  </si>
  <si>
    <t>http://www.stvps.sk</t>
  </si>
  <si>
    <t>6547</t>
  </si>
  <si>
    <t>Rijnland</t>
  </si>
  <si>
    <t>Hoogheemraadschap van Rijnland</t>
  </si>
  <si>
    <t>The Rijnland Regional Water Authority</t>
  </si>
  <si>
    <t>Leiden</t>
  </si>
  <si>
    <t>Providing wastewater services in the region of Rhineland</t>
  </si>
  <si>
    <t>http://www.rijnland.net</t>
  </si>
  <si>
    <t>pp. 164-168</t>
  </si>
  <si>
    <t>https://www.rijnland.net/documents/1897/Begroting_2026_en_Meerjarenperspectief_2026-2030_ZLPSCB9.pdf</t>
  </si>
  <si>
    <t>https://www.rijnland.net/over-rijnland/bestuur/planning-en-control/meerjarenperspectief-programmabegroting/?utm_</t>
  </si>
  <si>
    <t>6584</t>
  </si>
  <si>
    <t>Rivierenland</t>
  </si>
  <si>
    <t>Waterschap Rivierenland</t>
  </si>
  <si>
    <t>Rivierenland Water Board</t>
  </si>
  <si>
    <t>Tiel</t>
  </si>
  <si>
    <t>Providing wastewater services to eight municipalities in the region between the great rivers from the German border to Dordrecht</t>
  </si>
  <si>
    <t>http://www.waterschaprivierenland.nl</t>
  </si>
  <si>
    <t>pp. 30-34</t>
  </si>
  <si>
    <t>https://cuatro.sim-cdn.nl/waterschaprivierenland/uploads/begroting_waterschap_rivierenland_2026_bijlagen_1_tot_en_met_14.pdf?cb=TYg3oVIa</t>
  </si>
  <si>
    <t>https://www.waterschaprivierenland.nl/begroting-en-jaarrekening?utm_</t>
  </si>
  <si>
    <t>6716</t>
  </si>
  <si>
    <t>Zuiderzeeland</t>
  </si>
  <si>
    <t>Lelystad</t>
  </si>
  <si>
    <t>Providing wastewater services, dyke management and waterway management to Flevoland and parts of Friesland and Overijssel</t>
  </si>
  <si>
    <t>http://www.zuiderzeeland.nl</t>
  </si>
  <si>
    <t>3883</t>
  </si>
  <si>
    <t>Azienda Comprensoriale Acquedottistica S.p.A.</t>
  </si>
  <si>
    <t>Abruzzo</t>
  </si>
  <si>
    <t>Pescara</t>
  </si>
  <si>
    <t>Providing water and wastewater services in the ATO Pescarese</t>
  </si>
  <si>
    <t>http://www.aca.pescara.it</t>
  </si>
  <si>
    <t>4767</t>
  </si>
  <si>
    <t>Empresa Municipal de Abastecimiento y Saneamiento de Granada , S.A.</t>
  </si>
  <si>
    <t>Granada</t>
  </si>
  <si>
    <t>Providing water and wastewater services to 15 municipalities of the metropolitan area of Granada</t>
  </si>
  <si>
    <t>Ayuntamiento de Granada (51%)  / Aguas de Barcelona (49%) [via wholly owned subsidary Hidralia]</t>
  </si>
  <si>
    <t>http://www.emasagra.es</t>
  </si>
  <si>
    <t>3263</t>
  </si>
  <si>
    <t>Association of municipalities Saint-Quentin-en-Yvelines</t>
  </si>
  <si>
    <t>Yvelines</t>
  </si>
  <si>
    <t>Trappes</t>
  </si>
  <si>
    <t>Providing 13 municipalities with wastewater services, all by delegated management</t>
  </si>
  <si>
    <t>SEVESC</t>
  </si>
  <si>
    <t>https://www.saint-quentin-en-yvelines.fr/fr</t>
  </si>
  <si>
    <t>6720</t>
  </si>
  <si>
    <t>Scheldestromen</t>
  </si>
  <si>
    <t>Middelburg</t>
  </si>
  <si>
    <t>Providing wastewater services to the province of Zealand</t>
  </si>
  <si>
    <t>http://www.scheldestromen.nl</t>
  </si>
  <si>
    <t>https://scheldestromen.nl/sites/default/files/2025-02/Programmabegroting%202025%20en%20Meerjarenraming%202026-2029.pdf?utm_</t>
  </si>
  <si>
    <t>Text (PDF)</t>
  </si>
  <si>
    <t>6771</t>
  </si>
  <si>
    <t>JP Vodovod i kanalizacija d.o.o. Ljubljana</t>
  </si>
  <si>
    <t>Ljubljana</t>
  </si>
  <si>
    <t>Ljublljana</t>
  </si>
  <si>
    <t>Providing water and wastewater services to  Municipality of Ljubljana and partly in the areas of the suburban municipalities: skofljica, Ig, Brezovica, Horjul, Dobrova-Polhov Gradec, Dol pri Ljubljani, Medvode and Velike LasCe.</t>
  </si>
  <si>
    <t>https://www.vokasnaga.si/</t>
  </si>
  <si>
    <t>6719</t>
  </si>
  <si>
    <t>in BW</t>
  </si>
  <si>
    <t>Nivelles</t>
  </si>
  <si>
    <t>Providing water services to 13 municipalities in Wallonia</t>
  </si>
  <si>
    <t>https://www.inbw.be</t>
  </si>
  <si>
    <t>6685</t>
  </si>
  <si>
    <t>Varna ViK</t>
  </si>
  <si>
    <t>Valna</t>
  </si>
  <si>
    <t>Providing water and wastewater services to Varna region</t>
  </si>
  <si>
    <t>http://vikvarna.com</t>
  </si>
  <si>
    <t>6736</t>
  </si>
  <si>
    <t>Przedsiębiorstwo Wodociągów i Kanalizacji Sp. z o.o. w Gdyni</t>
  </si>
  <si>
    <t>Gdynia</t>
  </si>
  <si>
    <t>Providing water and wastewater services to City of Gdynia and neighbouring municipalities</t>
  </si>
  <si>
    <t>http://www.pewik.gdynia.pl</t>
  </si>
  <si>
    <t>Not available- asked Gdynia for it</t>
  </si>
  <si>
    <t>6712</t>
  </si>
  <si>
    <t>S.C. Aquatim S.A. Timisoara</t>
  </si>
  <si>
    <t>Timisoara</t>
  </si>
  <si>
    <t>Providing water and wastewater services to Timis county</t>
  </si>
  <si>
    <t>https://www.aquatim.ro</t>
  </si>
  <si>
    <t>3885</t>
  </si>
  <si>
    <t>Azienda Servizi Ambientali S.p.A.</t>
  </si>
  <si>
    <t>Livorno</t>
  </si>
  <si>
    <t>Providing water and wastewater services in 33 municipalities in the provinces of Pisa, Livorno and Siena</t>
  </si>
  <si>
    <t>Iren SpA (40%) [via Ireti Spa] / Municipalities (60%)</t>
  </si>
  <si>
    <t>http://www.asaspa.it</t>
  </si>
  <si>
    <t>6694</t>
  </si>
  <si>
    <t>Burgas ViK</t>
  </si>
  <si>
    <t>Burgas</t>
  </si>
  <si>
    <t>Providing water and wastewater services to 14 operational regions - Bourgas, Aytos, Karnobat, Sungurlare, Ruen, Obzor, Nessebar, Pomorie, Sozopol, Tsarevo, Primorsko, Malko Tarnovo, Kameno, Sredets and two derivation regions: Kamchiya and Yasna Polyana</t>
  </si>
  <si>
    <t>https://www.vik-burgas.com</t>
  </si>
  <si>
    <t>Stadtwerkessen</t>
  </si>
  <si>
    <t>Stadtwerke Essen</t>
  </si>
  <si>
    <t>Essen City Works</t>
  </si>
  <si>
    <t>Providing water wastewater services to 60 cities and towns in the catchment area of the Ruhr and Lenne</t>
  </si>
  <si>
    <t>pp. 10-17</t>
  </si>
  <si>
    <t>https://ris.essen.de/sdnetrim/UGhVM0hpd2NXNFdFcExjZaIjLpgR0oFhkim5sxamt9Q5YtJ3u_4ujPRjaa3dfh3d/A1-_Erlaeuterungsbericht_ABK_2026.pdf</t>
  </si>
  <si>
    <t>3290</t>
  </si>
  <si>
    <t>Ruhrverband</t>
  </si>
  <si>
    <t>http://www.ruhrverband.de/</t>
  </si>
  <si>
    <t>No - frag den Staat</t>
  </si>
  <si>
    <t>3077</t>
  </si>
  <si>
    <t>Syndicat Intercommunal pour l'Aménagement Hydraulique du Croult et du Petit Rosne</t>
  </si>
  <si>
    <t>Val-d'Oise</t>
  </si>
  <si>
    <t>Bonneuil-en-France</t>
  </si>
  <si>
    <t>Providing 35 municipalities with wastewater services</t>
  </si>
  <si>
    <t>https://www.siah-croult.org/</t>
  </si>
  <si>
    <t>3863</t>
  </si>
  <si>
    <t>Etra S.p.A.</t>
  </si>
  <si>
    <t>Bassano del Grappa</t>
  </si>
  <si>
    <t>Providing water and wastewater services in 75 municipalities in the ATO Bacchiglione</t>
  </si>
  <si>
    <t>http://www.etraspa.it</t>
  </si>
  <si>
    <t>4765</t>
  </si>
  <si>
    <t>Aguas de Alicante</t>
  </si>
  <si>
    <t>Alicante</t>
  </si>
  <si>
    <t>Providing water and wastewater services to 6 municipalities in the province of Alicante</t>
  </si>
  <si>
    <t>Ayuntamiento de Alicante (50%)  / Aguas de Barcelona (50%) [via wholly owned subsidary Hidraqua]</t>
  </si>
  <si>
    <t>http://www.aguasdealicante.es</t>
  </si>
  <si>
    <t>4777</t>
  </si>
  <si>
    <t>Mancomunidad de la Comarca de Pamplona-Servicios de la Comarca de Pamplona S.A.</t>
  </si>
  <si>
    <t>Navarra</t>
  </si>
  <si>
    <t>Pamplona</t>
  </si>
  <si>
    <t>Providing water and wastewater services to Pamplona and 48 other surrounding municipalities</t>
  </si>
  <si>
    <t>http://www.mcp.es/agua</t>
  </si>
  <si>
    <t>6775</t>
  </si>
  <si>
    <t>Aarhus Vand A/S</t>
  </si>
  <si>
    <t>Aarhus</t>
  </si>
  <si>
    <t>Providing water and wastewater services in the city of Aarhus</t>
  </si>
  <si>
    <t>http://www.aarhusvand.dk</t>
  </si>
  <si>
    <t>615</t>
  </si>
  <si>
    <t>SIAAP (Syndicat Interdépartemental d'Assainissement de l'Agglomération Parisienne)</t>
  </si>
  <si>
    <t>Syndicat Interdépartemental d'Assainissement de l'Agglomération Parisienne</t>
  </si>
  <si>
    <t>Greater Paris Sanitation Authority</t>
  </si>
  <si>
    <t>SIAAP</t>
  </si>
  <si>
    <t xml:space="preserve">SIAAP is the bulk wastewater utility serving  288 municipalities in the Greater Paris area, including the city of Paris. SIAAP's main task is wastewater treatment and discharge at its six wastewater treatment plants. The utility also owns and operates large sewer mains for region-wide conveyance to its WWTPs. Collection and initial conveyance of wastewater and stormwater are performed by local authorities (municipalities and some départements), whose own networks flow into SIAAP's mains. </t>
  </si>
  <si>
    <t>https://www.siaap.fr/</t>
  </si>
  <si>
    <t>2024-2034</t>
  </si>
  <si>
    <t>15,17,19,21,23,25</t>
  </si>
  <si>
    <t>SIAAP_2024-34PPI_ExeHD_OK.pdf</t>
  </si>
  <si>
    <t>https://globalwater.sharepoint.com/:w:/s/contentteam/IQA-PlNBFdAdQYZ3YD6d-9sIAXKOvkn1e8sOtmpBdiIulSA?e=F2G3Lq</t>
  </si>
  <si>
    <t>https://www.siaap.fr/index.php?id=1557</t>
  </si>
  <si>
    <t>no BUT p. 5 = map of WWTPs</t>
  </si>
  <si>
    <t>6723</t>
  </si>
  <si>
    <t>Águas da Região de Aveiro</t>
  </si>
  <si>
    <t>Aveiro</t>
  </si>
  <si>
    <t>Providing water and wastewater services to County of Aveiro</t>
  </si>
  <si>
    <t>http://www.adra.pt</t>
  </si>
  <si>
    <t>3310</t>
  </si>
  <si>
    <t>Stadt Augsburg</t>
  </si>
  <si>
    <t>Augsburg</t>
  </si>
  <si>
    <t>Providing wastewater services to Augsburg</t>
  </si>
  <si>
    <t>https://www.augsburg.de/</t>
  </si>
  <si>
    <t>NO - website doesn't work</t>
  </si>
  <si>
    <t>6737</t>
  </si>
  <si>
    <t>Miejskie Wodociągi i Kanalizacja w Bydgoszczy Spółka Z. o.o.</t>
  </si>
  <si>
    <t>Bydgoszcz</t>
  </si>
  <si>
    <t>Providing water and wastewater services to Bydgoszcz City</t>
  </si>
  <si>
    <t>http://www.mwik.bydgoszcz.pl</t>
  </si>
  <si>
    <t>7382</t>
  </si>
  <si>
    <t>SMAS de Sintra</t>
  </si>
  <si>
    <t>Serviços Municipalizados de Sintra</t>
  </si>
  <si>
    <t>Sintra Water and Sanitation Services</t>
  </si>
  <si>
    <t>SMAS; SMAS Sintra</t>
  </si>
  <si>
    <t>Sintra</t>
  </si>
  <si>
    <t>Providing water and wastewater services to County of Sintra</t>
  </si>
  <si>
    <t>http://www.smas-sintra.pt/</t>
  </si>
  <si>
    <t>30-47</t>
  </si>
  <si>
    <t>831</t>
  </si>
  <si>
    <t>Società Metropolitana Acque di Torino SpA</t>
  </si>
  <si>
    <t>SMAT</t>
  </si>
  <si>
    <t>Providing water and wastewater services to 289 municipalities in the ATO Torinese</t>
  </si>
  <si>
    <t>http://www.smatorino.it</t>
  </si>
  <si>
    <t>2024-2035</t>
  </si>
  <si>
    <t>P4</t>
  </si>
  <si>
    <t>4770</t>
  </si>
  <si>
    <t>Consorcio de Aguas de Gipúzkoa</t>
  </si>
  <si>
    <t>Donostia</t>
  </si>
  <si>
    <t>Providing water and wastewater services to the Province of Gipuzkoa, including Donostia-San Sebastian</t>
  </si>
  <si>
    <t>http://www.gipuzkoakour.eus/</t>
  </si>
  <si>
    <t>4776</t>
  </si>
  <si>
    <t>Empresa General Valenciana del Agua, S.A.</t>
  </si>
  <si>
    <t>Providing water and wastewater services to the Province of Valencia</t>
  </si>
  <si>
    <t>Diputación de Valencia (5100%)  / Global Omnium (49%)</t>
  </si>
  <si>
    <t>http://www.egevasa.es/</t>
  </si>
  <si>
    <t>3468</t>
  </si>
  <si>
    <t>Stadt Bad Salzuflen</t>
  </si>
  <si>
    <t>City of Bad Salzuflen</t>
  </si>
  <si>
    <t>Bad Salzuflen</t>
  </si>
  <si>
    <t>Providing wastewater services to Bad Salzuflen</t>
  </si>
  <si>
    <t>http://www.stadt-bad-salzuflen.de</t>
  </si>
  <si>
    <t>pp. 30-35</t>
  </si>
  <si>
    <t>https://bad-salzuflen.ratsinfomanagement.net/sdnetrim/UGhVM0hpd2NXNFdFcExjZXhPCRwsqUne6duOMZWo4FG8dXgtugiX63ITzIdKK_qC/Erlaeuterungsbericht_ABK.pdf</t>
  </si>
  <si>
    <t>https://bad-salzuflen.ratsinfomanagement.net/vorgang/?__=UGhVM0hpd2NXNFdFcExjZRicTO0bPYx2Fwc7dDpnDI0</t>
  </si>
  <si>
    <t>3879</t>
  </si>
  <si>
    <t>ASIS Salernitana Reti ed Impianti S.p.A.</t>
  </si>
  <si>
    <t>Battipaglia</t>
  </si>
  <si>
    <t>Providing water and wasterwater services to 50 municipalities in the province of Salerno</t>
  </si>
  <si>
    <t>http://www.asisnet.it</t>
  </si>
  <si>
    <t>6782</t>
  </si>
  <si>
    <t>S.C. Apa Canal S.A. Galati</t>
  </si>
  <si>
    <t>Galati</t>
  </si>
  <si>
    <t>Providing water and wastewater services to Galati</t>
  </si>
  <si>
    <t>http://www.apa-canal.ro</t>
  </si>
  <si>
    <t>3472</t>
  </si>
  <si>
    <t>Stadt Bielefeld</t>
  </si>
  <si>
    <t>City of Bielefeld</t>
  </si>
  <si>
    <t>Bielefeld</t>
  </si>
  <si>
    <t>Providing wastewater services to Bielefeld</t>
  </si>
  <si>
    <t>http://www.bielefeld.de/de/un/wasser/gren/</t>
  </si>
  <si>
    <t>pp. 37-43</t>
  </si>
  <si>
    <t>https://anwendungen.bielefeld.de/bi/getfile.asp?id=732380&amp;type=do</t>
  </si>
  <si>
    <t>Multiple tables per page. Solved by screenshotting &amp; converting Word Doc to PDF. Info on project codes found pg 36</t>
  </si>
  <si>
    <t>https://anwendungen.bielefeld.de/bi/to0050.asp?__ktonr=204653</t>
  </si>
  <si>
    <t>p. 6 Tabelle 1: status of the measures; p. 4 Abbreviationslist; p. 28 Tabelle 15 = discharge point of water; p. 50 Anhang 4: Uebersicht ueber bestehende Sonderbauwerke = what they are &amp; what body of water they go into (p. 10: Tabelle 2 = length of swers; Tabelle 3 = number of certain works eg pumps; pg 15: Tabelle 5 = PE of WWTPs; p. 19 Tabelle 7: type of measure 9codes A1-A16))</t>
  </si>
  <si>
    <t>3887</t>
  </si>
  <si>
    <t>Sidra S.p.A.</t>
  </si>
  <si>
    <t>Catania</t>
  </si>
  <si>
    <t>Providing water and wastewater services in 11 municipalities in the province of Catania</t>
  </si>
  <si>
    <t>http://www.sidraspa.it</t>
  </si>
  <si>
    <t>6766</t>
  </si>
  <si>
    <t>IVAR</t>
  </si>
  <si>
    <t>Stavanger</t>
  </si>
  <si>
    <t>http://www.ivar.no/</t>
  </si>
  <si>
    <t>to be approved on 15 December (check approval status of other budgets)</t>
  </si>
  <si>
    <t>6707</t>
  </si>
  <si>
    <t>Moravska vodarenska, a.s.</t>
  </si>
  <si>
    <t>Olomouc</t>
  </si>
  <si>
    <t>Providing water and wastewater services to Zlin, Olomouc and Prostejov region</t>
  </si>
  <si>
    <t>http://www.smv.cz</t>
  </si>
  <si>
    <t>6746</t>
  </si>
  <si>
    <t>S.C. Apavital S.A. Iasi</t>
  </si>
  <si>
    <t>Iasi</t>
  </si>
  <si>
    <t>Providing water and wastewater services to Târgu Frumos, Hârlău, Podu Iloaiei</t>
  </si>
  <si>
    <t>http://www.apavital.ro</t>
  </si>
  <si>
    <t>7030</t>
  </si>
  <si>
    <t>Águas e Parque Biológico de Gaia</t>
  </si>
  <si>
    <t>Vila Nova de Gaia</t>
  </si>
  <si>
    <t>Providing water and wastewater services to County of Vila Nova da Gaia</t>
  </si>
  <si>
    <t>http://www.aguasgaia.pt/</t>
  </si>
  <si>
    <t>6769</t>
  </si>
  <si>
    <t>Turku Region Wastewater Treatment Plant Ltd</t>
  </si>
  <si>
    <t>Turku</t>
  </si>
  <si>
    <t>Providing wastewater services to the Turku region</t>
  </si>
  <si>
    <t>http://www.turunseudunpuhdistamo.fi</t>
  </si>
  <si>
    <t>6747</t>
  </si>
  <si>
    <t>S.C. Compania Apa S.A. Brasov</t>
  </si>
  <si>
    <t>Brasov</t>
  </si>
  <si>
    <t>Providing water and wastewater services to Brasov county</t>
  </si>
  <si>
    <t>https://www.apabrasov.ro</t>
  </si>
  <si>
    <t>3897</t>
  </si>
  <si>
    <t>Ruzzo reti S.p.A.</t>
  </si>
  <si>
    <t>Teramo</t>
  </si>
  <si>
    <t>Providing water and wastewater services in the ATO Teramano</t>
  </si>
  <si>
    <t>http://www.ruzzo.it</t>
  </si>
  <si>
    <t>3473</t>
  </si>
  <si>
    <t>Stadt Bocholt</t>
  </si>
  <si>
    <t>Entsorgungs-und Servicebetrieb Bocholt</t>
  </si>
  <si>
    <t>Bocholt</t>
  </si>
  <si>
    <t>Providing wastewater services to Bocholt</t>
  </si>
  <si>
    <t>http://www.bocholt.de/seiten/esb/stadtentwaesserung/zentralklaerwerk_mussum.cfm</t>
  </si>
  <si>
    <t>pp. 6-17</t>
  </si>
  <si>
    <t>https://ratsinfo.bocholt.de/sdnetrim/UGhVM0hpd2NXNFdFcExjZdrfPWkz_C-DlP5QzUjS4I7rDrjkipSh2Iev60LFu_7n/Anlage_3_Investitionsprogramm_Stadtentwaeserung_ESB_2026.pdf</t>
  </si>
  <si>
    <t>No Klaeranlagen - but this is likely just because 2024-2027</t>
  </si>
  <si>
    <t>https://ratsinfo.bocholt.de/vorgang/?__=UGhVM0hpd2NXNFdFcExjZWXFQnSFaXHPsHYBqN1jb_I</t>
  </si>
  <si>
    <t>3888</t>
  </si>
  <si>
    <t>Nuove Acque S.p.A.</t>
  </si>
  <si>
    <t>Arezzo</t>
  </si>
  <si>
    <t>Providing water and wastewater services to the ATO Alto Valdarno which includes 31 municipalities in the province of Arezzo and 5 in the province of Siena</t>
  </si>
  <si>
    <t>Acea SpA (46.16%) [via Intesa Aretina Sarl] / Public shareholders (53.84%)</t>
  </si>
  <si>
    <t>http://www.nuoveacque.it</t>
  </si>
  <si>
    <t>6784</t>
  </si>
  <si>
    <t>Wodociągi Białostockie Sp. z o.o. w Białymstoku</t>
  </si>
  <si>
    <t>Białystok</t>
  </si>
  <si>
    <t>Providing water and wastewater services to City of Białystok and neighbouring municipalities</t>
  </si>
  <si>
    <t>http://www.wobi.pl</t>
  </si>
  <si>
    <t>3474</t>
  </si>
  <si>
    <t>Stadt Bonn</t>
  </si>
  <si>
    <t>City of Bonn</t>
  </si>
  <si>
    <t>Bonn</t>
  </si>
  <si>
    <t>Providing wastewater services to Bonn</t>
  </si>
  <si>
    <t>http://www.bonn.de/umwelt_gesundheit_planen_bauen_wohnen/tiefbauamt/index.html?lang=de</t>
  </si>
  <si>
    <t>Document 1: https://www.bonn.sitzung-online.de/public/vo020?0--anlagenHeaderPanel-attachmentsList-3-attachment-link&amp;VOLFDNR=2012578&amp;refresh=false [Klaeranlagen, 2024-2029]; Document 2: https://www.bonn.sitzung-online.de/public/vo020?0--anlagenHeaderPanel-attachmentsList-2-attachment-link&amp;VOLFDNR=2012578&amp;refresh=false [Kanaele 2024-2025, no costs]</t>
  </si>
  <si>
    <t>It's hopelessly fragmented - 10 docs?!</t>
  </si>
  <si>
    <t>https://www.bonn.sitzung-online.de/public/vo020?VOLFDNR=2012578&amp;refresh=false</t>
  </si>
  <si>
    <t>4779</t>
  </si>
  <si>
    <t>Empresa Mancomunada del Aljarafe, S.A.</t>
  </si>
  <si>
    <t>Providing water and wastewater services to 29 municipalities in the Aljarafe Region</t>
  </si>
  <si>
    <t>http://www.aljarafesa.es/</t>
  </si>
  <si>
    <t>3889</t>
  </si>
  <si>
    <t>Acque Ovest Bresciano Due S.r.l.</t>
  </si>
  <si>
    <t>Rovato</t>
  </si>
  <si>
    <t>Providing water and wastewater services in 42 municipalities in the province of Brescia</t>
  </si>
  <si>
    <t>http://www.aob2.it</t>
  </si>
  <si>
    <t>3480</t>
  </si>
  <si>
    <t>Stadt Garbsen</t>
  </si>
  <si>
    <t>Eigenbetrieb Stadtentwässerung Garbsen</t>
  </si>
  <si>
    <t>Garbsen City Drainage Company</t>
  </si>
  <si>
    <t>Garbsen</t>
  </si>
  <si>
    <t>Providing wastewater services to Garbsen</t>
  </si>
  <si>
    <t>http://www.garbsen.de/portal/seiten/wasser-und-abwasser-904000185-21200.html?naviID=904000202&amp;brotID=904000202&amp;rubrik=904000011</t>
  </si>
  <si>
    <t>https://garbsen.gremien.info/pdf-viewer?name=V2lydHNjaGFmdHNwbGFuIDIwMjYgZGVyIFN0YWR0ZW50d+Rzc2VydW5nIEdhcmJzZW4=&amp;watermark=0&amp;generated=18-12-2025&amp;document=aHR0cHM6Ly9nYXJic2VuLmdyZW1pZW4uaW5mby9hcGkucGhwP2RvY3VtZW50X3R5cGVfaWQ9MTMmZG9jdW1lbnRfcmVsYXRpb25faWQ9MjAyNTI2MTAxMDAyNDYlN0MyMDI1MTEyNzA3MjE1MC0wLnBkZiU3QyZzdWJtaXNzaW9uX2F0dGFjaG1lbnRfaWQ9MjAyNTI2MTAxMDAyNDYlN0MyMDI1MTEyNzA3MjE1MC0wLnBkZiU3QyZpZD02OSZqc29uPTEmcGxhdGZvcm09d2ViJnN5c3RlbT1yaXMmYWdlbmRhX2l0ZW1faWQ9MjAyNS02Ny03MnwyMDI1MjYxMDEwMDI0NnwxJmRvY3VtZW50YWJsZV9pZD0yMDI1MjYxMDEwMDI0NnwyMDI1MTEyNzA3MjE1MC0wLnBkZnw=</t>
  </si>
  <si>
    <t>Unclear if any Klaeranlagen</t>
  </si>
  <si>
    <t>https://garbsen.gremien.info/meeting/2584</t>
  </si>
  <si>
    <t>Diamond</t>
  </si>
  <si>
    <t>4782</t>
  </si>
  <si>
    <t>Aguas del Añarbe - Añarbeko Urak, S.A.</t>
  </si>
  <si>
    <t>Providing water and wastewater services to the municipalities of Donostia-San Sebastián, Errenteria, Hernani, Lasarte Oria, Pasaia, Oiartzun, Lezo, Urnieta, Usurbil and Astigarraga</t>
  </si>
  <si>
    <t>http://www.agasa.eus</t>
  </si>
  <si>
    <t>3890</t>
  </si>
  <si>
    <t>Lario Reti Holding S.p.A.</t>
  </si>
  <si>
    <t>Lecco</t>
  </si>
  <si>
    <t>Providing water and wastwater services to 86 municipalities in the province of Lecco</t>
  </si>
  <si>
    <t>http://www.larioreti.it</t>
  </si>
  <si>
    <t>4861</t>
  </si>
  <si>
    <t>Mancomunidad de Aguas del Añarbe-Aguas del Añarbe - Añarbeko Urak, S.A</t>
  </si>
  <si>
    <t>San Sebastián</t>
  </si>
  <si>
    <t>Providing wastewater services to Donostia-San Sebastián, Errenteria, Hernani, Lasarte Oria, Pasaia, Oiartzun, Lezo, Urnieta, Usurbil y Astigarraga,</t>
  </si>
  <si>
    <t>http://www.agasa.es/</t>
  </si>
  <si>
    <t>3481</t>
  </si>
  <si>
    <t>Stadt Gladbeck</t>
  </si>
  <si>
    <t>City of Gladbeck</t>
  </si>
  <si>
    <t>Gladbeck</t>
  </si>
  <si>
    <t>Providing wastewater services to Gladbeck</t>
  </si>
  <si>
    <t>http://www.gladbeck.de/rathaus_politik/rathaus/buergerservice.asp?seite=angebot&amp;id=1998</t>
  </si>
  <si>
    <t>https://gladbeck.gremien.info/pdf-viewer?name=MiAtIEFCSyBUYWJlbGxlIChBbmxhZ2UgMSk=&amp;watermark=0&amp;generated=18-12-2025&amp;document=aHR0cHM6Ly9nbGFkYmVjay5ncmVtaWVuLmluZm8vYXBpLnBocD9kb2N1bWVudF90eXBlX2lkPTEzJmRvY3VtZW50X3JlbGF0aW9uX2lkPTI1MTIwODEwMDMzOSU3QzIwMjUwODEyMTMzNTM4LTUucGRmJTdDJnN1Ym1pc3Npb25fYXR0YWNobWVudF9pZD0yNTEyMDgxMDAzMzklN0MyMDI1MDgxMjEzMzUzOC01LnBkZiU3QyZpZD02OSZqc29uPTEmcGxhdGZvcm09d2ViJnN5c3RlbT1yaXMmYWdlbmRhX2l0ZW1faWQ9bmlfMjAyNS0xLTEzOHwyNTEyMDgxMDAzMzl8MSZkb2N1bWVudGFibGVfaWQ9MjUxMjA4MTAwMzM5fDIwMjUwODEyMTMzNTM4LTUucGRmfA==</t>
  </si>
  <si>
    <t>https://gladbeck.gremien.info/meeting/1688</t>
  </si>
  <si>
    <t>8090</t>
  </si>
  <si>
    <t>Tratamento de Águas Residuais do Ave, SA</t>
  </si>
  <si>
    <t>Braga</t>
  </si>
  <si>
    <t>Ave Valley</t>
  </si>
  <si>
    <t>Providing wastewater services to the municipalities of Guimarães, Santo Tirso, Famalicão, Trofa and Vizela</t>
  </si>
  <si>
    <t>AGS,SA (40%)  / Aquapor Serviços, SA (60%)</t>
  </si>
  <si>
    <t>http://www.tratave.pt/</t>
  </si>
  <si>
    <t>3141</t>
  </si>
  <si>
    <t>Association of municipalities Melun-Val de Seine</t>
  </si>
  <si>
    <t>Seine-et-Marne</t>
  </si>
  <si>
    <t>Dammarie-lès-Lys</t>
  </si>
  <si>
    <t>Providing 18 municipalities with wastewater services, 17 by delegated management</t>
  </si>
  <si>
    <t>https://www.melunvaldeseine.fr/</t>
  </si>
  <si>
    <t>3903</t>
  </si>
  <si>
    <t>Livenza Tagliamento Acque SpA</t>
  </si>
  <si>
    <t>Fossalta di Portogruaro</t>
  </si>
  <si>
    <t>Providing water and wastewater services to 42 municipalities in the provinces of Venice, Treviso and Pordenone</t>
  </si>
  <si>
    <t>https://www.lta.it</t>
  </si>
  <si>
    <t>4781</t>
  </si>
  <si>
    <t>Servicio Municipal de Aguas de Vigo</t>
  </si>
  <si>
    <t>Vigo</t>
  </si>
  <si>
    <t>Providing water and wastewater services to City of Vigo</t>
  </si>
  <si>
    <t>https://www.aqualia.com/es/web/aqualia-vigo/</t>
  </si>
  <si>
    <t>3892</t>
  </si>
  <si>
    <t>Viacqua</t>
  </si>
  <si>
    <t>Vicenza</t>
  </si>
  <si>
    <t>Providing water and wastewater services to 68 municipalities of the province of Vicenza.</t>
  </si>
  <si>
    <t>https://www.viacqua.it/</t>
  </si>
  <si>
    <t>6791</t>
  </si>
  <si>
    <t>Ostravské vodárny a kanalizace, a. s.</t>
  </si>
  <si>
    <t>Providing water and wastewater services to The city of Ostrava</t>
  </si>
  <si>
    <t>SUEZ SA (50.13%)  / Statutory City of Ostrava (28.55%)  / RNDr. Lubomír Habrnál (12.05%)  / Other shareholders (9.27%)</t>
  </si>
  <si>
    <t>http://www.ovak.cz</t>
  </si>
  <si>
    <t>3483</t>
  </si>
  <si>
    <t>Stadt Gütersloh</t>
  </si>
  <si>
    <t>City of Gütersloh</t>
  </si>
  <si>
    <t>Gütersloh</t>
  </si>
  <si>
    <t>Providing wastewater services to Gütersloh</t>
  </si>
  <si>
    <t>http://www.guetersloh.de/Z3VldGVyc2xvaGQ0Y21zOjUwNTQ3.x4s</t>
  </si>
  <si>
    <t>26.02.2026</t>
  </si>
  <si>
    <t>https://ratsinfo.guetersloh.de/sdnetrim/UGhVM0hpd2NXNFdFcExjZVDj7OklbmtoCH3TxBV_RNZ26ze3twisuJR9JfLAXKBQ/Anl._Vorl._ABK.pdf</t>
  </si>
  <si>
    <t>https://ratsinfo.guetersloh.de/vorgang/?__=UGhVM0hpd2NXNFdFcExjZSA8SdEACW3rTJWj1Jt7NLE</t>
  </si>
  <si>
    <t>27939</t>
  </si>
  <si>
    <t>Iren - Piacenza</t>
  </si>
  <si>
    <t>Piacenza</t>
  </si>
  <si>
    <t xml:space="preserve">A utility providing water and wastewater services to 286,000 in 46 municipalities in the province of Piacenza, Emilia-Romagna. </t>
  </si>
  <si>
    <t>23709</t>
  </si>
  <si>
    <t>Grand Paris Grand Est</t>
  </si>
  <si>
    <t>Providing 14 municipalities with wastewater services</t>
  </si>
  <si>
    <t>https://www.grandparisgrandest.fr/fr</t>
  </si>
  <si>
    <t>3311</t>
  </si>
  <si>
    <t>Stadtentwässerung Braunschweig</t>
  </si>
  <si>
    <t>Braunschweig</t>
  </si>
  <si>
    <t>Providing wastewater services to Braunschweig</t>
  </si>
  <si>
    <t>Veolia Environnement (74.9%)  / City of Braunschweig (25.1%)</t>
  </si>
  <si>
    <t>http://www.stadtentwaesserung-braunschweig.de</t>
  </si>
  <si>
    <t>Yes but - plan has basically no info</t>
  </si>
  <si>
    <t>3287</t>
  </si>
  <si>
    <t>Syndicat Mixte Intercommunal D'Assainissement de Marne-La Vallée</t>
  </si>
  <si>
    <t>Bussy Saint Martin</t>
  </si>
  <si>
    <t>Providing 30 municipalities with wastewater services, all by delegated management</t>
  </si>
  <si>
    <t>SFDE (Veolia Eau)</t>
  </si>
  <si>
    <t>http://www.siam77.fr</t>
  </si>
  <si>
    <t>26042</t>
  </si>
  <si>
    <t>CA Du Bassin de Thau</t>
  </si>
  <si>
    <t>Hérault</t>
  </si>
  <si>
    <t>Sète</t>
  </si>
  <si>
    <t>Providing 14 municipalities with wastewater services, 6 by delegated management</t>
  </si>
  <si>
    <t>http://www.agglopole.fr/</t>
  </si>
  <si>
    <t>6822</t>
  </si>
  <si>
    <t>Nyíségvíz Zrt</t>
  </si>
  <si>
    <t>Nyíregyháza</t>
  </si>
  <si>
    <t>Providing water and wastewater services to Nyíregyháza</t>
  </si>
  <si>
    <t>http://www.nyirsegviz.hu</t>
  </si>
  <si>
    <t>3894</t>
  </si>
  <si>
    <t>Società Abruzzese per il Servizio Idrico Integrato S.p.A.</t>
  </si>
  <si>
    <t>Ortona</t>
  </si>
  <si>
    <t>Providing water and wastewater services to 92 municipalities of Chiento province</t>
  </si>
  <si>
    <t>http://www.sasispa.it</t>
  </si>
  <si>
    <t>6709</t>
  </si>
  <si>
    <t>Holding Graz Kommunale Dienstleistungen GmbH</t>
  </si>
  <si>
    <t>Steiermark</t>
  </si>
  <si>
    <t>Graz</t>
  </si>
  <si>
    <t>Providing water and wastewater services to Graz and the surrounding areas.</t>
  </si>
  <si>
    <t>https://www.holding-graz.at</t>
  </si>
  <si>
    <t>3073</t>
  </si>
  <si>
    <t>Syndicat mixte pour l'assainissement et la gestion des eaux de la vallée de l'Yerres</t>
  </si>
  <si>
    <t>Montgeron</t>
  </si>
  <si>
    <t>Providing wastewater services to 18 municipalities</t>
  </si>
  <si>
    <t>http://www.syage.org/</t>
  </si>
  <si>
    <t>6733</t>
  </si>
  <si>
    <t>Miejskie Przedsiębiorstwo Wodociągów i Kanalizacji w Lublinie Sp.Z.o.o</t>
  </si>
  <si>
    <t>Lublin</t>
  </si>
  <si>
    <t>Providing water and wastewater services to Lublin City</t>
  </si>
  <si>
    <t>http://www.mpwik.lublin.pl</t>
  </si>
  <si>
    <t>3488</t>
  </si>
  <si>
    <t>Stadt Ibbenbüren</t>
  </si>
  <si>
    <t>City of Ibbenbüren</t>
  </si>
  <si>
    <t>Ibbenbüren</t>
  </si>
  <si>
    <t>Providing wastewater services to Ibbenbüren</t>
  </si>
  <si>
    <t>http://www.ibbenbueren.de/verwaltung/dienstleistungen/dienstleistung.php?id=266&amp;menuid=98&amp;topmenu=0</t>
  </si>
  <si>
    <t>pp. 4-8</t>
  </si>
  <si>
    <t>https://ibbenbueren.ratsinfomanagement.net/sdnetrim/UGhVM0hpd2NXNFdFcExjZe0dY2Oo_KXXUrPQAR0VCra5vXVAQvDDxg4yC8in1En4/Anlage_1_-_Tiefbauprogramm_2025_-_2029.pdf</t>
  </si>
  <si>
    <t>https://ibbenbueren.ratsinfomanagement.net/vorgang/?__=UGhVM0hpd2NXNFdFcExjZVbFVBl6zkRWAswDoz-zEpQ</t>
  </si>
  <si>
    <t>3895</t>
  </si>
  <si>
    <t>Caltaqua Acque di Caltanissetta S.p.A.</t>
  </si>
  <si>
    <t>Caltanissetta</t>
  </si>
  <si>
    <t>Providing water and wastewater services in the ATO Caltanissetta</t>
  </si>
  <si>
    <t>FCC Aqualia (51%) [via Aqualia Gestion Integral del Agua SA] / Galva SA (47%)  / Consorzio Cooperative Costruzoni (1%)  / AIEM Srl (0.5%) / Gate Societa Consortile a rl (0.5%)</t>
  </si>
  <si>
    <t>http://www.caltaqua.it</t>
  </si>
  <si>
    <t>23712</t>
  </si>
  <si>
    <t>Hydreaulys</t>
  </si>
  <si>
    <t>Versailles</t>
  </si>
  <si>
    <t>Providing 12 municipalities with wastewater services</t>
  </si>
  <si>
    <t>https://www.eauxseineouest.fr/</t>
  </si>
  <si>
    <t>828</t>
  </si>
  <si>
    <t>Acquevenete SpA</t>
  </si>
  <si>
    <t>Rovigo</t>
  </si>
  <si>
    <t>Acquevenete is the manager of the integrated water service for 108 Municipalities in the provinces of Padua, Rovigo, Vicenza, Verona, Venice. It was founded on 1 December 2017 from the merger between Centro Veneto Servizi and Polesine Acque.</t>
  </si>
  <si>
    <t>http://www.acquevenete.it/it</t>
  </si>
  <si>
    <t>3489</t>
  </si>
  <si>
    <t>Stadt Karlsruhe</t>
  </si>
  <si>
    <t>City of Karlsruhe</t>
  </si>
  <si>
    <t>Karlsruhe</t>
  </si>
  <si>
    <t>Providing wastewater services to Karlsruhe</t>
  </si>
  <si>
    <t>http://www.karlsruhe.de/b3/bauen/bauordnung/bauinformationen/abwasser.de</t>
  </si>
  <si>
    <t>pp. 478-485</t>
  </si>
  <si>
    <t>https://transparenz.karlsruhe.de/dataset/daten-des-haushaltsplans-2024-2025/resource/e6027dd7-e1e2-4226-a20b-cd6ccbcd6e6b</t>
  </si>
  <si>
    <t>https://transparenz.karlsruhe.de/dataset/daten-des-haushaltsplans-2024-2025</t>
  </si>
  <si>
    <t>Budget draft for 2026/2027 released on 22/07/2025. To be approved 22/12/2025: https://www.ka-news.de/karlsruhe/stadtgespraech/doppelhaushalt-2026-27-karlsruhe-wo-wird-gespart-110476949</t>
  </si>
  <si>
    <t>3563</t>
  </si>
  <si>
    <t>Stawag Stadwerke Aachen AG</t>
  </si>
  <si>
    <t>Aachen</t>
  </si>
  <si>
    <t>Providing water and wastewater services to Aachen</t>
  </si>
  <si>
    <t>http://www.stawag.de/</t>
  </si>
  <si>
    <t>https://ratsinfo.aachen.de/public/vo020?2--anlagenHeaderPanel-attachmentsList-1-attachment-link&amp;VOLFDNR=28395&amp;refresh=false AND ALSO https://ratsinfo.aachen.de/public/to020?3--anlagenHeaderPanel-attachmentsList-0-attachment-link&amp;TOLFDNR=125040</t>
  </si>
  <si>
    <t>NO Klaeranlage INFO IN GRAPHS - says there is an Anhang on pg 24 but can't find it</t>
  </si>
  <si>
    <t>Graphs AND Text (PDF)</t>
  </si>
  <si>
    <t>3136</t>
  </si>
  <si>
    <t>Syndicat Intercommunal à Vocation Unique du Bassin d'Arcachon</t>
  </si>
  <si>
    <t>Arcachon</t>
  </si>
  <si>
    <t>Providing 10 municipalities with wastewater services, all by delegated management</t>
  </si>
  <si>
    <t>https://www.siba-bassin-arcachon.fr/</t>
  </si>
  <si>
    <t>3139</t>
  </si>
  <si>
    <t>Association of municipalities of Niort</t>
  </si>
  <si>
    <t>Deux-Sèvres</t>
  </si>
  <si>
    <t>Niort</t>
  </si>
  <si>
    <t>http://www.niortagglo.fr/</t>
  </si>
  <si>
    <t>23706</t>
  </si>
  <si>
    <t>Vallée Sud Grand Paris</t>
  </si>
  <si>
    <t>Providing 10 municipalities with wastewater services</t>
  </si>
  <si>
    <t>https://www.valleesud.fr/</t>
  </si>
  <si>
    <t>3316</t>
  </si>
  <si>
    <t>Abwassergesellschaft Gelsenkirchen</t>
  </si>
  <si>
    <t>Provides waste management services, including the management of plants, networks, and drainage systems in Germany.</t>
  </si>
  <si>
    <t>Gelsenwasser AG (51%)  / Stadtwerke Gelsenkirchen GmbH (26.5%)  / Emscher Wassertechnik (22.5%)</t>
  </si>
  <si>
    <t>https://www.gelsenkirchen.de/de/_meta/aktuelles/artikel/23309-gelsenkanal-abwassergesellschaft-gelsenkirchen-mbh-zieht-um</t>
  </si>
  <si>
    <t>https://ratsinformation.gelsenkirchen.de/</t>
  </si>
  <si>
    <t>6796</t>
  </si>
  <si>
    <t>Fejérvíz Zrt.</t>
  </si>
  <si>
    <t>Székesfehérvár</t>
  </si>
  <si>
    <t>Providing water and wastewater services to Municipalities mainly in mainly in Fejér county</t>
  </si>
  <si>
    <t>http://www.fejerviz.hu</t>
  </si>
  <si>
    <t>3275</t>
  </si>
  <si>
    <t>Association of municipalities Agglopolys</t>
  </si>
  <si>
    <t>Loir-et-Cher</t>
  </si>
  <si>
    <t>Blois</t>
  </si>
  <si>
    <t>Providing 40 municipalities with wastewater services, 4 by delegated management</t>
  </si>
  <si>
    <t>http://www.agglopolys.fr/821-eaux-usees.htm</t>
  </si>
  <si>
    <t>3428</t>
  </si>
  <si>
    <t>Entsorgungsbetriebe der Landeshauptstadt Wiesbaden</t>
  </si>
  <si>
    <t>Wiesbaden</t>
  </si>
  <si>
    <t>Providing wastewater services to Wiesbaden</t>
  </si>
  <si>
    <t>http://www.elw.de/89.html</t>
  </si>
  <si>
    <t>Sort of - requested 16/12/2025</t>
  </si>
  <si>
    <t>https://piwi.wiesbaden.de/sitzungsvorlage/detail/3570383</t>
  </si>
  <si>
    <t>https://piwi.wiesbaden.de/sitzung/detail/3553860/tagesordnung/oeffentlich?topid=3572346</t>
  </si>
  <si>
    <t>Meeting was 27/11/2025 so stuff still being approved - same format as München</t>
  </si>
  <si>
    <t>3135</t>
  </si>
  <si>
    <t>Association of municipalities Evry-Centre Essonne - Wastewater</t>
  </si>
  <si>
    <t>Évry</t>
  </si>
  <si>
    <t>Providing wastewater services to 6 municipalities</t>
  </si>
  <si>
    <t>3443</t>
  </si>
  <si>
    <t>Hallesche Wasser und Stadtwirtschaft GmbH</t>
  </si>
  <si>
    <t>Saxony-Anhalt</t>
  </si>
  <si>
    <t>Halle (Saale)</t>
  </si>
  <si>
    <t>Providing water and wastewater services to Halle (Saale)</t>
  </si>
  <si>
    <t>City of Halle (100%)</t>
  </si>
  <si>
    <t>http://www.hws-halle.de/HWS/Privatkunden/Trinkwasser/</t>
  </si>
  <si>
    <t>3490</t>
  </si>
  <si>
    <t>Stadt Leverkusen - Technische Betriebe Leverkusen AöR</t>
  </si>
  <si>
    <t>Technische Betriebe Leverkusen</t>
  </si>
  <si>
    <t>TBL</t>
  </si>
  <si>
    <t>Leverkusen</t>
  </si>
  <si>
    <t>Providing wastewater services to Leverkusen</t>
  </si>
  <si>
    <t>http://www.tbl-leverkusen.de/cms/index.php?id=4</t>
  </si>
  <si>
    <t>2025-2031</t>
  </si>
  <si>
    <t>pp. 66-71</t>
  </si>
  <si>
    <t>https://ris.leverkusen.de/getfile.asp?id=167380&amp;type=do</t>
  </si>
  <si>
    <t>NO WWTPs p. 65 = 'Erlaeuterungen zur "Art der Massnahme"'</t>
  </si>
  <si>
    <t>https://ris.leverkusen.de/to0050.asp?__ktonr=88183</t>
  </si>
  <si>
    <t>Art der Massnahme; Umsetzungszustand p. 65</t>
  </si>
  <si>
    <t>6785</t>
  </si>
  <si>
    <t>Przedsiębiorstwo Wodociągów i Kanalizacji Okręgu Częstochowskiego, SA</t>
  </si>
  <si>
    <t>Częstochowa</t>
  </si>
  <si>
    <t>Providing water and wastewater services to City of Częstochowa and neighbouring municipalities</t>
  </si>
  <si>
    <t>http://www.pwik.czest.pl</t>
  </si>
  <si>
    <t>6696</t>
  </si>
  <si>
    <t>S.C. Apa Canal S.A. Sibiu</t>
  </si>
  <si>
    <t>Providing water and wastewater services to Sibiu</t>
  </si>
  <si>
    <t>http://www.apacansb.ro</t>
  </si>
  <si>
    <t>3492</t>
  </si>
  <si>
    <t>Stadt Meerbusch</t>
  </si>
  <si>
    <t>City of Meerbusch</t>
  </si>
  <si>
    <t>Meerbusch</t>
  </si>
  <si>
    <t>Providing wastewater services to Meerbusch</t>
  </si>
  <si>
    <t>http://www.meerbusch.de</t>
  </si>
  <si>
    <t>pp.1-4</t>
  </si>
  <si>
    <t>https://ris-meerbusch.itk-rheinland.de/SessionNetMeebi/getfile.asp?id=85512&amp;type=do</t>
  </si>
  <si>
    <t>https://ris-meerbusch.itk-rheinland.de/SessionNetMeebi/vo0050.asp?__kvonr=5089</t>
  </si>
  <si>
    <t>https://ris-meerbusch.itk-rheinland.de/SessionNetMeebi/getfile.asp?id=85501&amp;type=do</t>
  </si>
  <si>
    <t>26074</t>
  </si>
  <si>
    <t>Ales Agglo</t>
  </si>
  <si>
    <t>Alès</t>
  </si>
  <si>
    <t>Providing 53 municipalities with wastewater services, 21 by delegated management</t>
  </si>
  <si>
    <t>https://www.ales.fr/</t>
  </si>
  <si>
    <t>4784</t>
  </si>
  <si>
    <t>Aguas Municipales de Vitoria-Gasteiz, .S.A.</t>
  </si>
  <si>
    <t>Vitoria-Gasteiz</t>
  </si>
  <si>
    <t>Providing water and wastewater services to City of Vitoria-Gasteiz</t>
  </si>
  <si>
    <t>https://www.vitoria-gasteiz.org/</t>
  </si>
  <si>
    <t>3461</t>
  </si>
  <si>
    <t>Saar - Entsorgungsverband</t>
  </si>
  <si>
    <t>Saarland</t>
  </si>
  <si>
    <t>Saarbrücken</t>
  </si>
  <si>
    <t>Providing wastewater services to The Saarland</t>
  </si>
  <si>
    <t>http://www.entsorgungsverband.de/klaeranlagen_abwasser.html</t>
  </si>
  <si>
    <t>https://www.saarbruecken.de/rathaus/stadtpolitik/ratsinformationssystem</t>
  </si>
  <si>
    <t>Same as Koeln - kinda</t>
  </si>
  <si>
    <t>3318</t>
  </si>
  <si>
    <t>Stadt Luebeck</t>
  </si>
  <si>
    <t>Lübeck</t>
  </si>
  <si>
    <t>Providing wastewater services to Lübeck</t>
  </si>
  <si>
    <t>https://www.entsorgung.luebeck.de/</t>
  </si>
  <si>
    <t>6757</t>
  </si>
  <si>
    <t>S.C. Compania De Apa Oltenia S.A.</t>
  </si>
  <si>
    <t>Craiova</t>
  </si>
  <si>
    <t>Providing water and wastewater services to Oltenia</t>
  </si>
  <si>
    <t>https://www.apaoltenia.ro</t>
  </si>
  <si>
    <t>3321</t>
  </si>
  <si>
    <t>eins energie in sachsen GmbH &amp; Co. KG</t>
  </si>
  <si>
    <t>Chemnitz</t>
  </si>
  <si>
    <t>Providing water and wastewater services to Chemnitz</t>
  </si>
  <si>
    <t>City of Chemnitz (25.5%)  / Zweckverband Gasversorgung in Südsachsen (25.5%)  / Thüga AG (39.9%)  / Envia Mitteldeutsche Energie AG (9.1%)</t>
  </si>
  <si>
    <t>http://www.eins-energie.de/?id=956</t>
  </si>
  <si>
    <t>2024-2025</t>
  </si>
  <si>
    <t xml:space="preserve">REFER TO Im Rahmen der Betriebsführung wird der Bereich der zentralen Abwasserbeseitigung durch die 
eins energie in sachsen GmbH &amp; Co. KG (eins) </t>
  </si>
  <si>
    <t>pp. 56-61</t>
  </si>
  <si>
    <t>https://sessionnet.owl-it.de/chemnitz/bi/getfile.asp?id=7227583&amp;type=do</t>
  </si>
  <si>
    <t>NB ONLY 2024-2025</t>
  </si>
  <si>
    <t>https://sessionnet.owl-it.de/chemnitz/bi/to0050.asp?__ktonr=7136522</t>
  </si>
  <si>
    <t>3146</t>
  </si>
  <si>
    <t>Syndicat Intercommunal pour l'Assainissement de la Région de Pontoise</t>
  </si>
  <si>
    <t>Pontoise</t>
  </si>
  <si>
    <t>Providing 24 municipalities with wastewater services</t>
  </si>
  <si>
    <t>https://www.siarp.fr/</t>
  </si>
  <si>
    <t>4852</t>
  </si>
  <si>
    <t>Aguas del Huesna</t>
  </si>
  <si>
    <t>Providing wastewater services to 18 municipalities in the province of Sevilla</t>
  </si>
  <si>
    <t>http://www.aguasdelhuesna.com/</t>
  </si>
  <si>
    <t>6896</t>
  </si>
  <si>
    <t>Bácsvíz Zrt.</t>
  </si>
  <si>
    <t>Kecskemét</t>
  </si>
  <si>
    <t>Providing water and wastewater services to North Bács-Kiskun County</t>
  </si>
  <si>
    <t>http://www.bacsviz.hu</t>
  </si>
  <si>
    <t>3495</t>
  </si>
  <si>
    <t>Stadt Münster</t>
  </si>
  <si>
    <t>City of Münster</t>
  </si>
  <si>
    <t>Münster</t>
  </si>
  <si>
    <t>Providing wastewater services to Muenster</t>
  </si>
  <si>
    <t>http://www.muenster.de/stadt/umwelt/ind_gewerbeabwasser.html</t>
  </si>
  <si>
    <t>2021-2026</t>
  </si>
  <si>
    <t>https://www.stadt-muenster.de/sessionnet/sessionnetbi/getfile.php?id=506792&amp;type=do</t>
  </si>
  <si>
    <t>NB this link explains everything &amp; is supplementary to the projs! https://www.stadt-muenster.de/sessionnet/sessionnetbi/getfile.php?id=508335&amp;type=do PROCESSING THIS WAS HARD &amp; INVOLVED PDF TO EXCEL TO PDF CONVERSION PLUS MANUAL INPUT</t>
  </si>
  <si>
    <t>https://www.stadt-muenster.de/sessionnet/sessionnetbi/to0050.php?__ktonr=228373</t>
  </si>
  <si>
    <t>3204</t>
  </si>
  <si>
    <t>Association of municipalities Grand Paris Seine Ouest</t>
  </si>
  <si>
    <t>Meudon</t>
  </si>
  <si>
    <t>https://www.seineouest.fr/</t>
  </si>
  <si>
    <t>pp. 46-48</t>
  </si>
  <si>
    <t>https://www.seineouest.fr/app/uploads/2025/03/A11-FIN-ROB-2025.pdf</t>
  </si>
  <si>
    <t>6728</t>
  </si>
  <si>
    <t>Stara Zagora ViK</t>
  </si>
  <si>
    <t>State Zagora</t>
  </si>
  <si>
    <t>Providing water and wastewater services to Stara Zagora region and Topolovgrad Municipality</t>
  </si>
  <si>
    <t>http://wik-stz.com/</t>
  </si>
  <si>
    <t>26075</t>
  </si>
  <si>
    <t>Roannais Agglo</t>
  </si>
  <si>
    <t>Loire</t>
  </si>
  <si>
    <t>Roanne</t>
  </si>
  <si>
    <t>Providing 37 municipalities with wastewater services, 3 by delegated management</t>
  </si>
  <si>
    <t>https://www.aggloroanne.fr/</t>
  </si>
  <si>
    <t>3899</t>
  </si>
  <si>
    <t>Tea Acque S.r.l.</t>
  </si>
  <si>
    <t>Mantova</t>
  </si>
  <si>
    <t>Providing water and wastewater services in 32 municipalities in the province of Mantova; wastewater service in 37 municipalities in the province of Mantova</t>
  </si>
  <si>
    <t>http://www.teaspa.it</t>
  </si>
  <si>
    <t>3390</t>
  </si>
  <si>
    <t>Stadt Pulheim</t>
  </si>
  <si>
    <t>City of Pulheim</t>
  </si>
  <si>
    <t>Pulheim</t>
  </si>
  <si>
    <t>Providing wastewater services to Pulheim</t>
  </si>
  <si>
    <t>http://www.pulheim.de/bauen-planen-umwelt/tiefbau-abwasser-strasse/stadtentwaesserung/?id=19571</t>
  </si>
  <si>
    <t>25.02.2026</t>
  </si>
  <si>
    <t>pp. 1-2</t>
  </si>
  <si>
    <t>https://ratsinfo.pulheim.de/sdnetrim/UGhVM0hpd2NXNFdFcExjZWFtGRn1B5HnqCfMu8e2gX-zGH0LN6Et3xwj4Vid_Mxo/Anlage_3_Massnahmenliste.pdf</t>
  </si>
  <si>
    <t>https://ratsinfo.pulheim.de/vorgang/?__=UGhVM0hpd2NXNFdFcExjZeRHglz50ljbdGLREMMNX6Y</t>
  </si>
  <si>
    <t>6798</t>
  </si>
  <si>
    <t>S.C. Compania Aquaserv S.A. TG. Mures</t>
  </si>
  <si>
    <t>Târgu Mures</t>
  </si>
  <si>
    <t>Providing water and wastewater services to Tîrgu-Mureş and surrounding areas</t>
  </si>
  <si>
    <t>https://aquaserv.ro</t>
  </si>
  <si>
    <t>6889</t>
  </si>
  <si>
    <t>Spildevandscenter Avedøre A/S</t>
  </si>
  <si>
    <t>Hvidovre</t>
  </si>
  <si>
    <t>Providing wastewater services  in the 10 associated municipalities and Brøndby and Vallensbæk</t>
  </si>
  <si>
    <t>26069</t>
  </si>
  <si>
    <t>Lannion Tregor Communaute</t>
  </si>
  <si>
    <t>Côtes-d'Armor</t>
  </si>
  <si>
    <t>Lannion</t>
  </si>
  <si>
    <t>Providing 59 municipalities with wastewater services, 5 by delegated management</t>
  </si>
  <si>
    <t>https://www.lannion-tregor.com/</t>
  </si>
  <si>
    <t>3323</t>
  </si>
  <si>
    <t>Abwassergesellschaft Magdeburg mbh</t>
  </si>
  <si>
    <t>Magdeburg</t>
  </si>
  <si>
    <t>Providing wastewater services to Magdeburg</t>
  </si>
  <si>
    <t>Gelsenwasser AG (19.33%)  / E.ON Avacon (26.67%)  / City of Magdeburg (54%)</t>
  </si>
  <si>
    <t>https://www.agm-magdeburg.de</t>
  </si>
  <si>
    <t>Emailed to ask 04/12/2025</t>
  </si>
  <si>
    <t>https://ratsinfo.magdeburg.de/suchen01.asp</t>
  </si>
  <si>
    <t>6762</t>
  </si>
  <si>
    <t>Heves Megyei Vízmu Zrt.</t>
  </si>
  <si>
    <t>Eger</t>
  </si>
  <si>
    <t>Providing water and wastewater services to Heves county</t>
  </si>
  <si>
    <t>http://www.hmvizmurt.hu</t>
  </si>
  <si>
    <t>3325</t>
  </si>
  <si>
    <t>Städtische Werke Magdeburg</t>
  </si>
  <si>
    <t>Provides drinking water, natural gas, heating, and electricity to customers in the city of Magdeburg and Gerwisch in northern Germany. The company also offers sewage and waste disposal services.</t>
  </si>
  <si>
    <t>Gelsenwasser AG (19.33%) [via Gelsenswasser Magdeburg] / E.ON Avacon (26.67%)  / City of Magdeburg (54%)</t>
  </si>
  <si>
    <t>https://www.sw-magdeburg.de/</t>
  </si>
  <si>
    <t>3573</t>
  </si>
  <si>
    <t>Tiefbauamt Regensburg</t>
  </si>
  <si>
    <t>Regensburg</t>
  </si>
  <si>
    <t>Providing wastewater services to Regensburg</t>
  </si>
  <si>
    <t>http://www.regensburg.de/rathaus/aemteruebersicht/planungs-u-baureferat/tiefbauamt/abteilung-stadtentwaesserung/klaerwerk/83732</t>
  </si>
  <si>
    <t>https://www.regensburg.de/rathaus/stadtpolitik/regensburger-sitzungsdienst/textrecherche</t>
  </si>
  <si>
    <t>3500</t>
  </si>
  <si>
    <t>Stadt Sankt Augustin</t>
  </si>
  <si>
    <t>City of Sankt Augustin</t>
  </si>
  <si>
    <t>Sankt Augustin</t>
  </si>
  <si>
    <t>Providing water and wastewater services to Sankt Augustin</t>
  </si>
  <si>
    <t>http://www.sankt-augustin.de</t>
  </si>
  <si>
    <t>2027-2032</t>
  </si>
  <si>
    <t>https://sessionnet.owl-it.de/sankt-augustin/bi/getfile.asp?id=111230&amp;type=do</t>
  </si>
  <si>
    <t>https://sessionnet.owl-it.de/sankt-augustin/bi/vo0050.asp?__kvonr=2006025633&amp;smcspf=4</t>
  </si>
  <si>
    <t>6881</t>
  </si>
  <si>
    <t>Vandcenter Syd as</t>
  </si>
  <si>
    <t>Odense</t>
  </si>
  <si>
    <t>Water supply in the city of Odense; wastewater service in the cities of Odense and Nordfyns</t>
  </si>
  <si>
    <t>http://www.vandcenter.dk</t>
  </si>
  <si>
    <t>3324</t>
  </si>
  <si>
    <t>NordWasser</t>
  </si>
  <si>
    <t>Rostock</t>
  </si>
  <si>
    <t>Providing water and wastewater services to Rostock</t>
  </si>
  <si>
    <t>https://www.nordwasser.de</t>
  </si>
  <si>
    <t>3901</t>
  </si>
  <si>
    <t>Acoset S.p.A.</t>
  </si>
  <si>
    <t>Providing water and wastewater services in 20 municipalities in the province of Catania</t>
  </si>
  <si>
    <t>http://www.acoset.com</t>
  </si>
  <si>
    <t>3151</t>
  </si>
  <si>
    <t>Association of municipalities Calaisis-Terre d'Opale</t>
  </si>
  <si>
    <t>Calais</t>
  </si>
  <si>
    <t>Providing 5 municipalities with wastewater services</t>
  </si>
  <si>
    <t>https://www.grandcalais.fr/</t>
  </si>
  <si>
    <t>3160</t>
  </si>
  <si>
    <t>Association of municipalities of La Roche-sur-Yon</t>
  </si>
  <si>
    <t>Vendée</t>
  </si>
  <si>
    <t>Providing 13 municipalities with wastewater services, 3 by delegated management</t>
  </si>
  <si>
    <t>http://www.larochesuryon.fr/</t>
  </si>
  <si>
    <t>6862</t>
  </si>
  <si>
    <t>Vodárna Plzeň, a. s.</t>
  </si>
  <si>
    <t>Pilsen</t>
  </si>
  <si>
    <t>Providing water and wastewater services to Plzen, Starý Plzenec, Břasy, Stod, Čižice, Plešnice a Štěnovice</t>
  </si>
  <si>
    <t>City of Plzeň (100%)</t>
  </si>
  <si>
    <t>http://www.vodarna.cz/</t>
  </si>
  <si>
    <t>6856</t>
  </si>
  <si>
    <t>NSVA - Nordvästra Skånes Vatten och Avlopp AB</t>
  </si>
  <si>
    <t>Helsingborg</t>
  </si>
  <si>
    <t>Providing water and wastewater services in the municipalities of Båstad, Helsingborg, Landskrona, Svalöv and Åstorp</t>
  </si>
  <si>
    <t>http://www.nsva.se/</t>
  </si>
  <si>
    <t>4786</t>
  </si>
  <si>
    <t>Servicio Municipal de Aguas de Oviedo</t>
  </si>
  <si>
    <t>Providing water and wastewater services to City of Oviedo</t>
  </si>
  <si>
    <t>https://www.aqualia.com/es/web/aqualia-oviedo</t>
  </si>
  <si>
    <t>4793</t>
  </si>
  <si>
    <t>Servicio municipal de aguas de Salamanca</t>
  </si>
  <si>
    <t>Castilla y León</t>
  </si>
  <si>
    <t>Salamanca</t>
  </si>
  <si>
    <t>Providing water and wastewater services to City of Salamanca</t>
  </si>
  <si>
    <t>https://www.aqualia.com/es/web/aqualia-salamanca</t>
  </si>
  <si>
    <t>6802</t>
  </si>
  <si>
    <t>Pannon-Víz Zrt.</t>
  </si>
  <si>
    <t>Gyor</t>
  </si>
  <si>
    <t>Gyõr</t>
  </si>
  <si>
    <t>Providing water and wastewater services to 126 municipalities around Győr</t>
  </si>
  <si>
    <t>http://www.pannon-viz.hu</t>
  </si>
  <si>
    <t>3902</t>
  </si>
  <si>
    <t>Società Acqua Lodigiana S.r.l.</t>
  </si>
  <si>
    <t>Lodi</t>
  </si>
  <si>
    <t>Providing water and wastewater services to 60 municipalities in the Lodi province</t>
  </si>
  <si>
    <t>http://www.acqualodigiana.it</t>
  </si>
  <si>
    <t>3501</t>
  </si>
  <si>
    <t>Stadt Schweinfurt</t>
  </si>
  <si>
    <t>Stadtentwässerung Schweinfurt</t>
  </si>
  <si>
    <t>Schweinfurt City Drainage</t>
  </si>
  <si>
    <t>Schweinfurt</t>
  </si>
  <si>
    <t>Providing wastewater services to Schweinfut</t>
  </si>
  <si>
    <t>http://www.schweinfurt.de</t>
  </si>
  <si>
    <t>pp. 9-10</t>
  </si>
  <si>
    <t>https://schweinfurt.gremien.info/pdf-viewer?name=V2lydHNjaGFmdHNwbGFuIDIwMjU=&amp;watermark=0&amp;generated=09-12-2025&amp;document=aHR0cHM6Ly9zY2h3ZWluZnVydC5ncmVtaWVuLmluZm8vYXBpLnBocD9kb2N1bWVudF90eXBlX2lkPTEzJmRvY3VtZW50X3JlbGF0aW9uX2lkPTIwMjQxNzEwMTAwNDE4JTdDMjAyNDEwMTcxNTM4MjEtMC5wZGYlN0Mmc3VibWlzc2lvbl9hdHRhY2htZW50X2lkPTIwMjQxNzEwMTAwNDE4JTdDMjAyNDEwMTcxNTM4MjEtMC5wZGYlN0MmaWQ9NjkmanNvbj0xJnBsYXRmb3JtPXdlYiZzeXN0ZW09cmlzJmFnZW5kYV9pdGVtX2lkPW5pXzIwMjQtMi0yMTd8MjAyNDE3MTAxMDA0MTh8MSZkb2N1bWVudGFibGVfaWQ9MjAyNDE3MTAxMDA0MTh8MjAyNDEwMTcxNTM4MjEtMC5wZGZ8</t>
  </si>
  <si>
    <t>V easy to process</t>
  </si>
  <si>
    <t>https://schweinfurt.gremien.info/meeting/1481</t>
  </si>
  <si>
    <t>Diamond: Lots of useful info abt approving eg treatment plants</t>
  </si>
  <si>
    <t>3502</t>
  </si>
  <si>
    <t>Stadt Sindelfingen</t>
  </si>
  <si>
    <t>Stadtentwässerung Sindelfingen</t>
  </si>
  <si>
    <t>Sindelfingen</t>
  </si>
  <si>
    <t>Providing wastewater services to Sindelfingen</t>
  </si>
  <si>
    <t>http://www.sindelfingen.de/servlet/PB/menu/1206176/index.html?modul=vb&amp;_sls=0&amp;verfahrensID=1883001!0</t>
  </si>
  <si>
    <t>p. 14?</t>
  </si>
  <si>
    <t>https://sindelfingen.ratsinfomanagement.net/sdnetrim/UGhVM0hpd2NXNFdFcExjZSsiou3FXG8ZPfllhqpRGozB9hfaDVMQgF0XFkyoCGQV/Anlage_1_WP_2026_Eigenbetrieb_Stadtentwaesserung_Bericht.pdf</t>
  </si>
  <si>
    <t>https://sindelfingen.ratsinfomanagement.net/vorgang/?__=UGhVM0hpd2NXNFdFcExjZelkkIaPoUO9rsiaFjAUjz4</t>
  </si>
  <si>
    <t>4803</t>
  </si>
  <si>
    <t>Aguas del Arco Mediterráneo, SA</t>
  </si>
  <si>
    <t>Torrevieja</t>
  </si>
  <si>
    <t>Providing water and wastewater services to City of Torrevieja</t>
  </si>
  <si>
    <t>Ayuntamiento de Torrevieja (26%)  / Aguas de Barcelona (74%) [via wholly owned subsidary Hidraqua]</t>
  </si>
  <si>
    <t>https://www.agamed.es/</t>
  </si>
  <si>
    <t>4853</t>
  </si>
  <si>
    <t>Aguas y Saneamientos de la Axarquía, SAU</t>
  </si>
  <si>
    <t>Torre del Mar</t>
  </si>
  <si>
    <t>Providing wastewater services to Bulk water and wastewater services for the municipalities part of the "Mancomunidad de Municipios de la Axarquía"</t>
  </si>
  <si>
    <t>http://www.axaragua.com/tratamiento_de_agua_potable.html</t>
  </si>
  <si>
    <t>3069</t>
  </si>
  <si>
    <t>Syndicat Intercommunal pour l'Aménagement Hydraulique de la Vallée de l'Yvette</t>
  </si>
  <si>
    <t>Villebon-Sur-Yvette</t>
  </si>
  <si>
    <t>Providing 35 municipalities with wastewater services, all by delegated management</t>
  </si>
  <si>
    <t>Unavailable</t>
  </si>
  <si>
    <t>https://www.siahvy.org/</t>
  </si>
  <si>
    <t>6786</t>
  </si>
  <si>
    <t>Podtatranská vodárenská prevádzková spoločnosť, a.s.</t>
  </si>
  <si>
    <t>Poprad</t>
  </si>
  <si>
    <t>Providing water and wastewater services to Districts of Poprad, Kežmarok, Stará Ľubovňa, Spišská Nová Ves, Levoča a Gelnica</t>
  </si>
  <si>
    <t>http://pvpsas.sk/</t>
  </si>
  <si>
    <t>3905</t>
  </si>
  <si>
    <t>Idrolario S.r.l.</t>
  </si>
  <si>
    <t>Valmadrera</t>
  </si>
  <si>
    <t>Providing water and wastewater services in 65 municipalities in the province of Lecco</t>
  </si>
  <si>
    <t>http://www.idrolario.it</t>
  </si>
  <si>
    <t>3907</t>
  </si>
  <si>
    <t>Servizio Idrico Integrato S.c.p.a.</t>
  </si>
  <si>
    <t>Terni</t>
  </si>
  <si>
    <t>Providing water and wastewater services in the ATI (Ambito Territoriale Integrato) 4 in the Umbria region</t>
  </si>
  <si>
    <t>ASM SpA (18%)  / AMAN Scpa (6%)  / Umbriadue Scarl (25%)  / Municipalities (51%)</t>
  </si>
  <si>
    <t>http://www.siiato2.it</t>
  </si>
  <si>
    <t>3906</t>
  </si>
  <si>
    <t>Consac gestioni idriche S.p.A.</t>
  </si>
  <si>
    <t>Vallo della Lucania</t>
  </si>
  <si>
    <t>Providing water and wastewater services to 52 municipalities in the province of Salerno.</t>
  </si>
  <si>
    <t>http://www.consac.it</t>
  </si>
  <si>
    <t>7202</t>
  </si>
  <si>
    <t>Klaipėdos Vanduo</t>
  </si>
  <si>
    <t>Klaipėda</t>
  </si>
  <si>
    <t>Providing water and wastewater services to Klaipeda City, Gargždai town and Priekulė town</t>
  </si>
  <si>
    <t>http://www.vanduo.lt</t>
  </si>
  <si>
    <t>3309</t>
  </si>
  <si>
    <t>Erfurt Entwaesserungsbetrieb</t>
  </si>
  <si>
    <t>Thuringia</t>
  </si>
  <si>
    <t>Erfurt</t>
  </si>
  <si>
    <t>Providing wastewater services to Erfurt</t>
  </si>
  <si>
    <t>http://www.entwaesserungsbetrieb.erfurt.de/eaw/</t>
  </si>
  <si>
    <t>7101</t>
  </si>
  <si>
    <t>Aalborg Forsyning, Vand A/S</t>
  </si>
  <si>
    <t>Aalborg</t>
  </si>
  <si>
    <t>Providing water and wastewater services in the metropolitan area of Aalborg and the central parts of Nørresundby, Bouet, Hvorupgaard, Ferslev, Skovstrup, Volsted, Nibe, Vokslev and Sebber Stationsby, some areas in Gistrup, Svenstrup and Ellidshøj</t>
  </si>
  <si>
    <t>https://aalborgforsyning.dk/vand</t>
  </si>
  <si>
    <t>6875</t>
  </si>
  <si>
    <t>Tampere Water</t>
  </si>
  <si>
    <t>Tampere</t>
  </si>
  <si>
    <t>Providing water and wastewater services in the city of Tampere</t>
  </si>
  <si>
    <t>http://www.tampere.fi/vesi.html</t>
  </si>
  <si>
    <t>3145</t>
  </si>
  <si>
    <t>Syndicat Intercommunal d’Assainissement du Valenciennois</t>
  </si>
  <si>
    <t>Marly</t>
  </si>
  <si>
    <t>Providing 12 municipalities with wastewater services, all by delegated management</t>
  </si>
  <si>
    <t>Eau et Force, subsidiary of Lyonnaise des Eaux (Suez Environnement)</t>
  </si>
  <si>
    <t>http://www.siavdev.fr/</t>
  </si>
  <si>
    <t>6849</t>
  </si>
  <si>
    <t>Severoslovenské vodárne a kanalizácie, a.s.</t>
  </si>
  <si>
    <t>Zilina</t>
  </si>
  <si>
    <t>Providing water and wastewater services to Districts of Žilina, Bytča, Kysucké New Town and Čadca</t>
  </si>
  <si>
    <t>http://www.sevak.sk/</t>
  </si>
  <si>
    <t>6884</t>
  </si>
  <si>
    <t>eauservice</t>
  </si>
  <si>
    <t>Canton Vaud</t>
  </si>
  <si>
    <t>Lausanne</t>
  </si>
  <si>
    <t>Providing water and wastewater services to Lausanne and 17 municipalities in the Canton of Vaud, and bulk water services to 72 municipalities.</t>
  </si>
  <si>
    <t>http://www.lausanne.ch/eauservice</t>
  </si>
  <si>
    <t>27929</t>
  </si>
  <si>
    <t>Wirtschaftsbetriebe Oberhausen</t>
  </si>
  <si>
    <t>Oberhausen</t>
  </si>
  <si>
    <t>A multi-utility established in 1993 to provide waste disposal, street cleaning and sewer management services to the city of Oberhausen. It was partially privatised in 1996, with the companies Babcock and Trienekens each holding 24.5%. By 2005, Remondis had acquired these shares.</t>
  </si>
  <si>
    <t xml:space="preserve"> STOAG Stadtwerke Oberhausen GmbH, a wholly-owned subsidiary of the City of Oberhausen (51%) / Remondis (49%)</t>
  </si>
  <si>
    <t>3066</t>
  </si>
  <si>
    <t>Syndicat Mixte Intercommunal d'Assainissement de la Région d'Enghien-les-Bains</t>
  </si>
  <si>
    <t>Soisy-sous-Montmorency</t>
  </si>
  <si>
    <t>Providing 21 municipalities with wastewater services</t>
  </si>
  <si>
    <t>https://siare95.fr/</t>
  </si>
  <si>
    <t>6877</t>
  </si>
  <si>
    <t>S.C. Apa Canal 2000 S.A. Pitesti</t>
  </si>
  <si>
    <t>Pitesti</t>
  </si>
  <si>
    <t>Providing water and wastewater services to City of Pitesti, cities Costesti Ştefăneşti and Topoloveni and municipalities Albota Bascov Bradu, Brăduleţ, Buzoeşti, Cateasca, Raven Meadow, Maracineni Moşoaia, Stolnici Teiu Ungheni Titesti</t>
  </si>
  <si>
    <t>https://www.apacanal2000.ro</t>
  </si>
  <si>
    <t>3169</t>
  </si>
  <si>
    <t>Syndicat Mixte d'Assainissement de la Region Ouest de Versailles</t>
  </si>
  <si>
    <t>Providing wastewater services to 9 municipalities</t>
  </si>
  <si>
    <t>SEVESC, subsidiary of Lyonnaise des Eaux (Suez Environnement)</t>
  </si>
  <si>
    <t>6948</t>
  </si>
  <si>
    <t>Águas de Cascais</t>
  </si>
  <si>
    <t>Cascais</t>
  </si>
  <si>
    <t>Providing water and wastewater services to County of Cascais</t>
  </si>
  <si>
    <t>AGS, SA (50%)  / AQUAPOR Servicos (50%)</t>
  </si>
  <si>
    <t>http://www.aguasdecascais.pt/</t>
  </si>
  <si>
    <t>6887</t>
  </si>
  <si>
    <t>Wodociągi Miejskie w Radomiu Spółka z.o.o</t>
  </si>
  <si>
    <t>Radom</t>
  </si>
  <si>
    <t>Providing water and wastewater services to City of Radom and neighbouring municipalities</t>
  </si>
  <si>
    <t>http://www.wodociagi.radom.pl</t>
  </si>
  <si>
    <t>3911</t>
  </si>
  <si>
    <t>ACAM Acque S.p.A.</t>
  </si>
  <si>
    <t>La Spezia</t>
  </si>
  <si>
    <t>Providing water and wastewater services to 27 municipalities in the province of La Spezia.</t>
  </si>
  <si>
    <t>Iren SpA (100%)</t>
  </si>
  <si>
    <t>https://www.acamacque.it/</t>
  </si>
  <si>
    <t>6863</t>
  </si>
  <si>
    <t>Aalborg Forsyning A/S</t>
  </si>
  <si>
    <t>Nørresundby</t>
  </si>
  <si>
    <t>Providing water and wastewater services  in the municipalities of Aalborg and Rebild</t>
  </si>
  <si>
    <t>https://www.aalborgforsyning.dk/</t>
  </si>
  <si>
    <t>3216</t>
  </si>
  <si>
    <t>Association of municipalities Albigeois</t>
  </si>
  <si>
    <t>Tarn</t>
  </si>
  <si>
    <t>Albi</t>
  </si>
  <si>
    <t>Providing 16 municipalities with wastewater services</t>
  </si>
  <si>
    <t>http://www.grand-albigeois.fr/</t>
  </si>
  <si>
    <t>4794</t>
  </si>
  <si>
    <t>Canal Gestión Lanzarote</t>
  </si>
  <si>
    <t>Arrecife</t>
  </si>
  <si>
    <t>Providing water and wastewater services to the island of Lanzarote. Subsidiary of Canal de Isabel II.</t>
  </si>
  <si>
    <t>https://www.canalgestionlanzarote.es</t>
  </si>
  <si>
    <t>4787</t>
  </si>
  <si>
    <t>Empresa Mixta de Aguas de Santa Cruz de Tenerife, SA</t>
  </si>
  <si>
    <t>Providing water and wastewater services to Santa Cruz de Tenerife</t>
  </si>
  <si>
    <t>SACYR SA (94.64%)  / Ayuntamiento de Santa Cruz de Tenerife (5.36%)</t>
  </si>
  <si>
    <t>http://www.emmasa.es/index.php?sec=quienes&amp;subsec=definicion</t>
  </si>
  <si>
    <t>26084</t>
  </si>
  <si>
    <t>SIAVB</t>
  </si>
  <si>
    <t>Antony</t>
  </si>
  <si>
    <t>Providing 15 municipalities with wastewater services</t>
  </si>
  <si>
    <t>http://www.siavb.fr/</t>
  </si>
  <si>
    <t>3179</t>
  </si>
  <si>
    <t>Syndicat Intercommunal d'Assainissement du Bassin Cannois</t>
  </si>
  <si>
    <t>Cannes la Bocca</t>
  </si>
  <si>
    <t>Providing wastewater services to 4 municipalities</t>
  </si>
  <si>
    <t>4790</t>
  </si>
  <si>
    <t>Sociedad Mixta del Agua Jaén, S.A.</t>
  </si>
  <si>
    <t>Jaén</t>
  </si>
  <si>
    <t>Providing water and wastewater services to City of Jaen and 32 sorrounding population centers</t>
  </si>
  <si>
    <t>Diputacion Provincial de Jaen - Acciona Agua S.A.</t>
  </si>
  <si>
    <t>http://www.somajasa.es/</t>
  </si>
  <si>
    <t>7344</t>
  </si>
  <si>
    <t>SIMAR</t>
  </si>
  <si>
    <t>Loures</t>
  </si>
  <si>
    <t>Providing water and wastewater services to County Loures (55%) and County of Odivelas (45%)</t>
  </si>
  <si>
    <t>http://www.simar-louresodivelas.pt</t>
  </si>
  <si>
    <t>4791</t>
  </si>
  <si>
    <t>Aguas de Alcala U.T.E</t>
  </si>
  <si>
    <t>Alcalá de Henares</t>
  </si>
  <si>
    <t>Providing water and wastewater services to City of Alcala de Henares</t>
  </si>
  <si>
    <t>Canal de Isabel II Gestión (50%)  / FCC Aqualia (50%)</t>
  </si>
  <si>
    <t>http://www.aguasdealcala.es</t>
  </si>
  <si>
    <t>3909</t>
  </si>
  <si>
    <t>AIMAG S.p.A.</t>
  </si>
  <si>
    <t>Mirandola</t>
  </si>
  <si>
    <t>Providing water and wastewater services in 21 municipalities in the ATO Mantova</t>
  </si>
  <si>
    <t>Public municipalities (65%)  / Hera SpA (25%)  / Cassa di Risparmio di Carpi Foundation (7.5%)  / Cassa di Risparmio di Mirandola Foundation (2.5%)</t>
  </si>
  <si>
    <t>http://www.aimag.it</t>
  </si>
  <si>
    <t>3913</t>
  </si>
  <si>
    <t>Acea Pinerolese Industriale S.p.A.</t>
  </si>
  <si>
    <t>Pinerolo</t>
  </si>
  <si>
    <t>Providing water and wastewater services to 61 municipalities</t>
  </si>
  <si>
    <t>http://www.aceapinerolese.it</t>
  </si>
  <si>
    <t>3915</t>
  </si>
  <si>
    <t>Novareti S.p.A.</t>
  </si>
  <si>
    <t>Rovereto</t>
  </si>
  <si>
    <t>Providing water and wastewater services managing the municipal aqueducts of 17 municipalities including Trento Rovereto.</t>
  </si>
  <si>
    <t>Comune di Trento (21.73%) [via own stake and FinDolomiti Energia] / Comune di Rovereto (15.93%)  / Provincia Autonoma di Trento (11.9%)  / FT Energia (5.3%) / Fondazione Caritro (4.1%) / Other shareholders (41.04%)</t>
  </si>
  <si>
    <t>https://www.novareti.eu/</t>
  </si>
  <si>
    <t>3898</t>
  </si>
  <si>
    <t>Tecnoedil S.p.A.</t>
  </si>
  <si>
    <t>Alba</t>
  </si>
  <si>
    <t>Providing water and wastewater services to the municipalities of Alba, Bra, Langa and Roero</t>
  </si>
  <si>
    <t>Gruppo EGEA (100%)</t>
  </si>
  <si>
    <t>http://www.tecnoedilspa.it/</t>
  </si>
  <si>
    <t>4789</t>
  </si>
  <si>
    <t>Hidrogea - Cartagena</t>
  </si>
  <si>
    <t>Cartagena</t>
  </si>
  <si>
    <t>Providing water and wastewater services to City of Cartagena (Murcia)</t>
  </si>
  <si>
    <t>Distrito de Cartagena (50%)  / Aguas De Barcelona (45.91%) [via wholly owned subsidary Hidrogea] / Others (4.09%)</t>
  </si>
  <si>
    <t>https://www.hidrogea.es</t>
  </si>
  <si>
    <t>3914</t>
  </si>
  <si>
    <t>C.A.D.F. S.p.A.</t>
  </si>
  <si>
    <t>Codigoro</t>
  </si>
  <si>
    <t>Providing water and wastewater services through the collection of urban and urban waste in 19 of the 21 municipalities of the province of Ferrara.</t>
  </si>
  <si>
    <t>http://www.cadf.it</t>
  </si>
  <si>
    <t>27943</t>
  </si>
  <si>
    <t>MIDEWA</t>
  </si>
  <si>
    <t>Merseburg</t>
  </si>
  <si>
    <t>A part-privatised utility providing drinking water to 300,000 inhabitants and wastewater services to 200,000 in a 3,110 km2 area around the town of Merseburg, Saxony-Anhalt.</t>
  </si>
  <si>
    <t xml:space="preserve">Veolia (25.1%) / Municipalities (74.9%) </t>
  </si>
  <si>
    <t>https://merseburg.gremien.info/meeting/1413</t>
  </si>
  <si>
    <t>6904</t>
  </si>
  <si>
    <t>Novafos - Gentofte Vand A/S</t>
  </si>
  <si>
    <t>Gentofte</t>
  </si>
  <si>
    <t>Providing water and wastewater services to Gentofte and its environs</t>
  </si>
  <si>
    <t>https://novafos.dk/</t>
  </si>
  <si>
    <t>6715</t>
  </si>
  <si>
    <t>Stadt Zürich Tiefbau und Entsorgungsdepartement</t>
  </si>
  <si>
    <t>City of Zürich Civil Engineering and Waste Disposal Department</t>
  </si>
  <si>
    <t>Canton Zürich</t>
  </si>
  <si>
    <t>Zürich</t>
  </si>
  <si>
    <t>Providing wastewater services to City of Zurich</t>
  </si>
  <si>
    <t>https://www.stadt-zuerich.ch</t>
  </si>
  <si>
    <t>pg 14 for total wastewater spending (network: sewer construction, ERZ Wastewater; Construction / ) between 2026-2029; pg 23 has yearly spend between 2024-2029 but by department- Civil Engineering and Waste Management Department &amp; Department of Building Construction- so will also include non-WW type of projects and may duplicate)</t>
  </si>
  <si>
    <t>https://www.stadt-zuerich.ch/content/dam/web/de/aktuell/publikationen/2025/budget/fap-2026-2029.pdf</t>
  </si>
  <si>
    <t>https://www.stadt-zuerich.ch/de/aktuell/publikationen/2025/fap-2026-2029.html</t>
  </si>
  <si>
    <t>6913</t>
  </si>
  <si>
    <t>Toruńskie Wodociągi Sp. z o.o.</t>
  </si>
  <si>
    <t>Toruń</t>
  </si>
  <si>
    <t>Providing water and wastewater services to City of Toruń</t>
  </si>
  <si>
    <t>http://www.wodociagi.torun.com.pl</t>
  </si>
  <si>
    <t>6906</t>
  </si>
  <si>
    <t>Waterschap Vechtstromen</t>
  </si>
  <si>
    <t>Coevorden</t>
  </si>
  <si>
    <t>Providing wastewater services to Wastewater treatment in Southeast Drenthe and Northeast Overijssel</t>
  </si>
  <si>
    <t>https://www.vechtstromen.nl</t>
  </si>
  <si>
    <t>3912</t>
  </si>
  <si>
    <t>BIM Gestione Servizi Pubblici S.p.A.</t>
  </si>
  <si>
    <t>Belluno</t>
  </si>
  <si>
    <t>Providing water and wastewater services to 62 municipalities in the Belluno province.</t>
  </si>
  <si>
    <t>http://www.gestioneservizipubblici.bl.it</t>
  </si>
  <si>
    <t>6795</t>
  </si>
  <si>
    <t>AQUA S.A</t>
  </si>
  <si>
    <t>Bielsko Biała</t>
  </si>
  <si>
    <t>Providing water and wastewater services to City of Bielsko Biala and neighbouring municipalities</t>
  </si>
  <si>
    <t>Gmina Bielsko-Biala (51.1%) / Veolia Central and Eastern Europe (33.3%) / Others (15.6%)</t>
  </si>
  <si>
    <t>http://www.aqua.com.pl</t>
  </si>
  <si>
    <t>6878</t>
  </si>
  <si>
    <t>S.C. Compania De Apa Oradea S.A.</t>
  </si>
  <si>
    <t>Oradea</t>
  </si>
  <si>
    <t>Providing water and wastewater services to Oreadea</t>
  </si>
  <si>
    <t>http://www.apaoradea.ro</t>
  </si>
  <si>
    <t>3336</t>
  </si>
  <si>
    <t>Heidelberg - Abwasserverband</t>
  </si>
  <si>
    <t>Heidelberg</t>
  </si>
  <si>
    <t>Providing wastewater services to Heidelburg</t>
  </si>
  <si>
    <t>http://www.azv-heidelberg.de/</t>
  </si>
  <si>
    <t>6869</t>
  </si>
  <si>
    <t>Rejonowe Przedsiębiorstwo Wodociągów i Kanalizacji w Sosnowcu Spółka Akcyjna</t>
  </si>
  <si>
    <t>Sosnowiec</t>
  </si>
  <si>
    <t>Providing water and wastewater services to Sosnowiec City</t>
  </si>
  <si>
    <t>http://www.rpwik.sosnowiec.pl</t>
  </si>
  <si>
    <t>4795</t>
  </si>
  <si>
    <t>Servicio Municipal de Aguas de Almería</t>
  </si>
  <si>
    <t>Providing water and wastewater services to City of Almeria</t>
  </si>
  <si>
    <t>Aqualia (100%)</t>
  </si>
  <si>
    <t>http://www.aqualia.es/almeria</t>
  </si>
  <si>
    <t>6834</t>
  </si>
  <si>
    <t>S.C. Compania De Apa Arad S.A.</t>
  </si>
  <si>
    <t>Arad</t>
  </si>
  <si>
    <t>Providing water and wastewater services to Arad municipality, Vinga, Iratoş, Halmagiu, Gurahont, Moneasa, Beliu-Bocsig, Varsand, Taut, Dud, Tirnova, Casoaia, Pancota</t>
  </si>
  <si>
    <t>http://www.caarad.ro/</t>
  </si>
  <si>
    <t>3215</t>
  </si>
  <si>
    <t>Association of municipalities Beauvaisis</t>
  </si>
  <si>
    <t>Oise</t>
  </si>
  <si>
    <t>Beauvais</t>
  </si>
  <si>
    <t>Providing 31 municipalities with wastewater services, 30 by delegated management</t>
  </si>
  <si>
    <t>http://www.beauvaisis.fr/</t>
  </si>
  <si>
    <t>6801</t>
  </si>
  <si>
    <t>Středočeské vodárny, a.s.</t>
  </si>
  <si>
    <t>Kladno</t>
  </si>
  <si>
    <t>Providing water and wastewater services to Parts of Kladno, Mělník, Prague east and west, Rakovník and Mladá Boleslav</t>
  </si>
  <si>
    <t>Veolia Central &amp; Eastern Europe SA (66%)  / Vodárny Kladno - Mělník, a.s. (34%)</t>
  </si>
  <si>
    <t>http://www.svas.cz</t>
  </si>
  <si>
    <t>3186</t>
  </si>
  <si>
    <t>Association of municipalities Vichy-Val d'Allier</t>
  </si>
  <si>
    <t>Allier</t>
  </si>
  <si>
    <t>Vichy</t>
  </si>
  <si>
    <t>Providing 30 municipalities with wastewater services</t>
  </si>
  <si>
    <t>https://www.vichy-communaute.fr/</t>
  </si>
  <si>
    <t>3184</t>
  </si>
  <si>
    <t>Association of municipalities Portes de France</t>
  </si>
  <si>
    <t>Yutz</t>
  </si>
  <si>
    <t>https://www.agglo-thionville.fr/</t>
  </si>
  <si>
    <t>3990</t>
  </si>
  <si>
    <t>Ausino S.p.A.</t>
  </si>
  <si>
    <t>Cava de' Tirreni</t>
  </si>
  <si>
    <t>Providing water and wastewater services to 21 Municipalities of the Province of Salerno and the Municipality of Agerola in the Province of Naples.</t>
  </si>
  <si>
    <t>http://www.ausino.it</t>
  </si>
  <si>
    <t>6912</t>
  </si>
  <si>
    <t>Przedsiębiorstwo Wodociągów i Kanalizacji Sp. z o.o. w Gliwicach</t>
  </si>
  <si>
    <t>Gliwice</t>
  </si>
  <si>
    <t>Providing water and wastewater services to Gliwice City and neighbouring municipalities</t>
  </si>
  <si>
    <t>http://www.pwik.gliwice.pl</t>
  </si>
  <si>
    <t>6949</t>
  </si>
  <si>
    <t>Miejskie Przedsiębiorstwo Wodociągów i Kanalizacji Spółka z o.o. w Rzeszowie</t>
  </si>
  <si>
    <t>Rzeszów</t>
  </si>
  <si>
    <t>Providing water and wastewater services to Rzeszów City</t>
  </si>
  <si>
    <t>http://www.mpwik.rzeszow.pl</t>
  </si>
  <si>
    <t>3453</t>
  </si>
  <si>
    <t>Landeskreis Heilbronn</t>
  </si>
  <si>
    <t>Heilbronn</t>
  </si>
  <si>
    <t>Providing wastewater services to Heilbronn</t>
  </si>
  <si>
    <t>http://www.landkreis-heilbronn.de/sixcms/detail.php?id=10783&amp;_nav=10783,10780,10887,10930,19945</t>
  </si>
  <si>
    <t>3251</t>
  </si>
  <si>
    <t>Communauté d'Agglomération de Grand Châtellerault</t>
  </si>
  <si>
    <t>Vienne</t>
  </si>
  <si>
    <t>Châtellerault</t>
  </si>
  <si>
    <t>Providing 36 municipalities with wastewater services, 1 by delegated management</t>
  </si>
  <si>
    <t>https://www.grand-chatellerault.fr/</t>
  </si>
  <si>
    <t>6768</t>
  </si>
  <si>
    <t>Alföldvíz Zrt.</t>
  </si>
  <si>
    <t>Békéscsaba</t>
  </si>
  <si>
    <t>Providing water and wastewater services to 68 muncipalities</t>
  </si>
  <si>
    <t>http://www.alfoldviz.hu</t>
  </si>
  <si>
    <t>3910</t>
  </si>
  <si>
    <t>Azienda Cuneese Dell'Acqua S.p.A.</t>
  </si>
  <si>
    <t>Cuneo</t>
  </si>
  <si>
    <t>Providing water and wastewater services in 69 municipalities in the Cuneo province</t>
  </si>
  <si>
    <t>http://www.acda.it</t>
  </si>
  <si>
    <t>3192</t>
  </si>
  <si>
    <t>Syndicat Mixte Intercommunal d'Aménagement de Réseaux et de Cours d'Eau</t>
  </si>
  <si>
    <t>Corbeil-Essonnes</t>
  </si>
  <si>
    <t>Société des Eaux de l'Essonne (SEE)</t>
  </si>
  <si>
    <t>6937</t>
  </si>
  <si>
    <t>Reinhalteverbandes Großraum Salzburg</t>
  </si>
  <si>
    <t>Salzburg</t>
  </si>
  <si>
    <t>Providing water and wastewater services to the City of Salzburg and the Greater Salzburg area (Anif, Anthering, Bergheim, Elixhausen, Elsbethen, Eugendorf, Grodig, Hallwang, Koppl, Puch and Wals-Siezenheim).</t>
  </si>
  <si>
    <t>http://www.umweltschutzanlagen.at</t>
  </si>
  <si>
    <t>6750</t>
  </si>
  <si>
    <t>S.C. Compania Regionala De Apa Bacau S.A.</t>
  </si>
  <si>
    <t>Bacau</t>
  </si>
  <si>
    <t>Providing water and wastewater services to Bacau</t>
  </si>
  <si>
    <t>https://www.apabacau.ro/</t>
  </si>
  <si>
    <t>3956</t>
  </si>
  <si>
    <t>S.EC.AM. S.p.A. - Società per l'Ecologia e l'Ambiente</t>
  </si>
  <si>
    <t>Sondrio</t>
  </si>
  <si>
    <t>Providing water and wastewater services in 77 municipalities of the province of Sondrio</t>
  </si>
  <si>
    <t>http://www.secam.net</t>
  </si>
  <si>
    <t>6936</t>
  </si>
  <si>
    <t>Uppsala Water and Waste Ltd</t>
  </si>
  <si>
    <t>Uppsala</t>
  </si>
  <si>
    <t>Providing water and wastewater services in the city of Uppsala</t>
  </si>
  <si>
    <t>http://www.uppsalavatten.se</t>
  </si>
  <si>
    <t>4778</t>
  </si>
  <si>
    <t>Empresa Municipal de Aguas de Córdoba, S.A</t>
  </si>
  <si>
    <t>Córdoba</t>
  </si>
  <si>
    <t>Providing water and wastewater services to City of Cordoba</t>
  </si>
  <si>
    <t>http://www.emacsa.es</t>
  </si>
  <si>
    <t>6852</t>
  </si>
  <si>
    <t>S.C. Apa Nova S.R.L. Ploiesti</t>
  </si>
  <si>
    <t>Ploiesti</t>
  </si>
  <si>
    <t>Providing water and wastewater services to City of Ploiesti</t>
  </si>
  <si>
    <t>Veolia Eau-Compagnie Générale des Eaux (73.69%)  / Municipality of Ploiesti (27%)</t>
  </si>
  <si>
    <t>https://www.apanova-ploiesti.ro/</t>
  </si>
  <si>
    <t>6518</t>
  </si>
  <si>
    <t>Abwasserverband An der Traisen</t>
  </si>
  <si>
    <t>Niederösterreich</t>
  </si>
  <si>
    <t>Providing wastewater services to 22 municipalities around St Poelten</t>
  </si>
  <si>
    <t>4797</t>
  </si>
  <si>
    <t>Aguas de Burgos</t>
  </si>
  <si>
    <t>Burgos</t>
  </si>
  <si>
    <t>Providing water and wastewater services to City of Burgos</t>
  </si>
  <si>
    <t>https://www.aguasdeburgos.com/</t>
  </si>
  <si>
    <t>3917</t>
  </si>
  <si>
    <t>Alpi Acque S.p.A.</t>
  </si>
  <si>
    <t>Fossano</t>
  </si>
  <si>
    <t>Providing water and wastewater services to 25 municipalities in the Cuneo province.</t>
  </si>
  <si>
    <t>Municipalities (51%)  / Tecnoedil spa (49%)</t>
  </si>
  <si>
    <t>http://www.alpiacque.it</t>
  </si>
  <si>
    <t>6892</t>
  </si>
  <si>
    <t>Municipal Water Supply and Sewerage Larissa</t>
  </si>
  <si>
    <t>Larissa</t>
  </si>
  <si>
    <t>Providing water and wastewater services to the municipality of Larissa and several neighbouring municipalities</t>
  </si>
  <si>
    <t>http://www.deyal.gr/</t>
  </si>
  <si>
    <t>6941</t>
  </si>
  <si>
    <t>Recycling Entsorgung Abwasser Luzern</t>
  </si>
  <si>
    <t>Canton Lucerne</t>
  </si>
  <si>
    <t>Emmen</t>
  </si>
  <si>
    <t>Providing wastewater services to Luzern and 7 adjacent municipalities.</t>
  </si>
  <si>
    <t>http://www.real-luzern.ch</t>
  </si>
  <si>
    <t>6787</t>
  </si>
  <si>
    <t>S.C. Compania De Utilitati Publice Dunarea Braila S.A.</t>
  </si>
  <si>
    <t>Braila</t>
  </si>
  <si>
    <t>Providing water and wastewater services to Braila</t>
  </si>
  <si>
    <t>http://www.apabraila.ro/</t>
  </si>
  <si>
    <t>6930</t>
  </si>
  <si>
    <t>Vodárny a kanalizace Karlovy Vary, a. s.</t>
  </si>
  <si>
    <t>Karlovy Vary</t>
  </si>
  <si>
    <t>Providing water and wastewater services to Karlovy Vary region</t>
  </si>
  <si>
    <t>Suez (49.78%)  / Vodohospodářské sdružení obcí západních Čech (46.78%)  / Other shareholders (3.44%)</t>
  </si>
  <si>
    <t>https://vodakva.cz/en/</t>
  </si>
  <si>
    <t>26079</t>
  </si>
  <si>
    <t>CA du Bocage Bressuirais</t>
  </si>
  <si>
    <t>Bressuire</t>
  </si>
  <si>
    <t>https://www.agglo2b.fr/</t>
  </si>
  <si>
    <t>6461</t>
  </si>
  <si>
    <t>Empresa de Águas, Efluentes e Resíduos de Braga, EM</t>
  </si>
  <si>
    <t>Providing water and wastewater services to County of Braga</t>
  </si>
  <si>
    <t>Câmara Municipal de Braga (49%)  / Geswater, SGPS (51%) [Consortium of ABB - Alexandre Barbosa Borges, SA; BragaParques; DST - Domingos da Silva Teixeira, SA]</t>
  </si>
  <si>
    <t>http://www.agere.pt</t>
  </si>
  <si>
    <t>3918</t>
  </si>
  <si>
    <t>AcquaEnna S.C.p.A.</t>
  </si>
  <si>
    <t>Enna</t>
  </si>
  <si>
    <t>Providing water and wastewater services to 20 municipalities in the Province of Enna</t>
  </si>
  <si>
    <t>Acque Potabili SpA (56.77%)  / Mediterranea delle Acque SpA (9.83%)  / Sociaetà Metropolitana Acque Torino SpA (9.83%)  / Desa Srl (7.67%) / Consorzio fra Cooperative di produzione e lavoro (7.64%) / Other shareholders (8.27%)</t>
  </si>
  <si>
    <t>http://www.acquaenna.it</t>
  </si>
  <si>
    <t>3484</t>
  </si>
  <si>
    <t>Stadt Hamm</t>
  </si>
  <si>
    <t>Hamm</t>
  </si>
  <si>
    <t>Providing wastewater services to Hamm</t>
  </si>
  <si>
    <t>http://www.hamm.de/planen-bauen-verkehr-wohnen/stadtentwaesserung.html</t>
  </si>
  <si>
    <t>pp. 3-65, pp.67-69, pp. 72-82, pp. 85-90, pp. 92-94, p. 96</t>
  </si>
  <si>
    <t>https://ratsinfo.hamm.de/sdnetrim/UGhVM0hpd2NXNFdFcExjZV8NewKuR6xzIeIzl8tgJgH99bhNekSXfQ6QAQUty66v/ABK_2024_-_Anlage_2_zu_Vorlage_1189_23.pdf</t>
  </si>
  <si>
    <t>FOUL TABLES - also mostly j sewers?</t>
  </si>
  <si>
    <t>https://ratsinfo.hamm.de/vorgang/?__=UGhVM0hpd2NXNFdFcExjZQO-nQzeKd3uDufsy2hfNQc</t>
  </si>
  <si>
    <t>3562</t>
  </si>
  <si>
    <t>Stadwerke Bochum</t>
  </si>
  <si>
    <t>Bochum</t>
  </si>
  <si>
    <t>Providing water  and wastewater services to Bochum</t>
  </si>
  <si>
    <t>City of Witten (14.30%) / City of Herne (26.15%) / City of Bochum (59.55%) [all via Energie- und Wasserversorgung Mittleres Ruhrgebiet GmbH]</t>
  </si>
  <si>
    <t>http://www.stadtwerke-bochum.de/</t>
  </si>
  <si>
    <t>7380</t>
  </si>
  <si>
    <t>SMAS de Oeiras e Amadora - Amadora</t>
  </si>
  <si>
    <t>Amadora</t>
  </si>
  <si>
    <t>Providing water, wastewater and stormwater services to County of Amadora.</t>
  </si>
  <si>
    <t>http://www.smas-oeiras-amadora.pt</t>
  </si>
  <si>
    <t>6945</t>
  </si>
  <si>
    <t>City of Turku</t>
  </si>
  <si>
    <t>Providing water and wastewater services to the municipality of Turku</t>
  </si>
  <si>
    <t>http://www.turku.fi/en/turun-vesihuolto-oy-turku-region-water-supply-ltd</t>
  </si>
  <si>
    <t>4798</t>
  </si>
  <si>
    <t>Aguas de Albacete</t>
  </si>
  <si>
    <t>Castilla-La Mancha</t>
  </si>
  <si>
    <t>Albacete</t>
  </si>
  <si>
    <t>Providing water and wastewater services to City of Albacete and a few adjacent communities</t>
  </si>
  <si>
    <t>Ayuntamiento de Albacete (26%)  / Aguas de Barcelona (74%) [via wholly owned subsidiary Aquona]</t>
  </si>
  <si>
    <t>http://www.aguasdealbacete.com/ESP/home.asp</t>
  </si>
  <si>
    <t>4799</t>
  </si>
  <si>
    <t>Hidraqua - Orihuela</t>
  </si>
  <si>
    <t>Orihuela</t>
  </si>
  <si>
    <t>Providing water and wastewater services to Orihuela</t>
  </si>
  <si>
    <t>Aguas de Barcelona [via wholly owned subsidary Hidraqua]</t>
  </si>
  <si>
    <t>https://www.hidraqua.es</t>
  </si>
  <si>
    <t>6944</t>
  </si>
  <si>
    <t>Zabrzańskie Przedsiębiorstwo Wodociągów i Kanalizacji Spółka z o.o</t>
  </si>
  <si>
    <t>Zabrze</t>
  </si>
  <si>
    <t>Providing water and wastewater services to Zabrze City</t>
  </si>
  <si>
    <t>http://www.wodociagi.zabrze.pl</t>
  </si>
  <si>
    <t>3198</t>
  </si>
  <si>
    <t>Association of municipalities Hauts-de-Bièvre</t>
  </si>
  <si>
    <t>Châtenay-Malabry</t>
  </si>
  <si>
    <t>Providing wastewater services to 7 municipalities</t>
  </si>
  <si>
    <t>7381</t>
  </si>
  <si>
    <t>SMAS de Oeiras e Amadora - Oeiras</t>
  </si>
  <si>
    <t>Oeiras</t>
  </si>
  <si>
    <t>Providing water and wastewater services to County of Oerias and County of Amadora</t>
  </si>
  <si>
    <t>4796</t>
  </si>
  <si>
    <t>Servicio Municipal de Agua y Saneamiento de Santander</t>
  </si>
  <si>
    <t>Santander</t>
  </si>
  <si>
    <t>Providing water and wastewater services to City of Santander</t>
  </si>
  <si>
    <t>https://www.aqualia.com/es/web/aqualia-santander/conocenos/servicio</t>
  </si>
  <si>
    <t>3222</t>
  </si>
  <si>
    <t>Association of municipalities Val-de-Bièvre</t>
  </si>
  <si>
    <t>Arcueil</t>
  </si>
  <si>
    <t>3138</t>
  </si>
  <si>
    <t>Syndicat Intercommunal de Traitement des Eaux Usées de Colmar et Environs</t>
  </si>
  <si>
    <t>Colmar</t>
  </si>
  <si>
    <t>Providing 43 municipalities with wastewater services, all by delegated management</t>
  </si>
  <si>
    <t>https://www.agglo-colmar.fr/</t>
  </si>
  <si>
    <t>7348</t>
  </si>
  <si>
    <t>SMAS de Almada</t>
  </si>
  <si>
    <t>Setúbal</t>
  </si>
  <si>
    <t>Almada</t>
  </si>
  <si>
    <t>Providing water and wastewater services to County of Almada</t>
  </si>
  <si>
    <t>http://www.smasalmada.pt/</t>
  </si>
  <si>
    <t>26082</t>
  </si>
  <si>
    <t>CA Montélimar Agglo</t>
  </si>
  <si>
    <t>Montélimar</t>
  </si>
  <si>
    <t>Providing 26 municipalities with wastewater services, all by delegated management</t>
  </si>
  <si>
    <t>https://www.montelimar-agglo.fr/</t>
  </si>
  <si>
    <t>6963</t>
  </si>
  <si>
    <t>Przedsiębiorstwo Wodociągów i Kanalizacji Spółka z o.o. w Olsztynie</t>
  </si>
  <si>
    <t>Olsztyn</t>
  </si>
  <si>
    <t>Providing water and wastewater services to Olsztyn City</t>
  </si>
  <si>
    <t>http://www.pwik.olsztyn.pl</t>
  </si>
  <si>
    <t>6961</t>
  </si>
  <si>
    <t>Trondheim Department of Water and Sewerage</t>
  </si>
  <si>
    <t>Trondheim</t>
  </si>
  <si>
    <t>Providing water and wastewater services in the municipalities of Trondheim and Malvik</t>
  </si>
  <si>
    <t>http://www.trondheim.kommune.no/vann</t>
  </si>
  <si>
    <t>3326</t>
  </si>
  <si>
    <t>Wasserwerke Zwickau</t>
  </si>
  <si>
    <t>Zwickau</t>
  </si>
  <si>
    <t>Providing water and wastewater services to Crimmitschau in the north to the south of Kirchberg area</t>
  </si>
  <si>
    <t>https://www.wasserwerke-zwickau.de/startseite/</t>
  </si>
  <si>
    <t>https://ratsinfo.zwickau.de/bi/suchen01.php</t>
  </si>
  <si>
    <t>719</t>
  </si>
  <si>
    <t>EPSAR</t>
  </si>
  <si>
    <t>Providing wastewater services to 13 municIpalities for wastewater treatment and 6 municipalities for bulk water treatment</t>
  </si>
  <si>
    <t>http://www.epsar.gva.es/</t>
  </si>
  <si>
    <t>yes but it includes the whole Valencia Region with 3 provinces of 5.5 million people</t>
  </si>
  <si>
    <t>2025 - future</t>
  </si>
  <si>
    <t>p4-8</t>
  </si>
  <si>
    <t>https://www.epsar.gva.es/informacion-institucional-organizativa-y-de-planificacion-0?utm_source=chatgpt.com</t>
  </si>
  <si>
    <t>23684</t>
  </si>
  <si>
    <t>DIN Forsyning A/S</t>
  </si>
  <si>
    <t>Esbjerg</t>
  </si>
  <si>
    <t>Providing water and wastewater services to the area around Esbjerg</t>
  </si>
  <si>
    <t>https://dinforsyning.dk</t>
  </si>
  <si>
    <t>6824</t>
  </si>
  <si>
    <t>Vodárny Kladno-Mělník, a.s</t>
  </si>
  <si>
    <t>Providing water and wastewater services to Kladno and Melnik region</t>
  </si>
  <si>
    <t>City of Kladno (28.45%)  / City of Mělník (6.59%)  / City of Kralupy nad Vltavou (3.9%)  / Other shareholders (61.06%)</t>
  </si>
  <si>
    <t>http://www.vkm.cz/</t>
  </si>
  <si>
    <t>3238</t>
  </si>
  <si>
    <t>Syndicat Intercommunal d'Assainissement de la Vallée du Ru de Marivel</t>
  </si>
  <si>
    <t>3256</t>
  </si>
  <si>
    <t>Association of municipalities du Grand Rodez</t>
  </si>
  <si>
    <t>Aveyron</t>
  </si>
  <si>
    <t>Rodez</t>
  </si>
  <si>
    <t>https://www.rodezagglo.fr/</t>
  </si>
  <si>
    <t>4858</t>
  </si>
  <si>
    <t>JCUAPA</t>
  </si>
  <si>
    <t>Bulk water and wastewater provider with responsibility for the Poniente aquifer in Southern Spain</t>
  </si>
  <si>
    <t>https://jcuapa.es/</t>
  </si>
  <si>
    <t>3339</t>
  </si>
  <si>
    <t>Ingolstädter Kommunalbetriebe AöR</t>
  </si>
  <si>
    <t>Ingolstadt</t>
  </si>
  <si>
    <t>Providing water and wastewater services to Ingolstadt</t>
  </si>
  <si>
    <t>http://www.in-kb.de/</t>
  </si>
  <si>
    <t>p. 69 = the Investitionsplan inc Zentralkläranlage p. 72 [Kanal]; p. 73, p. 74, p. 75-76 [Verpflichtungsermaechtigungen]</t>
  </si>
  <si>
    <t>https://www4.ingolstadt.de/sessionnet/getfile.php?id=242271&amp;type=do</t>
  </si>
  <si>
    <t>NB FINANCIAL YEARS (so Oct-Sep)</t>
  </si>
  <si>
    <t>https://www4.ingolstadt.de/sessionnet/vo0050.php?__kvonr=20210</t>
  </si>
  <si>
    <t>2 (HORRID)</t>
  </si>
  <si>
    <t>4775</t>
  </si>
  <si>
    <t>Empresa Provincial de Aguas de Córdoba, S.A.</t>
  </si>
  <si>
    <t>Providing water and wastewater services to the area around Cordoba</t>
  </si>
  <si>
    <t>http://www.aguasdecordoba.es</t>
  </si>
  <si>
    <t>3331</t>
  </si>
  <si>
    <t>Stadtwerke Osnabrück</t>
  </si>
  <si>
    <t>Osnabrück</t>
  </si>
  <si>
    <t>Providing water and wastewater services to Osnabrück, including Dodesheide, Gartlage, Haste, Schinkel and Widukindland</t>
  </si>
  <si>
    <t>City of Osnabrück (100%)</t>
  </si>
  <si>
    <t>https://www.stadtwerke-osnabrueck.de/privatkunden/wasser.html</t>
  </si>
  <si>
    <t>Whole budget financial plan</t>
  </si>
  <si>
    <t>7 ('Wasser')</t>
  </si>
  <si>
    <t>6915</t>
  </si>
  <si>
    <t>S.C. Compania De Apa S.A. Buzau</t>
  </si>
  <si>
    <t>Buzau</t>
  </si>
  <si>
    <t>Providing water and wastewater services to Buzau</t>
  </si>
  <si>
    <t>http://www.cabuzau.ro/</t>
  </si>
  <si>
    <t>6972</t>
  </si>
  <si>
    <t>Tiefbauamt Basel-Stadt
Stadtentwässerung</t>
  </si>
  <si>
    <t>Canton Basel City</t>
  </si>
  <si>
    <t>Basel</t>
  </si>
  <si>
    <t>Providing wastewater services to City of Basel</t>
  </si>
  <si>
    <t>https://www.tiefbauamt.bs.ch</t>
  </si>
  <si>
    <t>7426</t>
  </si>
  <si>
    <t>VIMÁGUA</t>
  </si>
  <si>
    <t>Guimarães</t>
  </si>
  <si>
    <t>Providing water and wastewater services to Guimarães and Vizela</t>
  </si>
  <si>
    <t>http://www.vimagua.pt/</t>
  </si>
  <si>
    <t>26085</t>
  </si>
  <si>
    <t>Thonon Agglo</t>
  </si>
  <si>
    <t>Thonon-les-Bains</t>
  </si>
  <si>
    <t>Providing 25 municipalities with wastewater services</t>
  </si>
  <si>
    <t>https://www.thononagglo.fr/</t>
  </si>
  <si>
    <t>3239</t>
  </si>
  <si>
    <t>Association of municipalities Coeur d'Ostrevent</t>
  </si>
  <si>
    <t>Lewarde</t>
  </si>
  <si>
    <t>Providing wastewater services to 16 municipalities</t>
  </si>
  <si>
    <t>3243</t>
  </si>
  <si>
    <t>Syndicat Intercommunal d'Assainissement de la Plaine de L'Ousse</t>
  </si>
  <si>
    <t>Le Marigot</t>
  </si>
  <si>
    <t>Providing wastewater services to 15 municipalities</t>
  </si>
  <si>
    <t>SATEG (SAUR)</t>
  </si>
  <si>
    <t>3506</t>
  </si>
  <si>
    <t>Stadtbetrieb Abwasserbeseitigung Lünen AöR</t>
  </si>
  <si>
    <t>Stadtbetrieb Abwasserbeseitigung Lünen</t>
  </si>
  <si>
    <t>Lünen</t>
  </si>
  <si>
    <t>Providing wastewater services to Lünen</t>
  </si>
  <si>
    <t>http://abwasser-luenen.de/</t>
  </si>
  <si>
    <t>2023-2034</t>
  </si>
  <si>
    <t>https://luenen.ratsinfomanagement.net/sdnetrim/UGhVM0hpd2NXNFdFcExjZSYFQ60Yzny1RaNXMe-AGJzbkJQohNWeF8T9mefTljdT/VL-18-2026_ABK_Anlage.pdf</t>
  </si>
  <si>
    <t>https://luenen.ratsinfomanagement.net/vorgang/?__=UGhVM0hpd2NXNFdFcExjZa_m0vMgR70iyT2x8a0SR78</t>
  </si>
  <si>
    <t>Stripy globe council</t>
  </si>
  <si>
    <t>6923</t>
  </si>
  <si>
    <t>S.C. Apa-Prod S.A. Deva</t>
  </si>
  <si>
    <t>Deva</t>
  </si>
  <si>
    <t>Providing water and wastewater services to Hunedoara County</t>
  </si>
  <si>
    <t>https://www.apaprod.ro</t>
  </si>
  <si>
    <t>3334</t>
  </si>
  <si>
    <t>Stadtentwässerung Herne GmbH &amp; Co. KG</t>
  </si>
  <si>
    <t>Herne</t>
  </si>
  <si>
    <t>Providing wastewater services to Herne</t>
  </si>
  <si>
    <t>Gelsenwasser AG (50%)  / City of Herne (50%)</t>
  </si>
  <si>
    <t>http://www.se-herne.de/</t>
  </si>
  <si>
    <t>7334</t>
  </si>
  <si>
    <t>KLAR Forsyning A/S</t>
  </si>
  <si>
    <t>Køge</t>
  </si>
  <si>
    <t>Providing water and wastewater services in the city of Køge</t>
  </si>
  <si>
    <t>https://www.klarforsyning.dk/</t>
  </si>
  <si>
    <t>3507</t>
  </si>
  <si>
    <t>Stadtbetrieb Entwässerung Bergkamen</t>
  </si>
  <si>
    <t>SEB</t>
  </si>
  <si>
    <t>Bergkamen</t>
  </si>
  <si>
    <t>Providing wastewater services to Bergkamen</t>
  </si>
  <si>
    <t>http://www.seb-bergkamen.de/startseite/</t>
  </si>
  <si>
    <t>pp. 11-12</t>
  </si>
  <si>
    <t>https://ris.bergkamen.de/bi/getfile.asp?id=88991&amp;type=do</t>
  </si>
  <si>
    <t>https://ris.bergkamen.de/bi/vo0050.asp?__kvonr=2073845</t>
  </si>
  <si>
    <t>6968</t>
  </si>
  <si>
    <t>S.C. Acet S.A. Suceava</t>
  </si>
  <si>
    <t>Suceava</t>
  </si>
  <si>
    <t>Providing water and wastewater services to Suceava</t>
  </si>
  <si>
    <t>http://acetsv.ro/</t>
  </si>
  <si>
    <t>6840</t>
  </si>
  <si>
    <t>S.C. Compania Judeţeană Apa Serv S.A.</t>
  </si>
  <si>
    <t>Piatra Neamt</t>
  </si>
  <si>
    <t>Providing water and wastewater services to Neamt County Council, City Council Piatra Neamt, Local Council Alexandru cel Bun, Local Council Roznov, Local Council Săvineşti</t>
  </si>
  <si>
    <t>http://www.apaserv.eu/</t>
  </si>
  <si>
    <t>2008</t>
  </si>
  <si>
    <t>ENTEGA AG</t>
  </si>
  <si>
    <t>Darmstadt</t>
  </si>
  <si>
    <t>Providing water and wastewater services to Darmstadt</t>
  </si>
  <si>
    <t>HEAG Holding (93.13%) / City and communities (5.12%) / Others (1.75%)</t>
  </si>
  <si>
    <t>https://www.entega.ag/ueber-entega/</t>
  </si>
  <si>
    <t>3249</t>
  </si>
  <si>
    <t>Association of municipalities of Moulins</t>
  </si>
  <si>
    <t>Moulins</t>
  </si>
  <si>
    <t>http://www.agglo-moulins.fr/</t>
  </si>
  <si>
    <t>7548</t>
  </si>
  <si>
    <t>Trnavská vodárenská spoločnosť, a.s.</t>
  </si>
  <si>
    <t>Piestany</t>
  </si>
  <si>
    <t>Providing water and wastewater services to Districts of Piestany, Trnava and Hlohovec</t>
  </si>
  <si>
    <t>http://www.tavos-as.sk/</t>
  </si>
  <si>
    <t>7069</t>
  </si>
  <si>
    <t>Jyväskylä Energy Group</t>
  </si>
  <si>
    <t>Jyväskylä</t>
  </si>
  <si>
    <t>Providing water and wastewater services in the Jyväskylä region</t>
  </si>
  <si>
    <t>http://www.jyvaskylanenergia.fi</t>
  </si>
  <si>
    <t>3924</t>
  </si>
  <si>
    <t>Azienda Multiultility Acqua e Gas S.p.A.</t>
  </si>
  <si>
    <t>Alessandria</t>
  </si>
  <si>
    <t>Providing water and wastewater services in 24 municipalities in the Alessandria province</t>
  </si>
  <si>
    <t>http://www.gruppoamag.it</t>
  </si>
  <si>
    <t>4801</t>
  </si>
  <si>
    <t>Ayuntamiento de Logrono - Dirección General De Medio Ambiente</t>
  </si>
  <si>
    <t>La Rioja</t>
  </si>
  <si>
    <t>Logroño</t>
  </si>
  <si>
    <t>Providing water and wastewater services to City of Logroño</t>
  </si>
  <si>
    <t>7297</t>
  </si>
  <si>
    <t>INDAQUA Matosinhos</t>
  </si>
  <si>
    <t>Matosinhos</t>
  </si>
  <si>
    <t>Providing water and wastewater services to County of Matosinhos.</t>
  </si>
  <si>
    <t>INAQUA, SA (100%)</t>
  </si>
  <si>
    <t>http://www.indaquamatosinhos.pt</t>
  </si>
  <si>
    <t>3925</t>
  </si>
  <si>
    <t>Valle Umbra Servizi S.p.A.</t>
  </si>
  <si>
    <t>Spoleto</t>
  </si>
  <si>
    <t>Providing water and wastewater services to the 22 Municipalities of ATO 3 Umbria.</t>
  </si>
  <si>
    <t>http://www.vusspa.it/</t>
  </si>
  <si>
    <t>6922</t>
  </si>
  <si>
    <t>S.C. Apa C.T.T.A. S.A. Alba Iulia</t>
  </si>
  <si>
    <t>Alba Iulia</t>
  </si>
  <si>
    <t>Providing water and wastewater services to Alba County</t>
  </si>
  <si>
    <t>https://apaalba.ro</t>
  </si>
  <si>
    <t>4804</t>
  </si>
  <si>
    <t>Aguas de Huelva</t>
  </si>
  <si>
    <t>Huelva</t>
  </si>
  <si>
    <t>Providing water and wastewater services to City of Huelva</t>
  </si>
  <si>
    <t>Ayuntamiento de Huelva (51%)  / Hidralia, Gestión Integral de Aguas de Andalucía, SA (49%)</t>
  </si>
  <si>
    <t>http://www.aguashuelva.es/</t>
  </si>
  <si>
    <t>6994</t>
  </si>
  <si>
    <t>Jyväskylä Regional Sewage Ltd</t>
  </si>
  <si>
    <t>Managing WWTPs in the Jyväskylä region</t>
  </si>
  <si>
    <t>http://www.js-puhdistamo.fi</t>
  </si>
  <si>
    <t>4802</t>
  </si>
  <si>
    <t>Servicio Municipal de Aguas de Badajoz</t>
  </si>
  <si>
    <t>Extremadura</t>
  </si>
  <si>
    <t>Badajoz</t>
  </si>
  <si>
    <t>Providing water and wastewater services to City of Badajoz</t>
  </si>
  <si>
    <t>https://www.aqualia.com/es/web/aqualia-badajoz</t>
  </si>
  <si>
    <t>26039</t>
  </si>
  <si>
    <t>SIAVO</t>
  </si>
  <si>
    <t>Amnéville</t>
  </si>
  <si>
    <t>Providing 11 municipality with wastewater services, all by delegated management</t>
  </si>
  <si>
    <t>Veolia (100%)</t>
  </si>
  <si>
    <t>http://siavo.com/</t>
  </si>
  <si>
    <t>7230</t>
  </si>
  <si>
    <t>CM de Seixal</t>
  </si>
  <si>
    <t>Seixal</t>
  </si>
  <si>
    <t>Providing water and wastewater services to County of Seixal</t>
  </si>
  <si>
    <t>http://www.cm-seixal.pt/agua/agua</t>
  </si>
  <si>
    <t>8702</t>
  </si>
  <si>
    <t>MIVÍZ: Miskolci Vízmű Kft.</t>
  </si>
  <si>
    <t>Borsod-Abaúj-Zemplén</t>
  </si>
  <si>
    <t>Providing water and wastewater services to the city of Miskolc</t>
  </si>
  <si>
    <t>http://www.miviz.hu/</t>
  </si>
  <si>
    <t>3202</t>
  </si>
  <si>
    <t>Syndicat Intercommunal d'Assainissement de la Boucle de la Seine</t>
  </si>
  <si>
    <t>Le Vesinet</t>
  </si>
  <si>
    <t>http://www.siabs.sitew.org/</t>
  </si>
  <si>
    <t>26052</t>
  </si>
  <si>
    <t>SICTEUB de La Theve et de L'Ysieux</t>
  </si>
  <si>
    <t>Fosses</t>
  </si>
  <si>
    <t>Providing 21 municipality with wastewater services</t>
  </si>
  <si>
    <t>https://www.sicteub.org/</t>
  </si>
  <si>
    <t>3259</t>
  </si>
  <si>
    <t>Syndicat Intercommunal d'Assainissement de la Région de l'Hautil</t>
  </si>
  <si>
    <t>Poissy</t>
  </si>
  <si>
    <t>Providing wastewater services to 11 municipalities</t>
  </si>
  <si>
    <t>4805</t>
  </si>
  <si>
    <t>Empresa Municipal Mixta de Aguas de Tarragona</t>
  </si>
  <si>
    <t>Tarragona</t>
  </si>
  <si>
    <t>Providing water and wastewater services to City of Tarragona</t>
  </si>
  <si>
    <t>Ayuntamiento de Tarragona (51%)  / Aguas de Barcelona (49%) [via wholly owned subsidary Sorea]</t>
  </si>
  <si>
    <t>https://www.ematsa.cat/</t>
  </si>
  <si>
    <t>4800</t>
  </si>
  <si>
    <t>Teidagua</t>
  </si>
  <si>
    <t>La Laguna</t>
  </si>
  <si>
    <t>Providing water and wastewater services to Municipalities of San Cristóbal de La Laguna and Tacoronte</t>
  </si>
  <si>
    <t>Ayuntamiento de La Laguna   / Ayuntamiento de Tacoronte   / Aguas de Barcelona  [via wholly owned subsidary Canaragua]</t>
  </si>
  <si>
    <t>https://www.teidagua.es</t>
  </si>
  <si>
    <t>6806</t>
  </si>
  <si>
    <t>Ruse ViK</t>
  </si>
  <si>
    <t>Ruse</t>
  </si>
  <si>
    <t>Providing water and wastewater services to Ruse region</t>
  </si>
  <si>
    <t>http://www.vik-ruse.com/</t>
  </si>
  <si>
    <t>3410</t>
  </si>
  <si>
    <t>BEG Bremerhavener Entsorgungsgesellschaft mbH</t>
  </si>
  <si>
    <t>Bremerhaven</t>
  </si>
  <si>
    <t>Providing wastewater services to Bremerhaven</t>
  </si>
  <si>
    <t>REMONDIS gefürhte Holding (74.9%)  / Municipal shareholders (25.1%)</t>
  </si>
  <si>
    <t>http://www.beg-bhv.de/</t>
  </si>
  <si>
    <t>https://sitzungsapp.bremerhaven.de/ris/bremerhaven/meeting/list</t>
  </si>
  <si>
    <t>6890</t>
  </si>
  <si>
    <t>S.C. Vital S.A. Baia Mare</t>
  </si>
  <si>
    <t>Baia Mare</t>
  </si>
  <si>
    <t>Providing water and wastewater services to Baia Mare</t>
  </si>
  <si>
    <t>http://www.vitalmm.ro/</t>
  </si>
  <si>
    <t>26086</t>
  </si>
  <si>
    <t>Les Sables-d'Olonne-Agglo</t>
  </si>
  <si>
    <t>Olonne-sur-Mer</t>
  </si>
  <si>
    <t>Providing 7 municipalities with wastewater services</t>
  </si>
  <si>
    <t>http://www.lsoagglo.fr/</t>
  </si>
  <si>
    <t>3265</t>
  </si>
  <si>
    <t>Association of municipalities Soissonnais</t>
  </si>
  <si>
    <t>Aisne</t>
  </si>
  <si>
    <t>Cuffies</t>
  </si>
  <si>
    <t>Providing 22 municipalities with wastewater services</t>
  </si>
  <si>
    <t>http://agglo.grandsoissons.com/</t>
  </si>
  <si>
    <t>3927</t>
  </si>
  <si>
    <t>Cordar S.p.A. Biella Servizi</t>
  </si>
  <si>
    <t>Biella</t>
  </si>
  <si>
    <t>Providing water and wastewater services in the municipalities in the Biella province</t>
  </si>
  <si>
    <t>https://www.cordarbiella.it/</t>
  </si>
  <si>
    <t>3928</t>
  </si>
  <si>
    <t>Irisacqua S.r.l.</t>
  </si>
  <si>
    <t>Gorizia</t>
  </si>
  <si>
    <t>Providing water and wastewater services in 25 municipalities in the province of Gorizia</t>
  </si>
  <si>
    <t>http://www.irisacqua.it</t>
  </si>
  <si>
    <t>7347</t>
  </si>
  <si>
    <t>SIMAR Loures - Odivelas</t>
  </si>
  <si>
    <t>Odivelas</t>
  </si>
  <si>
    <t>26081</t>
  </si>
  <si>
    <t>CA de L'Ouest Rhodanien</t>
  </si>
  <si>
    <t>Rhône</t>
  </si>
  <si>
    <t>Tarare</t>
  </si>
  <si>
    <t>Providing 34 municipalities with wastewater services, all by delegated management</t>
  </si>
  <si>
    <t>http://www.ouestrhodanien.fr/</t>
  </si>
  <si>
    <t>6943</t>
  </si>
  <si>
    <t>S.C. Apaserv Satu Mare S.A.</t>
  </si>
  <si>
    <t>Satu Mare</t>
  </si>
  <si>
    <t>Providing water and wastewater services to Satu Mare</t>
  </si>
  <si>
    <t>http://www.apaservsm.ro/</t>
  </si>
  <si>
    <t>6951</t>
  </si>
  <si>
    <t>Águas de Gondomar</t>
  </si>
  <si>
    <t>Gondomar</t>
  </si>
  <si>
    <t>Providing water and wastewater services to County of Gondomar</t>
  </si>
  <si>
    <t>AGS, SA (42.5%)  / AQUAPOR Serviços, SA (42.5%)  / Camilo Sousa Mota &amp; Filhos, SA (15%)  / Luságua Alcanena Gestão de Águas, SA (0%) / Water Value - Serviços Ambientais, SA (0%)</t>
  </si>
  <si>
    <t>http://www.aguasdegondomar.pt</t>
  </si>
  <si>
    <t>3930</t>
  </si>
  <si>
    <t>Talete S.p.A.</t>
  </si>
  <si>
    <t>Viterbo</t>
  </si>
  <si>
    <t>Providing water and wastewater services in the ATO Lazio Nord-Viterbo</t>
  </si>
  <si>
    <t>http://www.taletespa.eu</t>
  </si>
  <si>
    <t>3338</t>
  </si>
  <si>
    <t>ENNI Energie &amp; Umwelt Niederrhein</t>
  </si>
  <si>
    <t>Moers</t>
  </si>
  <si>
    <t>Providing water and wastewater services to Moers and Neukirchen</t>
  </si>
  <si>
    <t>City of Moers (70%)  / RWE AG (20%)  / City of Dinslaken (5%)  / City of Neukirchen-Vluyn (5%)</t>
  </si>
  <si>
    <t>http://www.enni.de/energie-umwelt/privatkunden/wasser.html</t>
  </si>
  <si>
    <t>https://ris.moers.de/</t>
  </si>
  <si>
    <t>7013</t>
  </si>
  <si>
    <t>Nicosia Sewerage Board</t>
  </si>
  <si>
    <t>Nicosia</t>
  </si>
  <si>
    <t>Providing wastewater services to Municipalities of Nicosia, Strovolos, Aglantzias, Engomi, St. Dometiou, Latsia, Geri and Tseriou</t>
  </si>
  <si>
    <t>http://www.sbn.org.cy</t>
  </si>
  <si>
    <t>7015</t>
  </si>
  <si>
    <t>Örebro Water and Sewerage Department</t>
  </si>
  <si>
    <t>Örebro</t>
  </si>
  <si>
    <t>Providing water and wastewater services in the city of Örebro</t>
  </si>
  <si>
    <t>https://www.orebro.se/bygga-bo--trafik/vatten--avlopp.html</t>
  </si>
  <si>
    <t>7016</t>
  </si>
  <si>
    <t>Tekniska verken</t>
  </si>
  <si>
    <t>Linköping</t>
  </si>
  <si>
    <t>Providing water and wastewater services in the city of Linköping</t>
  </si>
  <si>
    <t>http://www.tekniskaverken.se</t>
  </si>
  <si>
    <t>3509</t>
  </si>
  <si>
    <t>Stadtentwässerung - Eigenbetrieb der Stadt Koblenz</t>
  </si>
  <si>
    <t>Koblenz City Drainage</t>
  </si>
  <si>
    <t>Koblenz</t>
  </si>
  <si>
    <t>Providing wastewater services to Koblenz</t>
  </si>
  <si>
    <t>http://www.koblenz.de/gesundheit_umwelt/eigenbetrieb_stadtentwaesserung_koblenz.html</t>
  </si>
  <si>
    <t>p. 39, 41, 43, 44, 46, 48-60</t>
  </si>
  <si>
    <t>https://buergerinfo.koblenz.de/getfile.php?id=370843&amp;type=do</t>
  </si>
  <si>
    <t>https://buergerinfo.koblenz.de/vo0050.php?__kvonr=41733</t>
  </si>
  <si>
    <t>26093</t>
  </si>
  <si>
    <t>CA Mont-Saint-Michel</t>
  </si>
  <si>
    <t>Manche</t>
  </si>
  <si>
    <t>Avranches (avant 2019)</t>
  </si>
  <si>
    <t>Providing 42 municipalities with wastewater services, 12 by delegated management</t>
  </si>
  <si>
    <t>http://www.msm-normandie.fr/</t>
  </si>
  <si>
    <t>7021</t>
  </si>
  <si>
    <t>Przedsiębiorstwo Wodociągów i Kanalizacji Sp.Z.o.o. w Rybniku</t>
  </si>
  <si>
    <t>Rybnik</t>
  </si>
  <si>
    <t>Providing water and wastewater services to Rybnik City and neighbouring municipalities</t>
  </si>
  <si>
    <t>https://www.m.pwik-rybnik.pl/</t>
  </si>
  <si>
    <t>7521</t>
  </si>
  <si>
    <t>Oulu Water</t>
  </si>
  <si>
    <t>Oulu</t>
  </si>
  <si>
    <t>Providing water and wastewater services in the city of Oulu</t>
  </si>
  <si>
    <t>http://www.oulunvesi.fi</t>
  </si>
  <si>
    <t>3270</t>
  </si>
  <si>
    <t>Association of municipalities des Trois Frontieres</t>
  </si>
  <si>
    <t>Saint-Louis</t>
  </si>
  <si>
    <t>Providing wastewater services to 10 municipalities</t>
  </si>
  <si>
    <t>3273</t>
  </si>
  <si>
    <t>Municipality of Saint-Malo - Wastewater</t>
  </si>
  <si>
    <t>Saint-Malo</t>
  </si>
  <si>
    <t>Providing wastewater services to 1 municipality</t>
  </si>
  <si>
    <t>6855</t>
  </si>
  <si>
    <t>Tarnowskie Wodociągi Sp. z o. o.</t>
  </si>
  <si>
    <t>Tarnów</t>
  </si>
  <si>
    <t>Providing water and wastewater services to City of Tarnów and neighbouring municipalities</t>
  </si>
  <si>
    <t>http://www.tw.tarnow.pl</t>
  </si>
  <si>
    <t>3919</t>
  </si>
  <si>
    <t>Consorzio per la Depurazione delle Acque di Scarico del Savonese S.p.A.</t>
  </si>
  <si>
    <t>Savona</t>
  </si>
  <si>
    <t>Providing wastewater services to Wastewater collection and treatment in 15 municipalities in the province of Savona</t>
  </si>
  <si>
    <t>http://www.depuratore.sv.it</t>
  </si>
  <si>
    <t>26104</t>
  </si>
  <si>
    <t>Métropole Aix Marseille Provence - Territoire Du Pays d'Aix</t>
  </si>
  <si>
    <t>Bouches-du-Rhône</t>
  </si>
  <si>
    <t>Vitrolles</t>
  </si>
  <si>
    <t>Providing 26 municipalities with drinking water services, all by delegated management. The utility also provides 28 municipalities with wastewater services, 27 by delegated management</t>
  </si>
  <si>
    <t>not really</t>
  </si>
  <si>
    <t xml:space="preserve">https://ampmetropole.fr/wp-content/uploads/2026/01/2025_2.0_11_RPQS-2024-eau-et-assainissement_13NOV_web_final.pdf </t>
  </si>
  <si>
    <t>616</t>
  </si>
  <si>
    <t>Métropole de Lyon</t>
  </si>
  <si>
    <t>Lyon</t>
  </si>
  <si>
    <t>Providing 58 municipalities with drinking water services, 55 by delegated management. The utility also provides 59 municipalities with wastewater services</t>
  </si>
  <si>
    <t>http://www.grandlyon.com/metropole/eau-et-assainissement.html</t>
  </si>
  <si>
    <t>sort of</t>
  </si>
  <si>
    <t>https://www.grandlyon.com/fileadmin/user_upload/media/pdf/eau/assainissement/20150710_gl_assainissement_sga_livret_enjeux_orientations.pdf?utm_source=chatgpt.com</t>
  </si>
  <si>
    <t>6966</t>
  </si>
  <si>
    <t>S.C. Compania De Apa Targoviste Dambovita S.A.</t>
  </si>
  <si>
    <t>Târgoviste</t>
  </si>
  <si>
    <t>Providing water and wastewater services to Dambovita County including the city of Targoviste</t>
  </si>
  <si>
    <t>http://www.catd.ro/</t>
  </si>
  <si>
    <t>613</t>
  </si>
  <si>
    <t>Métropole Européenne de Lille</t>
  </si>
  <si>
    <t>Lille</t>
  </si>
  <si>
    <t>Providing 62 municipalities with drinking water services, all by delegated management. The utility also provides 85 municipalities with wastewater services</t>
  </si>
  <si>
    <t>http://www.lillemetropole.fr/</t>
  </si>
  <si>
    <t>8805</t>
  </si>
  <si>
    <t>Kouvolan Vesi Oy</t>
  </si>
  <si>
    <t>Kouvola</t>
  </si>
  <si>
    <t>http://www.kouvolanvesi.fi/</t>
  </si>
  <si>
    <t>6950</t>
  </si>
  <si>
    <t>Águas de Coimbra</t>
  </si>
  <si>
    <t>Coimbra</t>
  </si>
  <si>
    <t>Providing water and wastewater services to County of Coimbra</t>
  </si>
  <si>
    <t>http://www.aguasdecoimbra.pt</t>
  </si>
  <si>
    <t>3933</t>
  </si>
  <si>
    <t>G.E.A.L. S.p.A. Gestione Esercizio Acquedotti Lucchesi</t>
  </si>
  <si>
    <t>Providing water and wastewater services in 12 municipalities in the province of Lucca</t>
  </si>
  <si>
    <t>Lucca Holding Spa (52%)  / CREA SpA (28.8%)  / ACEA SpA (19.2%)</t>
  </si>
  <si>
    <t>http://www.geal-lucca.it</t>
  </si>
  <si>
    <t>7403</t>
  </si>
  <si>
    <t>SMAS de Vila Franca de Xira</t>
  </si>
  <si>
    <t>Vila Franca de Xira</t>
  </si>
  <si>
    <t>Providing water and wastewater services to County of Vila Franca de Xira</t>
  </si>
  <si>
    <t>http://www.smas-vfxira.pt</t>
  </si>
  <si>
    <t>3934</t>
  </si>
  <si>
    <t>Iren Acqua Tigullio</t>
  </si>
  <si>
    <t>Chiavari</t>
  </si>
  <si>
    <t>Providing water and wastewater services in 11 municipalities and wastewater service in 7 municipalities in the ATO Genovese</t>
  </si>
  <si>
    <t>Gruppo Iren (39.93%) [via Mediterranea delle Acque SpA 66.55% stake] / F2i Fondi Italiani per le Infrastrutture SGR SpA (26.62%) [via Mediterranea delle Acque SpA 66.55% stake] / Municipalities in Levante area of ATO Genovese (33.45%)</t>
  </si>
  <si>
    <t>http://www.irenacquatigullio.it</t>
  </si>
  <si>
    <t>7234</t>
  </si>
  <si>
    <t>CM de Vila Nova de Famalicão</t>
  </si>
  <si>
    <t>Vila Nova de Famalicão</t>
  </si>
  <si>
    <t>Providing water and wastewater services to County of Vila Nova de Famalicão</t>
  </si>
  <si>
    <t>https://www.cm-vnfamalicao.pt/</t>
  </si>
  <si>
    <t>6977</t>
  </si>
  <si>
    <t>Vodovody a kanalizace Pardubice, a. s.</t>
  </si>
  <si>
    <t>Pardubice</t>
  </si>
  <si>
    <t>Providing water and wastewater services to Pardubice region</t>
  </si>
  <si>
    <t>Statutory City of Pardubice (42.74%)  / Other shareholders (57.26%)</t>
  </si>
  <si>
    <t>http://www.vakpce.cz</t>
  </si>
  <si>
    <t>617</t>
  </si>
  <si>
    <t>Métropole d'Aix-Marseille-Provence</t>
  </si>
  <si>
    <t>Marseille</t>
  </si>
  <si>
    <t>Providing 18 municipalities with drinking water services and 18 municipalities with wastewater services</t>
  </si>
  <si>
    <t>Société des Eaux de Marseille (Veolia Eau)   / Société d'Exploitation du Réseau d'Assainissement de Marseille (SERAM)   / Société d’Equipement et d’Exploitation des Réseaux Communaux (SEERC)</t>
  </si>
  <si>
    <t>http://www.marseille-provence.com/</t>
  </si>
  <si>
    <t>3053</t>
  </si>
  <si>
    <t>Régie Noréade (SIDEN-SIAN)</t>
  </si>
  <si>
    <t>Providing 593 municipalities with drinking water services. The utility also provides 617 municipalities with wastewater services</t>
  </si>
  <si>
    <t>http://www.noreade.fr/presentation/fonctionnement-en-regie/nature</t>
  </si>
  <si>
    <t>3510</t>
  </si>
  <si>
    <t>Stadtentwässerung Dortmund</t>
  </si>
  <si>
    <t>Dortmund City Drainage</t>
  </si>
  <si>
    <t>Dortmund</t>
  </si>
  <si>
    <t>Providing wastewater services to Dortmund</t>
  </si>
  <si>
    <t>Dortmunder Stadtwerke AG (60.1%) / RWE Deutschland AG (39.9%)</t>
  </si>
  <si>
    <t>http://tiefbauamt.dortmund.de/project/assets/template5.jsp?acode=grossprojekte.tiefbaustrassenverkehr.stadtentwasserung&amp;aid=0&amp;aorder=phoneprivate_country&amp;smi=9.0&amp;tid=47131</t>
  </si>
  <si>
    <t>2023-2026</t>
  </si>
  <si>
    <t>pp. 5-20</t>
  </si>
  <si>
    <t>https://rathaus.dortmund.de/dosys/gremrech.nsf/0/32D7BAC5D4C6A7BCC1258902004C4EF2/$FILE/Anlagen_25811-22.pdf</t>
  </si>
  <si>
    <t>NB: NO Klaeranlagen &amp; there are NO future or prior year spending costs in the tables extracted (there’s a little info in the earlier part of the document dating back to 2021 but it’s very generic – eg general sewer networks = x amount of money per year) The document also provides info on location of the projects but this has NOT captured in the CIP extraction [eg projects categorised under Aplerbeck district]. There are also some minus numbers [idk what’s up w that]</t>
  </si>
  <si>
    <t>https://rathaus.dortmund.de/dosys/doRat.nsf/GremienXP.xsp</t>
  </si>
  <si>
    <t>4807</t>
  </si>
  <si>
    <t>Aguas de León </t>
  </si>
  <si>
    <t>León</t>
  </si>
  <si>
    <t>Providing water and wastewater services to City of Leon</t>
  </si>
  <si>
    <t>Ayuntamiento de León (51%)  /  (49%) [via wholly owned subsidary Aquona]</t>
  </si>
  <si>
    <t>http://www.aguasdeleon.com</t>
  </si>
  <si>
    <t>4806</t>
  </si>
  <si>
    <t>Aqualia - Lleida</t>
  </si>
  <si>
    <t>Lleida</t>
  </si>
  <si>
    <t>Providing water and wastewater services to City of Lleida</t>
  </si>
  <si>
    <t>https://www.aqualia.com/ca/web/aqualia-lleida</t>
  </si>
  <si>
    <t>3307</t>
  </si>
  <si>
    <t>Purena GmbH</t>
  </si>
  <si>
    <t>Providing water and wastewater services to WV Elm, Oderwald Asse, Helmstedt, Buddenstedt, Schoningen</t>
  </si>
  <si>
    <t>E.ON Avacon (94.47%)  / Stadtwerke Wolfenbüttel (4%)  / Other municipalities (1.53%)</t>
  </si>
  <si>
    <t>https://www.purena.de/de.html</t>
  </si>
  <si>
    <t>p.11</t>
  </si>
  <si>
    <t>NB: Sewers only</t>
  </si>
  <si>
    <t>https://ris.wf.de/bi/to0050.asp?__ktonr=165709</t>
  </si>
  <si>
    <t>3429</t>
  </si>
  <si>
    <t>Entsorgungsbetriebe der Stadt Ulm</t>
  </si>
  <si>
    <t>Ulm</t>
  </si>
  <si>
    <t>Providing wastewater services to Ulm</t>
  </si>
  <si>
    <t>http://www.ebu-ulm.de/pages/3_1.html</t>
  </si>
  <si>
    <t>pp. 47-54</t>
  </si>
  <si>
    <t>https://buergerinfo.ulm.de/getfile.asp?id=118596&amp;type=do</t>
  </si>
  <si>
    <t>NB - Only Mischwasser</t>
  </si>
  <si>
    <t>https://buergerinfo.ulm.de/to0050.asp?__ktonr=28769</t>
  </si>
  <si>
    <t>629</t>
  </si>
  <si>
    <t>Stadtentwässerung Dresden</t>
  </si>
  <si>
    <t>Dresden City Drainage</t>
  </si>
  <si>
    <t>Dresden</t>
  </si>
  <si>
    <t>Wastewater services company offering site drainage solutions, maintenance of small treatment plants, and leak detection services. The company has around 650,000 customers and maintains around 2000 kilometres of sewerage network.</t>
  </si>
  <si>
    <t>City of Dresden (51%)  / Gelsenwasser AG (49%)</t>
  </si>
  <si>
    <t>https://www.stadtentwaesserung-dresden.de</t>
  </si>
  <si>
    <t>2022-2026</t>
  </si>
  <si>
    <t>138(?)</t>
  </si>
  <si>
    <t>https://www.dresden.de/media/pdf/haushalt/haushalt-2023-2024/2023-04-17-Haushaltsplan-2023-2024_Band-IV_Beteiligungen.pdf</t>
  </si>
  <si>
    <t>Not very much info! The 2025/6 Dresden Haushaltsplan is also out but only consists of 0s?</t>
  </si>
  <si>
    <t>https://www.dresden.de/de/rathaus/aktuelles/haushalt/dokumente.php</t>
  </si>
  <si>
    <t>3292</t>
  </si>
  <si>
    <t>Stadtentwässerung Frankfurt am Main</t>
  </si>
  <si>
    <t>Frankfurt Stadtentwässerung</t>
  </si>
  <si>
    <t>Frankfurt City Drainage</t>
  </si>
  <si>
    <t>Hessen</t>
  </si>
  <si>
    <t>Frankfurt am Main</t>
  </si>
  <si>
    <t>Providing wastewater services to Frankfurt</t>
  </si>
  <si>
    <t>http://www.stadtentwaesserung-frankfurt.de/</t>
  </si>
  <si>
    <t>pp. 7-11</t>
  </si>
  <si>
    <t>https://www.stvv.frankfurt.de/parlisobj/M_203_2023_AN_Wirtschaftsplan_Feststellungsvermerk.pdf</t>
  </si>
  <si>
    <t>bis 2021 [up to 2021] is logged under ‘Prior Year Spending/Costs (PY)’; ab 2028 [from 2028-onwards] are logged under ‘Future Year Costs (FC)’. Extracted years 2022-2027. </t>
  </si>
  <si>
    <t>https://www.stvv.frankfurt.de/PARLISLINK/DDW?TEXT=Stadtentw%E4sserung&amp;TEXT_O=beinhaltet%20(und)&amp;DATUM_2=01.01.2020&amp;DATUM_BIS_O=kleiner+gleich&amp;DATUM=31.12.2025&amp;DATUM_O=gr%F6%DFer+gleich&amp;DOKUMENTTYP=TAGO%27,%27NIED%27,%27FRAG%27,%27WORT%27,%27BESC%27,%27VORL&amp;FORMFL_OB=DATUM&amp;FORM_SO=Absteigend&amp;?458?193?</t>
  </si>
  <si>
    <t>3511</t>
  </si>
  <si>
    <t>Stadtentwässerung Freiburg</t>
  </si>
  <si>
    <t>Freiburg City Drainage</t>
  </si>
  <si>
    <t>Providing wastewater services to Freiburg</t>
  </si>
  <si>
    <t>X- 237244</t>
  </si>
  <si>
    <t>http://www.ese.freiburg.de/</t>
  </si>
  <si>
    <t>pp. 14-16</t>
  </si>
  <si>
    <t>https://ris.freiburg.de/pdf-viewer?name=Mi4gV2lydHNjaGFmdHNwbGFuIDIwMjUvMjAyNiBFaWdlbmJldHJpZWIgU3RhZHRlbnR35HNzZXJ1bmc=&amp;watermark=0&amp;generated=02-12-2025&amp;document=aHR0cHM6Ly9yaXMuZnJlaWJ1cmcuZGUvYXBpLnBocD9kb2N1bWVudF90eXBlX2lkPTEzJmRvY3VtZW50X3JlbGF0aW9uX2lkPTU0MjAyMDUxMDAxMTYlN0MyMDI0MTExODA3NTk1MS0wLnBkZiU3QyZzdWJtaXNzaW9uX2F0dGFjaG1lbnRfaWQ9NTQyMDIwNTEwMDExNiU3QzIwMjQxMTE4MDc1OTUxLTAucGRmJTdDJmlkPTY5Jmpzb249MSZwbGF0Zm9ybT13ZWImc3lzdGVtPXJpcyZhZ2VuZGFfaXRlbV9pZD1uaV8yMDI0LUdSLTI3NXw1NDIwMjA1MTAwMTE2fDEmZG9jdW1lbnRhYmxlX2lkPTU0MjAyMDUxMDAxMTZ8MjAyNDExMTgwNzU5NTEtMC5wZGZ8</t>
  </si>
  <si>
    <t>https://ris.freiburg.de/meeting/7021</t>
  </si>
  <si>
    <t>3058</t>
  </si>
  <si>
    <t>Métropole Rouen Normandie</t>
  </si>
  <si>
    <t>Seine-Maritime</t>
  </si>
  <si>
    <t>Rouen</t>
  </si>
  <si>
    <t>Providing 72 municipalities with drinking water services, 3 by delegated management. The utility also provides 77 municipalities with wastewater services, 9 by delegated management</t>
  </si>
  <si>
    <t>http://www.la-crea.fr/</t>
  </si>
  <si>
    <t>SEE p. 48! p. 41-43, 44-46, 47-48, 50-55, 219-221,</t>
  </si>
  <si>
    <t>https://www.metropole-rouen-normandie.fr/sites/default/files/documents/assemblees/2025-09/Dossier_projets_de_deliberation-CONSEIL_29.09.25.pdf</t>
  </si>
  <si>
    <t>3929</t>
  </si>
  <si>
    <t>Hidrogest S.p.A.</t>
  </si>
  <si>
    <t>Sotto il Monte Giovanni XXIII</t>
  </si>
  <si>
    <t>Providing water and wastewater services to 30 municipalities in the Bergamo and S. Martino Valle regions.</t>
  </si>
  <si>
    <t>http://www.hidrogest.it</t>
  </si>
  <si>
    <t>3055</t>
  </si>
  <si>
    <t>Métropole Nice Côte d'Azur</t>
  </si>
  <si>
    <t>Nice</t>
  </si>
  <si>
    <t>Providing 49 municipalities with drinking water services, 8 by delegated management. The utility also provides 49 municipalities with wastewater services</t>
  </si>
  <si>
    <t>Veolia Eau/ Lyonnaise des Eaux (Suez Environnement)/ Société Nicoise d'Assainissement</t>
  </si>
  <si>
    <t>http://nicecotedazur.org/</t>
  </si>
  <si>
    <t>3076</t>
  </si>
  <si>
    <t>Syndicat des Eaux de la Charente-Maritime</t>
  </si>
  <si>
    <t>Charente-Maritime</t>
  </si>
  <si>
    <t>Saintes</t>
  </si>
  <si>
    <t>Providing 461 municipalities with drinking water services, 86 by delegated management. The utility also provides 195 municipalities with wastewater services, 36 by delegated management</t>
  </si>
  <si>
    <t>Veolia Eau/ SAUR</t>
  </si>
  <si>
    <t>https://www.eau17.fr/</t>
  </si>
  <si>
    <t>6916</t>
  </si>
  <si>
    <t>ViK Haskovo</t>
  </si>
  <si>
    <t>Haskovo</t>
  </si>
  <si>
    <t>Providing water and wastewater services to Haskovo region</t>
  </si>
  <si>
    <t>https://vikhaskovo.bg</t>
  </si>
  <si>
    <t>7048</t>
  </si>
  <si>
    <t>Stavanger Water and Sewerage Works</t>
  </si>
  <si>
    <t>Providing water and wastewater services in the municipality of Stavanger</t>
  </si>
  <si>
    <t>https://www.stavanger.kommune.no/</t>
  </si>
  <si>
    <t>7417</t>
  </si>
  <si>
    <t>SMEAS Maia</t>
  </si>
  <si>
    <t>Maia</t>
  </si>
  <si>
    <t>Providing water and wastewater services to County of Maia</t>
  </si>
  <si>
    <t>http://www.smeas-maia.pt/</t>
  </si>
  <si>
    <t>3060</t>
  </si>
  <si>
    <t>Eurométropole de Strasbourg</t>
  </si>
  <si>
    <t>Bas-Rhin</t>
  </si>
  <si>
    <t>Strasbourg</t>
  </si>
  <si>
    <t>Providing 33 municipalities with drinking water services. The utility also provides 34 municipalities with wastewater services</t>
  </si>
  <si>
    <t>https://www.strasbourg.eu/eau-assainissement</t>
  </si>
  <si>
    <t>3564</t>
  </si>
  <si>
    <t>SWT Stadtwerke Trier Versorgungs-GmbH</t>
  </si>
  <si>
    <t>Trier</t>
  </si>
  <si>
    <t>Providing water and wastewater services to Trier, Gutweiler, Korlingen and Sommerau</t>
  </si>
  <si>
    <t>http://www.swt.de/swt/Integrale?SID=D1ECCD038A3E8893F842507EF4249F67&amp;ACTION=ViewPageView&amp;MODULE=Frontend&amp;PageView.PK=5&amp;Document.PK=2814</t>
  </si>
  <si>
    <t>3062</t>
  </si>
  <si>
    <t>Grenoble Alpes Métropole</t>
  </si>
  <si>
    <t>Isère</t>
  </si>
  <si>
    <t>Grenoble</t>
  </si>
  <si>
    <t>Providing 49 municipalities with drinking water services. The utility also provides 63 municipalities with wastewater services</t>
  </si>
  <si>
    <t>http://www.lametro.fr/</t>
  </si>
  <si>
    <t>23703</t>
  </si>
  <si>
    <t>Grand-Orly Seine Bièvre</t>
  </si>
  <si>
    <t>Providing 24 municipalities with water and 15 municipalities with wastewater services</t>
  </si>
  <si>
    <t>http://www.grandorlyseinebievre.fr/</t>
  </si>
  <si>
    <t>26099</t>
  </si>
  <si>
    <t>GPSEO</t>
  </si>
  <si>
    <t>Conflans-Sainte-Honorine</t>
  </si>
  <si>
    <t>Providing 62 municipalities with drinking water services, 59 by delegated management. The utility also provides 57 municipalities with wastewater services, 24 by delegated management</t>
  </si>
  <si>
    <t>https://gpseo.fr/</t>
  </si>
  <si>
    <t>3100</t>
  </si>
  <si>
    <t>Municipality of Saint-Etienne</t>
  </si>
  <si>
    <t>Saint Etienne</t>
  </si>
  <si>
    <t>Providing 43 municipalities with drinking water services and 44 municipalities with wastewater services</t>
  </si>
  <si>
    <t>Stéphanoise des Eaux (Suez Environnement)</t>
  </si>
  <si>
    <t>http://www.saint-etienne.fr/</t>
  </si>
  <si>
    <t>620</t>
  </si>
  <si>
    <t>Montpellier Méditerranée Métropole</t>
  </si>
  <si>
    <t>Montpellier</t>
  </si>
  <si>
    <t>Providing 13 municipalities with drinking water services. The utility also provides 31 municipalities with wastewater services, all by delegated management</t>
  </si>
  <si>
    <t>Lyonnaise des Eaux (Suez Environnement)/ Generale des Eaux (Veolia Eau)/ SAUR</t>
  </si>
  <si>
    <t>https://regiedeseaux.montpellier3m.fr/</t>
  </si>
  <si>
    <t>3064</t>
  </si>
  <si>
    <t>Association of municipalities Toulon Provence Mediterranee</t>
  </si>
  <si>
    <t>Var</t>
  </si>
  <si>
    <t>Toulon</t>
  </si>
  <si>
    <t>Providing 12 municipalities with drinking water services, 7 by delegated management. The utility also provides 12 municipalities with wastewater services, 8 by delegated management</t>
  </si>
  <si>
    <t>https://metropoletpm.fr/</t>
  </si>
  <si>
    <t>7077</t>
  </si>
  <si>
    <t>S.C. Compania De Utilitati Publice S.A. Focsani</t>
  </si>
  <si>
    <t>Focsani</t>
  </si>
  <si>
    <t>Providing water and wastewater services to Focsani and other parts of Vrancea County</t>
  </si>
  <si>
    <t>http://www.cupfocsani.ro</t>
  </si>
  <si>
    <t>3512</t>
  </si>
  <si>
    <t>Stadtentwässerung Friedrichshafen</t>
  </si>
  <si>
    <t xml:space="preserve">Friedrichshafen City Drainage </t>
  </si>
  <si>
    <t>Friedrichshafen</t>
  </si>
  <si>
    <t>Providing wastewater services to Friedrichshafen</t>
  </si>
  <si>
    <t>http://www.friedrichshafen.de/rathaus-buergerdienste/buergeranliegen-a-z/?tx_civserv_pi1[community_id]=1110000&amp;tx_civserv_pi1[mode]=organisation&amp;tx_civserv_pi1[id]=1688484&amp;cHash=19a2e3fb0b</t>
  </si>
  <si>
    <t>https://friedrichshafen-sitzungsdienst.komm.one/bi/getfile.asp?id=226238&amp;type=do</t>
  </si>
  <si>
    <t>https://friedrichshafen-sitzungsdienst.komm.one/bi/vo0050.asp?__kvonr=296138</t>
  </si>
  <si>
    <t>23695</t>
  </si>
  <si>
    <t>Communauté d'Agglomeration Grand Paris Sud Seine Essonne Senart</t>
  </si>
  <si>
    <t>Providing 24 municipalities with water and 22 municipalities with wastewater services</t>
  </si>
  <si>
    <t>https://www.grandparissud.fr/</t>
  </si>
  <si>
    <t>4809</t>
  </si>
  <si>
    <t>EMPRESA MUNICIPAL DE AGUAS DE CÁDIZ, S.A.</t>
  </si>
  <si>
    <t>Cádiz</t>
  </si>
  <si>
    <t>Providing water and wastewater services to City of Cadiz</t>
  </si>
  <si>
    <t>http://www.aguasdecadiz.es</t>
  </si>
  <si>
    <t>7054</t>
  </si>
  <si>
    <t>Mälarenergi AB</t>
  </si>
  <si>
    <t>Västerås</t>
  </si>
  <si>
    <t>Providing water and wastewater services in the city of Västerås</t>
  </si>
  <si>
    <t>http://www.malarenergi.se</t>
  </si>
  <si>
    <t>7055</t>
  </si>
  <si>
    <t>Norrköping Vatten</t>
  </si>
  <si>
    <t>Norrköping</t>
  </si>
  <si>
    <t>Providing water and wastewater services in the municipality of Norrköping</t>
  </si>
  <si>
    <t>http://www.norrkopingvatten.se</t>
  </si>
  <si>
    <t>7056</t>
  </si>
  <si>
    <t>Tiefbauamt Stadt Bern</t>
  </si>
  <si>
    <t>Canton Bern</t>
  </si>
  <si>
    <t>Bern</t>
  </si>
  <si>
    <t>Providing wastewater services to City of Bern.</t>
  </si>
  <si>
    <t>https://www.bern.ch/politik-und-verwaltung/stadtverwaltung/tvs/tiefbauamt</t>
  </si>
  <si>
    <t>6956</t>
  </si>
  <si>
    <t>S.C. Apavil S.A. RM. Valcea</t>
  </si>
  <si>
    <t>Râmnicu Vâlcea</t>
  </si>
  <si>
    <t>Providing water and wastewater services to Valcea County</t>
  </si>
  <si>
    <t>https://www.apavil.ro/</t>
  </si>
  <si>
    <t>4808</t>
  </si>
  <si>
    <t>AIGÜES DE MATARÓ, SA</t>
  </si>
  <si>
    <t>Mataró</t>
  </si>
  <si>
    <t>Providing water and wastewater services to City of Mataro</t>
  </si>
  <si>
    <t>http://www.aiguesmataro.cat/es</t>
  </si>
  <si>
    <t>3937</t>
  </si>
  <si>
    <t>Consorzio Acquedottistico Marsicano S.p.A.</t>
  </si>
  <si>
    <t>Avezzano</t>
  </si>
  <si>
    <t>Providing water and wastewater services to 35 municipalities in the ATO Marsicano</t>
  </si>
  <si>
    <t>http://www.cam-spa.com</t>
  </si>
  <si>
    <t>3052</t>
  </si>
  <si>
    <t>SDEA Alsace-Moselle</t>
  </si>
  <si>
    <t>Providing 292 municipalities with drinking water services, 1 by delegated management. The utility also provides 343 municipalities with wastewater services</t>
  </si>
  <si>
    <t>http://www.sdea.fr</t>
  </si>
  <si>
    <t>https://www.sdea.fr/index.php/fr/le-sdea/ses-publications/les-publications-administratives?id=197&amp;view=article&amp;</t>
  </si>
  <si>
    <t>3079</t>
  </si>
  <si>
    <t>Tours Métropole</t>
  </si>
  <si>
    <t>Indre-et-Loire</t>
  </si>
  <si>
    <t>Tours</t>
  </si>
  <si>
    <t>Providing 23 municipalities with drinking water services, 18 by delegated management. The utility also provides 22 municipalities with wastewater services</t>
  </si>
  <si>
    <t>https://tours-metropole.fr/</t>
  </si>
  <si>
    <t>7059</t>
  </si>
  <si>
    <t>Lahti Aqua Ltd</t>
  </si>
  <si>
    <t>Lahti</t>
  </si>
  <si>
    <t>Providing water and wastewater services in the Lathi and Hollola regions</t>
  </si>
  <si>
    <t>http://www.lahtiaqua.fi</t>
  </si>
  <si>
    <t>6774</t>
  </si>
  <si>
    <t>Pleven ViK</t>
  </si>
  <si>
    <t>Pleven</t>
  </si>
  <si>
    <t>Providing water and wastewater services to Pleven region</t>
  </si>
  <si>
    <t>http://www.vik-pleven.com</t>
  </si>
  <si>
    <t>6982</t>
  </si>
  <si>
    <t>Královéhradecká provozní, a.s.</t>
  </si>
  <si>
    <t>Hradec Králové</t>
  </si>
  <si>
    <t>Providing water and wastewater services to Hradec Kralove, Rychnov nad Kněžnou, Pardubice, Náchod, Kolín, Nymburk, Jičín a Trutnov</t>
  </si>
  <si>
    <t>Veolia Central &amp; Eastern Europe SA (66%)  / Vodovody a kanalizace Hradec Králové, AS (34%)</t>
  </si>
  <si>
    <t>http://www.khp.cz/</t>
  </si>
  <si>
    <t>3083</t>
  </si>
  <si>
    <t>Association of municipalities Reims</t>
  </si>
  <si>
    <t>Marne</t>
  </si>
  <si>
    <t>Reims</t>
  </si>
  <si>
    <t>Providing 130 municipalities with drinking water services, 64 by delegated management. The utility also provides 92 municipalities with wastewater services, 62 by delegated management</t>
  </si>
  <si>
    <t>http://www.reimsmetropole.fr/</t>
  </si>
  <si>
    <t>3068</t>
  </si>
  <si>
    <t>Orléans Métropole</t>
  </si>
  <si>
    <t>Loiret</t>
  </si>
  <si>
    <t>Orleans</t>
  </si>
  <si>
    <t>Providing 22 municipalities with drinking water services, 6 by delegated management. The utility also provides 22 municipalities with wastewater services</t>
  </si>
  <si>
    <t>http://www.orleans-metropole.fr/</t>
  </si>
  <si>
    <t>3359</t>
  </si>
  <si>
    <t>Schweriner Abwasserentsorgung</t>
  </si>
  <si>
    <t>Schwerin</t>
  </si>
  <si>
    <t>Providing wastewater services to Schwerin</t>
  </si>
  <si>
    <t>http://www.schweriner-abwasserentsorgung.de/</t>
  </si>
  <si>
    <t>Not yet - only Jahresabschluesse on ratsinfo</t>
  </si>
  <si>
    <t>6986</t>
  </si>
  <si>
    <t>S.C. Aquacaras S.A. Resita</t>
  </si>
  <si>
    <t>Resita</t>
  </si>
  <si>
    <t>Providing water and wastewater services to Caras-Severin</t>
  </si>
  <si>
    <t>https://aquacaras.ro/</t>
  </si>
  <si>
    <t>3070</t>
  </si>
  <si>
    <t>Angers-Loire Métropole</t>
  </si>
  <si>
    <t>Maine-et-Loire</t>
  </si>
  <si>
    <t>Angers</t>
  </si>
  <si>
    <t>Providing 31 municipalities with drinking water services, 1 by delegated management. The utility also provides 31 municipalities with wastewater services</t>
  </si>
  <si>
    <t>http://www.angersloiremetropole.fr/</t>
  </si>
  <si>
    <t>632</t>
  </si>
  <si>
    <t>Stadtentwässerung Hannover</t>
  </si>
  <si>
    <t>Hannover City Drainage</t>
  </si>
  <si>
    <t>Hannover</t>
  </si>
  <si>
    <t>Providing wastewater services to Hanover</t>
  </si>
  <si>
    <t>http://www.hannover.de/Leben-in-der-Region-Hannover/Umwelt/Wasser-Abwasser</t>
  </si>
  <si>
    <t>2023-2029</t>
  </si>
  <si>
    <t>p. 7</t>
  </si>
  <si>
    <t>https://e-government.hannover-stadt.de/lhhsimwebdd.nsf/FE22BFF9984EAAADC1258BA20018E84C/$FILE/1912-2024_Anlage3.6.pdf</t>
  </si>
  <si>
    <t>https://e-government.hannover-stadt.de/lhhsimwebre.nsf/DS/1912-2024</t>
  </si>
  <si>
    <t>Council website</t>
  </si>
  <si>
    <t>3931</t>
  </si>
  <si>
    <t>A.S.M. Pavia S.p.A.</t>
  </si>
  <si>
    <t>Providing water and wastewater services to 186 Lombardy municipalities.</t>
  </si>
  <si>
    <t>http://www.asm.pv.it</t>
  </si>
  <si>
    <t>7074</t>
  </si>
  <si>
    <t>Laholmsbuktens VA</t>
  </si>
  <si>
    <t>Halmstad</t>
  </si>
  <si>
    <t>Providing water and wastewater services in the municipalities of Halmstad and Laholm</t>
  </si>
  <si>
    <t>http://www.lbva.se/</t>
  </si>
  <si>
    <t>7075</t>
  </si>
  <si>
    <t>MittSverige Vatten AB</t>
  </si>
  <si>
    <t>Sundsvall</t>
  </si>
  <si>
    <t>Providing water and wastewater services in the municipalities of Sundsvall, Timrå and Nordanstig</t>
  </si>
  <si>
    <t>https://msva.se/</t>
  </si>
  <si>
    <t>6864</t>
  </si>
  <si>
    <t>Vasivíz Vas Megyei Víz- És Csatornamu Zrt.</t>
  </si>
  <si>
    <t>Szombathely</t>
  </si>
  <si>
    <t>Rákóczi</t>
  </si>
  <si>
    <t>Providing water and wastewater services to County of Vas</t>
  </si>
  <si>
    <t>http://www.vasiviz.hu</t>
  </si>
  <si>
    <t>26083</t>
  </si>
  <si>
    <t>SIVEER</t>
  </si>
  <si>
    <t>Providing 258 municipalities with drinking water services. The utility also provides 134 municipalities with wastewater services</t>
  </si>
  <si>
    <t>https://www.eauxdevienne.fr/</t>
  </si>
  <si>
    <t>3123</t>
  </si>
  <si>
    <t>Association of municipalities Perpignan-Méditerranée</t>
  </si>
  <si>
    <t>Pyrénées-Orientales</t>
  </si>
  <si>
    <t>Perpignan</t>
  </si>
  <si>
    <t>Providing 36 municipalities with drinking water services, 22 by delegated management. The utility also provides 36 municipalities with wastewater services, 22 by delegated management</t>
  </si>
  <si>
    <t>https://www.perpignanmediterraneemetropole.fr</t>
  </si>
  <si>
    <t>3072</t>
  </si>
  <si>
    <t>Association of municipalities Grand Nancy</t>
  </si>
  <si>
    <t>Meurthe-et-Moselle</t>
  </si>
  <si>
    <t>Nancy</t>
  </si>
  <si>
    <t>Providing 20 municipalities with drinking water services. The utility also provides 20 municipalities with wastewater services</t>
  </si>
  <si>
    <t>http://www.grand-nancy.org/</t>
  </si>
  <si>
    <t>3106</t>
  </si>
  <si>
    <t>Dijon Métropole</t>
  </si>
  <si>
    <t>Côte-d'Or</t>
  </si>
  <si>
    <t>Dijon</t>
  </si>
  <si>
    <t>Providing 25 municipalities with drinking water and wastewater services</t>
  </si>
  <si>
    <t>https://www.metropole-dijon.fr/</t>
  </si>
  <si>
    <t>3426</t>
  </si>
  <si>
    <t>Entsorgungs- und Baubetrieb der Stadt Worms</t>
  </si>
  <si>
    <t>Worms</t>
  </si>
  <si>
    <t>Providing wastewater services to Worms</t>
  </si>
  <si>
    <t>http://www.worms.de/deutsch/rathaus/ebwo/Entwaesserung-Abwasser.php</t>
  </si>
  <si>
    <t>3381</t>
  </si>
  <si>
    <t>Stadtentwässerung Lingen</t>
  </si>
  <si>
    <t>Lingen City Drainage</t>
  </si>
  <si>
    <t>Lingen (Ems)</t>
  </si>
  <si>
    <t>Providing wastewater services to Lingen</t>
  </si>
  <si>
    <t>http://www.stadtentwaesserung-lingen.de/</t>
  </si>
  <si>
    <t>p. 6</t>
  </si>
  <si>
    <t>https://lingen.ratsinfomanagement.net/sdnetrim/UGhVM0hpd2NXNFdFcExjZU2oCM3DDtbbpy9Hw-pX7j632QkLKAgaNVoKPcv9-PuY/Wirtschaftsplan_2026.pdf</t>
  </si>
  <si>
    <t>https://lingen.ratsinfomanagement.net/tops/?__=UGhVM0hpd2NXNFdFcExjZercRE-8nk8LJGUWrvxz4Uw</t>
  </si>
  <si>
    <t>3515</t>
  </si>
  <si>
    <t>Stadtentwasserung Lippstadt</t>
  </si>
  <si>
    <t>Stadtentwässerung Lippstadt</t>
  </si>
  <si>
    <t>Lippstadt City Drainage</t>
  </si>
  <si>
    <t>Lippstadt</t>
  </si>
  <si>
    <t>Providing wastewater services to Lippstadt</t>
  </si>
  <si>
    <t>http://www.stadtentwaesserung-lippstadt.com/cms/Unternehmen/Unternehmen.html</t>
  </si>
  <si>
    <t>https://sessionnet.owl-it.de/lippstadt/bi/getfile.asp?id=142359&amp;type=do</t>
  </si>
  <si>
    <t>https://sessionnet.owl-it.de/lippstadt/bi/vo0050.asp?__kvonr=11127</t>
  </si>
  <si>
    <t>6934</t>
  </si>
  <si>
    <t>Águas de Barcelos</t>
  </si>
  <si>
    <t>Barcelos</t>
  </si>
  <si>
    <t>Providing water and wastewater services to County of Barcelos</t>
  </si>
  <si>
    <t>Hidurbe, SA (30%)  / Somague Ambiente SGPS, SA (45%)  / ABB - Alexandre Barbosa Borges, SA (25%)</t>
  </si>
  <si>
    <t>http://www.aguasdebarcelos.pt</t>
  </si>
  <si>
    <t>3074</t>
  </si>
  <si>
    <t>Association of municipalities Lens-Liévin</t>
  </si>
  <si>
    <t>Lens</t>
  </si>
  <si>
    <t>Providing 36 municipalities with drinking water services. The utility also provides 36 municipalities with wastewater services. All its services are operated by delegated management</t>
  </si>
  <si>
    <t>https://www.agglo-lenslievin.fr/</t>
  </si>
  <si>
    <t>3092</t>
  </si>
  <si>
    <t>Le Havre Métropole</t>
  </si>
  <si>
    <t>Le Havre</t>
  </si>
  <si>
    <t>Providing 36 municipalities with drinking water services, 29 by delegated management. The utility also provides 28 municipalities with wastewater services, 22 by delegated management</t>
  </si>
  <si>
    <t>Veolia Eau (DW,WW)/ Lyonnaise des Eaux (WW)</t>
  </si>
  <si>
    <t>http://www.agglo-lehavre.fr/</t>
  </si>
  <si>
    <t>3353</t>
  </si>
  <si>
    <t>Stadtentwässerung Kaiserslautern</t>
  </si>
  <si>
    <t>Kaiserslautern</t>
  </si>
  <si>
    <t>Providing wastewater services to Kaiserlauten</t>
  </si>
  <si>
    <t>https://www.ste-kl.de/index.php?id=70</t>
  </si>
  <si>
    <t>3110</t>
  </si>
  <si>
    <t>Clermont Auvergne Métropole</t>
  </si>
  <si>
    <t>Puy-de-Dôme</t>
  </si>
  <si>
    <t>Clermont-Ferrand</t>
  </si>
  <si>
    <t>Providing 10 municipalities with drinking water services, 3 by delegated management. The utility also provides 20 municipalities with wastewater services, 4 by delegated management</t>
  </si>
  <si>
    <t>https://www.clermontmetropole.eu</t>
  </si>
  <si>
    <t>3941</t>
  </si>
  <si>
    <t>A.P.M. Azienda Pluriservizi Macerata S.p.A.</t>
  </si>
  <si>
    <t>Macerata</t>
  </si>
  <si>
    <t>Providing water and wastewater services in 8 municipalities in the province of Macerata</t>
  </si>
  <si>
    <t>http://www.apmgroup.it</t>
  </si>
  <si>
    <t>7121</t>
  </si>
  <si>
    <t>Legnickie Przedsiębiorstwo Wodociągów i Kanalizacji S.A.</t>
  </si>
  <si>
    <t>Legnica</t>
  </si>
  <si>
    <t>Providing water and wastewater services to Legnica City</t>
  </si>
  <si>
    <t>https://www.lpwiksa.pl/</t>
  </si>
  <si>
    <t>3936</t>
  </si>
  <si>
    <t>Gestione Acqua S.p.A.</t>
  </si>
  <si>
    <t>Providing water and wastewater services to 68 municipalities in the ATO Alessandrino</t>
  </si>
  <si>
    <t>AMIAS S.p.A   / ACOS S.p.A   / ASMT S.p.A.</t>
  </si>
  <si>
    <t>http://www.gestioneacqua.it</t>
  </si>
  <si>
    <t>4788</t>
  </si>
  <si>
    <t>Aguas y Servicios de la Costa Tropical de Granada AIE</t>
  </si>
  <si>
    <t>Motril</t>
  </si>
  <si>
    <t>Providing water and wastewater services to 15 municipalities members of the Mancomunidad de Municipios de la Costa Tropica</t>
  </si>
  <si>
    <t>FCC Aqualia (51%)  / Acciona Agua (49%)</t>
  </si>
  <si>
    <t>http://www.aguasyservicios.es/</t>
  </si>
  <si>
    <t>7147</t>
  </si>
  <si>
    <t>S.C. Aquavas S.A. Vaslui</t>
  </si>
  <si>
    <t>Vaslui</t>
  </si>
  <si>
    <t>Providing water and wastewater services to Vaslui County</t>
  </si>
  <si>
    <t>http://www.aquavaslui.ro/</t>
  </si>
  <si>
    <t>3939</t>
  </si>
  <si>
    <t>Tennacola S.p.A.</t>
  </si>
  <si>
    <t>Sant'Elpidio a Mare</t>
  </si>
  <si>
    <t>Providing water and wastewater services to 26 municipalities: 12 from the Province of Macerata and 14 from the Province of Fermo.</t>
  </si>
  <si>
    <t>http://www.tennacola.it</t>
  </si>
  <si>
    <t>3312</t>
  </si>
  <si>
    <t>Stadtentwässerung Mannheim</t>
  </si>
  <si>
    <t>Mannheim City Drainage</t>
  </si>
  <si>
    <t>Mannheim</t>
  </si>
  <si>
    <t>Providing wastewater services to Mannheim</t>
  </si>
  <si>
    <t>http://www.mannheim.de/stadtentwaesserung</t>
  </si>
  <si>
    <t>pp. 1-9</t>
  </si>
  <si>
    <t>https://buergerinfo.mannheim.de/buergerinfo/getfile.asp?id=8212489&amp;type=do</t>
  </si>
  <si>
    <t>LOT of info abt prev year projs (eg sections of sewer rennovations 2020)</t>
  </si>
  <si>
    <t>https://buergerinfo.mannheim.de/buergerinfo/vo0050.asp?__kvonr=233538</t>
  </si>
  <si>
    <t>7026</t>
  </si>
  <si>
    <t>Águas do Sado</t>
  </si>
  <si>
    <t>Providing water and wastewater services to County of Setúbal</t>
  </si>
  <si>
    <t>AGS, SA (60%)  / AQUAPOR Serviços, SA (40%)</t>
  </si>
  <si>
    <t>http://www.aguasdosado.pt/</t>
  </si>
  <si>
    <t>7093</t>
  </si>
  <si>
    <t>Jönköping Water and Sewerage Department</t>
  </si>
  <si>
    <t>Jönköping</t>
  </si>
  <si>
    <t>Providing water and wastewater services in the municipality of Jönköping</t>
  </si>
  <si>
    <t>https://www.jonkoping.se/byggabomiljo/vattenochavlopp</t>
  </si>
  <si>
    <t>7095</t>
  </si>
  <si>
    <t>Bærum Water and Sewerage Department</t>
  </si>
  <si>
    <t>Sandvika</t>
  </si>
  <si>
    <t>Providing water and wastewater services in the municipality of Bærum</t>
  </si>
  <si>
    <t>https://www.baerum.kommune.no/va</t>
  </si>
  <si>
    <t>7062</t>
  </si>
  <si>
    <t>S.C. Apa Serv Valea Jiului S.A. Petrosani</t>
  </si>
  <si>
    <t>Petrosani</t>
  </si>
  <si>
    <t>Providing water and wastewater services to Jiu Valley, including Petrosani, Vulcan City, Lupeni, Petrila, Anina, and Uricani.</t>
  </si>
  <si>
    <t>http://www.asvj.ro/</t>
  </si>
  <si>
    <t>7100</t>
  </si>
  <si>
    <t>Šiaulių vandenys</t>
  </si>
  <si>
    <t>Šiauliai</t>
  </si>
  <si>
    <t>Providing water and wastewater services to Šiauliai municipality</t>
  </si>
  <si>
    <t>http://www.siauliuvandenys.lt</t>
  </si>
  <si>
    <t>3085</t>
  </si>
  <si>
    <t>Syndicat Intercommunal Centre et Sud-Martinique</t>
  </si>
  <si>
    <t>Rivière Salée</t>
  </si>
  <si>
    <t>Providing water and wastewater services to 16 municipalities (DW)/ 14 municipalities (WW)</t>
  </si>
  <si>
    <t>Suez Environnement   / Veolia Eau as shareholders</t>
  </si>
  <si>
    <t>3228</t>
  </si>
  <si>
    <t>SDDEA Troyes</t>
  </si>
  <si>
    <t>Providing water services to 365 municipalities, 10 by delegated management. The utility also provides wastewater services to 43 municipalities</t>
  </si>
  <si>
    <t>Société des Eaux de l’Agglomération troyenne (SOGEA)</t>
  </si>
  <si>
    <t>https://www.sddea.fr/</t>
  </si>
  <si>
    <t>3449</t>
  </si>
  <si>
    <t>JenaWasser (Zweckverband der Abwasserentsorgung und Wasserversorgung)</t>
  </si>
  <si>
    <t>Jena</t>
  </si>
  <si>
    <t>Providing water and wastewater services to Jena and surrounding areas</t>
  </si>
  <si>
    <t>Owned by 20 municipalities and 5 cities</t>
  </si>
  <si>
    <t>http://www.jenawasser.de/ueber-uns/die-verwaltung.html</t>
  </si>
  <si>
    <t>3526</t>
  </si>
  <si>
    <t>Stadtwerke Delmenhorst GmbH</t>
  </si>
  <si>
    <t>Delmenhorst</t>
  </si>
  <si>
    <t>Providing water and wastewater services to Delmenhorst</t>
  </si>
  <si>
    <t>http://www.stadtwerke-delmenhorst.de/html/swd/Privatkunden_/Privatkunden_.html</t>
  </si>
  <si>
    <t>https://www.sitzungsdienst-delmenhorst.de/bi-r/home.asp</t>
  </si>
  <si>
    <t>3091</t>
  </si>
  <si>
    <t>Association of municipalities Pays de Lorient</t>
  </si>
  <si>
    <t>Morbihan</t>
  </si>
  <si>
    <t>Lorient</t>
  </si>
  <si>
    <t>Providing 25 municipalities with drinking water services, 19 by delegated management. The utility also provides 25 municipalities with wastewater services, 3 by delegated management</t>
  </si>
  <si>
    <t>http://www.lorient-agglo.fr/</t>
  </si>
  <si>
    <t>3082</t>
  </si>
  <si>
    <t>Brest Métropole</t>
  </si>
  <si>
    <t>Finistère</t>
  </si>
  <si>
    <t>Brest</t>
  </si>
  <si>
    <t>Providing 8 municipalities with drinking water services. The utility also provides 9 municipalities with wastewater services. All its services are operated by delegated management</t>
  </si>
  <si>
    <t>http://www.brest.fr</t>
  </si>
  <si>
    <t>3942</t>
  </si>
  <si>
    <t>Veritas</t>
  </si>
  <si>
    <t>San Donà di Piave</t>
  </si>
  <si>
    <t>Providing water and wastewater services to San Donà di Piave</t>
  </si>
  <si>
    <t>https://www.gruppoveritas.it/</t>
  </si>
  <si>
    <t>4862</t>
  </si>
  <si>
    <t>Mancomunidad Intermunicipal del Valle del Vinalopó</t>
  </si>
  <si>
    <t>Elda</t>
  </si>
  <si>
    <t>Providing wastewater services to Municipality of Monova, Sax, Elda and Petrel</t>
  </si>
  <si>
    <t>http://www.mancomunidadvinalopo.com/</t>
  </si>
  <si>
    <t>3089</t>
  </si>
  <si>
    <t>Association of municipalities Cergy-Pontoise</t>
  </si>
  <si>
    <t>Providing 13 municipalities with drinking water services. The utility also provides 27 municipalities with wastewater services. All its services are operated by delegated management</t>
  </si>
  <si>
    <t>Cyo (Veolia Eau)</t>
  </si>
  <si>
    <t>http://www.cergypontoise.fr/jcms/en_23126/en/navigation-principale</t>
  </si>
  <si>
    <t>3087</t>
  </si>
  <si>
    <t>Association of municipalities Est Parisien (Est Ensemble)</t>
  </si>
  <si>
    <t>Romainville</t>
  </si>
  <si>
    <t>Providing 9 municipalities with water and wastewater services</t>
  </si>
  <si>
    <t>http://www.est-ensemble.fr/</t>
  </si>
  <si>
    <t>7063</t>
  </si>
  <si>
    <t>S.C. Secom S.A. Dr. Tr. Severin</t>
  </si>
  <si>
    <t>Drobeta-Turnu Severin</t>
  </si>
  <si>
    <t>Providing water and wastewater services to Drobeta Turnu Severin, with branches in Baia de Arama, Vinju Great Hinova, Rogov Vînjuleţ, Simian and Strehaia</t>
  </si>
  <si>
    <t>https://www.secom-mehedinti.ro</t>
  </si>
  <si>
    <t>26060</t>
  </si>
  <si>
    <t>Runeo</t>
  </si>
  <si>
    <t>La Réunion</t>
  </si>
  <si>
    <t>Providing 1 municipality with drinking water services by delegated management</t>
  </si>
  <si>
    <t>https://www.runeo.re/</t>
  </si>
  <si>
    <t>3570</t>
  </si>
  <si>
    <t>Technische Betriebszentrum Flensburg</t>
  </si>
  <si>
    <t>Flensburg</t>
  </si>
  <si>
    <t>Providing wastewater services to Flensburg</t>
  </si>
  <si>
    <t>http://www.tbz-flensburg.de/abwasser/</t>
  </si>
  <si>
    <t>26068</t>
  </si>
  <si>
    <t>Mahoraise des Eaux</t>
  </si>
  <si>
    <t>Mayotte</t>
  </si>
  <si>
    <t>Mamoudzou</t>
  </si>
  <si>
    <t>Providing 17 municipalities with drinking water services, all by delegated management. The utility also provides 17 municipalities with wastewater services</t>
  </si>
  <si>
    <t>http://www.mahoraisedeseaux.com/</t>
  </si>
  <si>
    <t>3352</t>
  </si>
  <si>
    <t>Der Abwasserverband Kempten (Allgäu)</t>
  </si>
  <si>
    <t>Lauben</t>
  </si>
  <si>
    <t>Providing wastewater services to Kempten</t>
  </si>
  <si>
    <t>http://www.avke.de/abwasserverband.html</t>
  </si>
  <si>
    <t>7039</t>
  </si>
  <si>
    <t>Délzalai Víz- És Csatornamu Zrt.</t>
  </si>
  <si>
    <t>Nagykanizsa</t>
  </si>
  <si>
    <t>Providing water services to 103 settlements and wastewater services to 68 settlements in Zala and Somogy counties</t>
  </si>
  <si>
    <t>http://www.dzviz.hu</t>
  </si>
  <si>
    <t>3095</t>
  </si>
  <si>
    <t>Amiens Métropole</t>
  </si>
  <si>
    <t>Somme</t>
  </si>
  <si>
    <t>Providing 37 municipalities with drinking water services. The utility also provides 23 municipalities with wastewater services</t>
  </si>
  <si>
    <t>http://amiens.fr/</t>
  </si>
  <si>
    <t>3240</t>
  </si>
  <si>
    <t>Syndicat Mixte des Eaux du Lot-et-Garonne</t>
  </si>
  <si>
    <t>Lot-et-Garonne</t>
  </si>
  <si>
    <t>Agen</t>
  </si>
  <si>
    <t>Providing water services to 263 municipalities, 223 by delegated management. The utility also provides wastewater services to 134 municipalities, 120 by delegated management</t>
  </si>
  <si>
    <t>SAUR</t>
  </si>
  <si>
    <t>https://www.vallee-lot-47.eu/</t>
  </si>
  <si>
    <t>3103</t>
  </si>
  <si>
    <t>Association of municipalities du Nord de la Réunion</t>
  </si>
  <si>
    <t>Sainte-Clotilde</t>
  </si>
  <si>
    <t>Providing 3 municipalities with wastewater services, all by delegated management</t>
  </si>
  <si>
    <t>http://www.cinor.fr/</t>
  </si>
  <si>
    <t>3964</t>
  </si>
  <si>
    <t>HydroGEA S.p.A.</t>
  </si>
  <si>
    <t>Pordenone</t>
  </si>
  <si>
    <t>Providing water and wastewater services in in 20 of the 36 municipalities of the Province of Pordenone.</t>
  </si>
  <si>
    <t>https://www.hydrogea-pn.it/</t>
  </si>
  <si>
    <t>7072</t>
  </si>
  <si>
    <t>Zielonogórskie Wodociągi i Kanalizacja Sp. z o.o.</t>
  </si>
  <si>
    <t>Zielona Góra</t>
  </si>
  <si>
    <t>Providing water and wastewater services to City of Zielona Góra and neighbouring municipalities</t>
  </si>
  <si>
    <t>http://www.zwik.zgora.pl/</t>
  </si>
  <si>
    <t>3516</t>
  </si>
  <si>
    <r>
      <t>Stadtentw</t>
    </r>
    <r>
      <rPr>
        <b/>
        <sz val="11"/>
        <rFont val="Aptos Narrow"/>
        <family val="2"/>
      </rPr>
      <t>ä</t>
    </r>
    <r>
      <rPr>
        <b/>
        <sz val="11"/>
        <rFont val="Arial"/>
        <family val="2"/>
      </rPr>
      <t>sserung Neum</t>
    </r>
    <r>
      <rPr>
        <b/>
        <sz val="11"/>
        <rFont val="Aptos Narrow"/>
        <family val="2"/>
      </rPr>
      <t>ü</t>
    </r>
    <r>
      <rPr>
        <b/>
        <sz val="11"/>
        <rFont val="Arial"/>
        <family val="2"/>
      </rPr>
      <t>nster</t>
    </r>
  </si>
  <si>
    <t>Stadtentwässerung Neumünster</t>
  </si>
  <si>
    <t>Neumünster City Drainage</t>
  </si>
  <si>
    <t>Neumünster</t>
  </si>
  <si>
    <t>Providing wastewater services to Neumünster</t>
  </si>
  <si>
    <t>http://www.neumuenster.de/tbz/index.php?article_id=41</t>
  </si>
  <si>
    <t>2021-2027</t>
  </si>
  <si>
    <t>https://session.neumuenster.de/bi/getfile.asp?id=97051&amp;type=do</t>
  </si>
  <si>
    <t>https://session.neumuenster.de/bi/to0050.asp?__ktonr=56868</t>
  </si>
  <si>
    <t>3210</t>
  </si>
  <si>
    <t>Syndicat Mixte Rhone-Ventoux</t>
  </si>
  <si>
    <t>Vaucluse</t>
  </si>
  <si>
    <t>Carpentras</t>
  </si>
  <si>
    <t>Providing 35 municipalities with drinking water services. The utility also provides 29 municipalities with wastewater services. All its services are operated by delegated management</t>
  </si>
  <si>
    <t>SDEI, subsidiary of Lyonnaise des Eaux (Suez Environnement)</t>
  </si>
  <si>
    <t>http://www.rhone-ventoux.fr/</t>
  </si>
  <si>
    <t>23700</t>
  </si>
  <si>
    <t>Communauté d'Agglomération de l'Espace Sud Martinique</t>
  </si>
  <si>
    <t>Martinique</t>
  </si>
  <si>
    <t>Sainte Luce</t>
  </si>
  <si>
    <t>Providing 14 municipalities with water and 12 municipalities with wastewater services</t>
  </si>
  <si>
    <t>http://www.espacesud.fr/</t>
  </si>
  <si>
    <t>3093</t>
  </si>
  <si>
    <t>Le Mans Métropole</t>
  </si>
  <si>
    <t>City of Le Mans</t>
  </si>
  <si>
    <t>Sarthe</t>
  </si>
  <si>
    <t>Le Mans</t>
  </si>
  <si>
    <t>Providing 19 municipalities with drinking water services. The utility also provides 19 municipalities with wastewater services, 5 by delegated management</t>
  </si>
  <si>
    <t>http://www.lemans.fr/</t>
  </si>
  <si>
    <t>2023-2030</t>
  </si>
  <si>
    <t>pp. 53-57</t>
  </si>
  <si>
    <t>https://www.lemansmetropole.fr/la-metropole/finances/le-budget</t>
  </si>
  <si>
    <t>https://www.lemansmetropole.fr/fileadmin/mediatheque_metropole-du-mans/utilisateurs/finances/documents/plan_strategique_investissements_2030.pdf</t>
  </si>
  <si>
    <t>7010</t>
  </si>
  <si>
    <t>Montana ViK</t>
  </si>
  <si>
    <t>Montana</t>
  </si>
  <si>
    <t>Providing water and wastewater services to Montana region</t>
  </si>
  <si>
    <t>http://vikmontana.com</t>
  </si>
  <si>
    <t>3109</t>
  </si>
  <si>
    <t>Municipality of Aix-en-Provence</t>
  </si>
  <si>
    <t>Aix-en-Provence</t>
  </si>
  <si>
    <t>Providing 1 municipality with drinking water services. The utility also provides 1 municipality with wastewater services</t>
  </si>
  <si>
    <t>http://www.aixenprovence.fr</t>
  </si>
  <si>
    <t>7037</t>
  </si>
  <si>
    <t>Vodovody a kanalizace Hodonín, a. s.</t>
  </si>
  <si>
    <t>Hodonín</t>
  </si>
  <si>
    <t>Providing water and wastewater services to Břeclav, Vyškov, Kroměříž and other 60+ towns and villages</t>
  </si>
  <si>
    <t>City of Hodonín (29.29%)  / City of Bzenec (12.69%)  / City of Veselí nad Moravou  (6.48%)  / City of Kyjov (4.82%) / Private shareholders (6%) / Other municipalities (40.72%)</t>
  </si>
  <si>
    <t>http://www.vak-hod.cz/</t>
  </si>
  <si>
    <t>26032</t>
  </si>
  <si>
    <t>Conseil de Territoire du Pays Salonais</t>
  </si>
  <si>
    <t>Salon-de-Provence</t>
  </si>
  <si>
    <t>Providing 17 municipalities with drinking water and wastewater services, all by delegated management</t>
  </si>
  <si>
    <t>https://www.agglopole-provence.fr/accueil</t>
  </si>
  <si>
    <t>26037</t>
  </si>
  <si>
    <t>CA Pays Basque</t>
  </si>
  <si>
    <t>Bayonne</t>
  </si>
  <si>
    <t>Providing 35 municipalities with drinking water services and 5 municipalities with wastewater services, 3 by delegated management</t>
  </si>
  <si>
    <t>https://www.communaute-paysbasque.fr/</t>
  </si>
  <si>
    <t>3111</t>
  </si>
  <si>
    <t>Association of municipalities Grand Poitiers</t>
  </si>
  <si>
    <t>Poitiers</t>
  </si>
  <si>
    <t>Providing 13 municipalities with drinking water services. The utility also provides 13 municipalities with wastewater services</t>
  </si>
  <si>
    <t>http://www.grandpoitiers.fr/</t>
  </si>
  <si>
    <t>7032</t>
  </si>
  <si>
    <t>S.C. Aquabis S.A. Bistrita Nasaud</t>
  </si>
  <si>
    <t>Bistrita</t>
  </si>
  <si>
    <t>Providing water and wastewater services to Bistrita, Bârgău-Colibiţa, Rodna, Năsăud, Sângeorz-Băi, Beclean</t>
  </si>
  <si>
    <t>http://www.aquabis.ro</t>
  </si>
  <si>
    <t>7131</t>
  </si>
  <si>
    <t>Frederiksberg Forsyning A/S</t>
  </si>
  <si>
    <t>Frederiksberg</t>
  </si>
  <si>
    <t>Providing water and wastewater services in the city of Frederiksberg</t>
  </si>
  <si>
    <t>http://www.frb-forsyning.dk</t>
  </si>
  <si>
    <t>23697</t>
  </si>
  <si>
    <t>Syndicat Intercommunal d'Aménagement, de Rivières et du Cycle de l’eau</t>
  </si>
  <si>
    <t>Providing 48 municipalities with water and 41 municipalities with wastewater services</t>
  </si>
  <si>
    <t>http://www.siarce.fr/</t>
  </si>
  <si>
    <t>3943</t>
  </si>
  <si>
    <t>SEAB - Servizi Energia Ambiente Bolzano S.p.A.</t>
  </si>
  <si>
    <t>Bolzano/Bozen</t>
  </si>
  <si>
    <t>Providing water and wastewater services in the municipalitiy of Bolzano</t>
  </si>
  <si>
    <t>http://www.seab.bz.it</t>
  </si>
  <si>
    <t>7104</t>
  </si>
  <si>
    <t>Gospodarka Komunalna i Miejskie Przedsiębiorstwo Wodociagów i Kanalizacji Sp. z o.o. we Włocławku</t>
  </si>
  <si>
    <t>Włocławek</t>
  </si>
  <si>
    <t>Providing water and wastewater services to City of Włocławek</t>
  </si>
  <si>
    <t>http://www.mpwik.wloclawek.pl</t>
  </si>
  <si>
    <t>2055</t>
  </si>
  <si>
    <t>Aigües Sabadell</t>
  </si>
  <si>
    <t>Sabadell</t>
  </si>
  <si>
    <t>Utility providing water and wastewater services to the city of Sabadell and the district of Bellaterra. The city of Sabadell awarded a 99-year concession for drinking water in 1949.</t>
  </si>
  <si>
    <t>Ayuntamiento de Sabadell (20.1%)  / Aguas de Barcelona (78.09%)  / Private shareholders (1.8%)</t>
  </si>
  <si>
    <t>https://www.aiguessabadell.cat/</t>
  </si>
  <si>
    <t>7123</t>
  </si>
  <si>
    <t>Ville de Luxembourg</t>
  </si>
  <si>
    <t>Luxembourg</t>
  </si>
  <si>
    <t>Providing water and wastewater services to City of Luxembourg</t>
  </si>
  <si>
    <t>https://www.vdl.lu/fr/la-ville/les-services-a-votre-ecoute/service-eaux</t>
  </si>
  <si>
    <t>pp. 200-207; pp. 357-373</t>
  </si>
  <si>
    <t>https://www.vdl.lu/sites/default/files/media/ni/document/B2026.pdf</t>
  </si>
  <si>
    <t>https://www.vdl.lu/en/city/political-life/budget</t>
  </si>
  <si>
    <t>23698</t>
  </si>
  <si>
    <t>Communauté d'Agglomération Coeur d'Essonne</t>
  </si>
  <si>
    <t>Providing 10 municipalities with water and 18 municipalities with wastewater services</t>
  </si>
  <si>
    <t>https://www.coeuressonne.fr/</t>
  </si>
  <si>
    <t>Not yet - plan being written</t>
  </si>
  <si>
    <t>3118</t>
  </si>
  <si>
    <t>Chambéry Métropole</t>
  </si>
  <si>
    <t>Savoie</t>
  </si>
  <si>
    <t>Chambéry</t>
  </si>
  <si>
    <t>Providing 38 municipalities with drinking water services. The utility also provides 38 municipalities with wastewater services</t>
  </si>
  <si>
    <t>https://www.grandchambery.fr</t>
  </si>
  <si>
    <t>3122</t>
  </si>
  <si>
    <t>Association of municipalities Grand Avignon</t>
  </si>
  <si>
    <t>Avignon</t>
  </si>
  <si>
    <t>Providing 9 municipalities with drinking water services, 8 by delegated management. The utility also provides 17 municipalities with wastewater services, 15 by delegated management</t>
  </si>
  <si>
    <t>Veolia Eau/ SDEI (Suez Environnement)/ SAUR</t>
  </si>
  <si>
    <t>http://www.grandavignon.fr/</t>
  </si>
  <si>
    <t>7089</t>
  </si>
  <si>
    <t>Slovácké vodárny a kanalizace, a. s.</t>
  </si>
  <si>
    <t>Uherské Hradiště</t>
  </si>
  <si>
    <t>Providing water and wastewater services to 54 towns in Moravia</t>
  </si>
  <si>
    <t>City of Uherské Hradiště (31.28%)  / City of Uherský Brod (17.74%)  / Other cities and municipalities (43.46%)  / Other shareholders (42 in total) (7.52%)</t>
  </si>
  <si>
    <t>http://www.svkuh.cz/</t>
  </si>
  <si>
    <t>3112</t>
  </si>
  <si>
    <t>Association of municipalities Centre de la Martinique</t>
  </si>
  <si>
    <t>Fort-De-France</t>
  </si>
  <si>
    <t>Providing 4 municipalities with drinking water services. The utility also provides 4 municipalities with wastewater services</t>
  </si>
  <si>
    <t>http://www.cacem.org/</t>
  </si>
  <si>
    <t>05.03.2026</t>
  </si>
  <si>
    <t>pp. 64-70 (p. 72-79?) (pp. 30-33, pp. 48-49, pp. 51-55)</t>
  </si>
  <si>
    <t>https://avis-eau-martinique.com/wp-content/uploads/2023/02/ODE_ProgrammeDeMesure_2022-2027-web.pdf</t>
  </si>
  <si>
    <t>https://avis-eau-martinique.com/telechargements/</t>
  </si>
  <si>
    <t>3342</t>
  </si>
  <si>
    <t>LWG Lausitzer Wasser</t>
  </si>
  <si>
    <t>Cottbus</t>
  </si>
  <si>
    <t>Providing water and wastewater services to Cottbus and surrounding regions</t>
  </si>
  <si>
    <t>City of Cottbus (50.1%)  / REMONDIS Aqua GmbH &amp; Co. KG (28.9%) [via EURAWASSER Cottbus GmbH] / LWG Wasser und Abwasser GmbH &amp; Co. Beteiligungs-KG (21%)</t>
  </si>
  <si>
    <t>http://www.lausitzer-wasser.de/de/</t>
  </si>
  <si>
    <t>7097</t>
  </si>
  <si>
    <t>Aukštaitijos vandenys</t>
  </si>
  <si>
    <t>Panevėžys</t>
  </si>
  <si>
    <t>Providing water and wastewater services to the city of Panevėžys city and surrounding municipalities (Dembava, Vaivadai, Piniava, Pažagieniai, Staniūnai, Molainiai, Šilagalis, Ramygala, Naujamiestis, Uliūnai, Paliūniškis)</t>
  </si>
  <si>
    <t>http://www.avandenys.lt</t>
  </si>
  <si>
    <t>3209</t>
  </si>
  <si>
    <t>Ardenne Metropole</t>
  </si>
  <si>
    <t>Ardennes</t>
  </si>
  <si>
    <t>Charleville-Mézières</t>
  </si>
  <si>
    <t>Providing water and services to 61 municipalities and wastewater services to 39 municipalities</t>
  </si>
  <si>
    <t>http://www.ardenne-metropole.fr/</t>
  </si>
  <si>
    <t>26076</t>
  </si>
  <si>
    <t>SIAEAG</t>
  </si>
  <si>
    <t>Guadeloupe</t>
  </si>
  <si>
    <t>Le Gosier</t>
  </si>
  <si>
    <t>Providing 9 municipalities with drinking water and wastewater services</t>
  </si>
  <si>
    <t>https://www.siaeag.fr/</t>
  </si>
  <si>
    <t>3205</t>
  </si>
  <si>
    <t>Association of municipalities Sud</t>
  </si>
  <si>
    <t>Le Tampon</t>
  </si>
  <si>
    <t>Providing 4 municipalities with drinking water services. The utility also provides 4 municipalities with wastewater services. All its services are operated by delegated management</t>
  </si>
  <si>
    <t>http://www.casud.re/</t>
  </si>
  <si>
    <t>4812</t>
  </si>
  <si>
    <t>Aigües de Girona, Salt i Sarrià de Ter, SA</t>
  </si>
  <si>
    <t>Providing water and wastewater services to Girona, Salt and Sarrià de Ter.</t>
  </si>
  <si>
    <t>Girona, SA (80%)  / Ajuntament de Girona (14%)  / Ajuntament de Salt (4%)  / Ajuntament de Sarrià de Ter (2%)</t>
  </si>
  <si>
    <t>http://www.aiguesdegirona.cat/html/adg/index_girona.html</t>
  </si>
  <si>
    <t>3119</t>
  </si>
  <si>
    <t>Association of municipalities Grand Narbonne</t>
  </si>
  <si>
    <t>Aude</t>
  </si>
  <si>
    <t>Narbonne</t>
  </si>
  <si>
    <t>Providing 37 municipalities with drinking water services, 12 by delegated management. The utility also provides 37 municipalities with wastewater services, 15 by delegated management</t>
  </si>
  <si>
    <t>Veolia Eau/ BRL/ SAUR</t>
  </si>
  <si>
    <t>http://www.legrandnarbonne.com/</t>
  </si>
  <si>
    <t>3944</t>
  </si>
  <si>
    <t>Astea S.p.A.</t>
  </si>
  <si>
    <t>Recanati</t>
  </si>
  <si>
    <t>Providing water and wastewater services in 8 municipalities in the province of Ancona</t>
  </si>
  <si>
    <t>Centro Marche Acque Srl (78.68%)  / GPO Consortium (21.32%)</t>
  </si>
  <si>
    <t>http://www.asteaspa.it</t>
  </si>
  <si>
    <t>3945</t>
  </si>
  <si>
    <t>Cogeide S.p.A.</t>
  </si>
  <si>
    <t>Mozzanica</t>
  </si>
  <si>
    <t>Providing water and wastewater services in 16 municipalities in the areas of Treviglio (Bergamo)</t>
  </si>
  <si>
    <t>Cart Acqua Srl (18.6%)  / Municipalities (81.4%)</t>
  </si>
  <si>
    <t>http://www.cogeide.it</t>
  </si>
  <si>
    <t>3947</t>
  </si>
  <si>
    <t>Prealpi Servizi S.r.l.</t>
  </si>
  <si>
    <t>Providing water and wastewater services in 26 municipalities in the province of Varese; wastewater service in 21 municipalities in the province of Varese</t>
  </si>
  <si>
    <t>http://www.prealpiservizi.it</t>
  </si>
  <si>
    <t>7110</t>
  </si>
  <si>
    <t>Stadtwerk Winterthur</t>
  </si>
  <si>
    <t>Winterthur</t>
  </si>
  <si>
    <t>Providing water and wastewater services to Winterthur, and 7 other municipalities in the case of wastewater services.</t>
  </si>
  <si>
    <t>http://stadtwerk.winterthur.ch</t>
  </si>
  <si>
    <t>7141</t>
  </si>
  <si>
    <t>Telge AB</t>
  </si>
  <si>
    <t>Södertälje</t>
  </si>
  <si>
    <t>Providing water and wastewater services in the city of Södertälje and other surrounding areas</t>
  </si>
  <si>
    <t>http://www.telge.se</t>
  </si>
  <si>
    <t>3948</t>
  </si>
  <si>
    <t>GE.SE.SA. S.p.A. - Gestione Servizi Sannio</t>
  </si>
  <si>
    <t>Benevento</t>
  </si>
  <si>
    <t>Providing water and wastewater services in Benevento and in 22 municipalities in the province.</t>
  </si>
  <si>
    <t>Municipality of Benevento (43.07%)  / Acea SpA (57.93%) [via wholly owned subsidiary Crea Partecipazioni Srl]</t>
  </si>
  <si>
    <t>https://www.gruppo.acea.it/al-servizio-delle-persone/acqua/gesesa</t>
  </si>
  <si>
    <t>7135</t>
  </si>
  <si>
    <t>Soproni Vízmu Zrt.</t>
  </si>
  <si>
    <t>Sopron</t>
  </si>
  <si>
    <t>Providing water and wastewater services to Sopron and surrounding vilages</t>
  </si>
  <si>
    <t>http://www.sopviz.hu</t>
  </si>
  <si>
    <t>3129</t>
  </si>
  <si>
    <t>Association of municipalities Région Nazairienne et de l'Estuaire</t>
  </si>
  <si>
    <t>Saint-Nazaire</t>
  </si>
  <si>
    <t>Providing 10 municipalities with drinking water services. The utility also provides 10 municipalities with wastewater services</t>
  </si>
  <si>
    <t>http://www.agglo-carene.fr/</t>
  </si>
  <si>
    <t>7223</t>
  </si>
  <si>
    <t>Silkeborg Forsyning A/S</t>
  </si>
  <si>
    <t>Silkeborg</t>
  </si>
  <si>
    <t>Providing water and wastewater services to Silkeborg municipality</t>
  </si>
  <si>
    <t>http://www.silkeborgforsyning.dk</t>
  </si>
  <si>
    <t>7044</t>
  </si>
  <si>
    <t>S.C. Nova Apa Serv S.A. Botosani</t>
  </si>
  <si>
    <t>Botosani</t>
  </si>
  <si>
    <t>Providing water and wastewater services to Botosani County</t>
  </si>
  <si>
    <t>https://www.apabotosani.ro/</t>
  </si>
  <si>
    <t>7150</t>
  </si>
  <si>
    <t>S.C. EcoAqua S.A. Calarasi</t>
  </si>
  <si>
    <t>Calarasi</t>
  </si>
  <si>
    <t>Providing water and wastewater services to Cities of Calarasi, Oltenita, Lehliu Gara, Budeşti, Urziceni</t>
  </si>
  <si>
    <t>http://ecoaqua.ro</t>
  </si>
  <si>
    <t>7194</t>
  </si>
  <si>
    <t>Sądeckie Wodociągi Spółka Z.o.o</t>
  </si>
  <si>
    <t>Nowy Sacz</t>
  </si>
  <si>
    <t>Providing water and wastewater services to Nowy Sącz City</t>
  </si>
  <si>
    <t>http://www.swns.pl</t>
  </si>
  <si>
    <t>6917</t>
  </si>
  <si>
    <t>ViK Dobrich</t>
  </si>
  <si>
    <t>Dobrich</t>
  </si>
  <si>
    <t>Providing water and wastewater services to Dobrich Region</t>
  </si>
  <si>
    <t>http://www.vikdobrich.bg/</t>
  </si>
  <si>
    <t>3116</t>
  </si>
  <si>
    <t>Association of municipalities Hénin-Carvin</t>
  </si>
  <si>
    <t>Hénin-Beaumont</t>
  </si>
  <si>
    <t>Providing 14 municipalities with drinking water services. The utility also provides 14 municipalities with wastewater services. All its services are operated by delegated management</t>
  </si>
  <si>
    <t>http://www.agglo-henincarvin.fr/</t>
  </si>
  <si>
    <t>3115</t>
  </si>
  <si>
    <t>Association of municipalities Val d'Orge</t>
  </si>
  <si>
    <t>Sainte-Geneviève-des-Bois</t>
  </si>
  <si>
    <t>Providing water and wastewater services to 9 (DW)/ 8 (WW)</t>
  </si>
  <si>
    <t>Générale des Eaux (Veolia Eau)   / Lyonnaise des Eaux (Suez Environnement)</t>
  </si>
  <si>
    <t>26030</t>
  </si>
  <si>
    <t>Vejle Spildevand A/S</t>
  </si>
  <si>
    <t>Vejle</t>
  </si>
  <si>
    <t>Providing wastewater services to the area around Vejle</t>
  </si>
  <si>
    <t>https://www.vejlespildevand.dk/</t>
  </si>
  <si>
    <t>3132</t>
  </si>
  <si>
    <t>Association of municipalities Grand Angoulême</t>
  </si>
  <si>
    <t>Charente</t>
  </si>
  <si>
    <t>Angoulême</t>
  </si>
  <si>
    <t>Providing 30 municipalities with drinking water services, all by delegated management. The utility also provides 36 municipalities with wastewater services, 8 by delegated management</t>
  </si>
  <si>
    <t>http://www.grandangouleme.fr/</t>
  </si>
  <si>
    <t>3166</t>
  </si>
  <si>
    <t>Chartres Métropole</t>
  </si>
  <si>
    <t>Eure-et-Loir</t>
  </si>
  <si>
    <t>Chartres</t>
  </si>
  <si>
    <t>Providing 65 municipalities with drinking water services, all by delegated management. The utility also provides 49 municipalities with wastewater services, 10 by delegated management</t>
  </si>
  <si>
    <t>http://www.chartres-metropole.fr/</t>
  </si>
  <si>
    <t>7176</t>
  </si>
  <si>
    <t>Jastrzębski Zakład Wodociagów i Kanalizacji S.A.</t>
  </si>
  <si>
    <t>Jastrzębie Zdrój</t>
  </si>
  <si>
    <t>Providing water and wastewater services to Jastrzębie Zdrój City</t>
  </si>
  <si>
    <t>http://www.jzwik.com.pl</t>
  </si>
  <si>
    <t>3197</t>
  </si>
  <si>
    <t>Association of municipalities Béziers Méditerranée</t>
  </si>
  <si>
    <t>Béziers</t>
  </si>
  <si>
    <t>Providing 16 municipalities with drinking water services. The utility also provides 16 municipalities with wastewater services. All its services are operated by delegated management</t>
  </si>
  <si>
    <t>https://lagglo.fr/</t>
  </si>
  <si>
    <t>3121</t>
  </si>
  <si>
    <t>Association of municipalities Pays de Montbéliard</t>
  </si>
  <si>
    <t>Doubs</t>
  </si>
  <si>
    <t>Montbéliard</t>
  </si>
  <si>
    <t>Providing 29 municipalities with drinking water services. The utility also provides 49 municipalities with wastewater services. All its services are operated by delegated management</t>
  </si>
  <si>
    <t>http://www.agglo-montbeliard.fr</t>
  </si>
  <si>
    <t>3117</t>
  </si>
  <si>
    <t>Association of municipalities Boulonnais</t>
  </si>
  <si>
    <t>Boulogne-Sur-Mer</t>
  </si>
  <si>
    <t>Providing 22 municipalities with drinking water services. The utility also provides 22 municipalities with wastewater services. All its services are operated by delegated management</t>
  </si>
  <si>
    <t>Compagnie Générale des Eaux (Veolia Eau)</t>
  </si>
  <si>
    <t>http://www.agglo-boulonnais.fr/</t>
  </si>
  <si>
    <t>7043</t>
  </si>
  <si>
    <t>Daugavpils Udens</t>
  </si>
  <si>
    <t>Daugavpils</t>
  </si>
  <si>
    <t>Providing water and wastewater services to Daugavpils City and Municipality</t>
  </si>
  <si>
    <t>http://www.daugavpils.udens.lv</t>
  </si>
  <si>
    <t>3163</t>
  </si>
  <si>
    <t>Syndicat Mixte Départemental d'Equipement des Communes des Landes</t>
  </si>
  <si>
    <t>Landes</t>
  </si>
  <si>
    <t>Mont-De-Marsan</t>
  </si>
  <si>
    <t>Providing 116 municipalities with drinking water services. The utility also provides 92 municipalities with wastewater services</t>
  </si>
  <si>
    <t>http://www.sydec40.fr/</t>
  </si>
  <si>
    <t>3949</t>
  </si>
  <si>
    <t>Acque del Chiampo S.p.A.</t>
  </si>
  <si>
    <t>Arzignano</t>
  </si>
  <si>
    <t>Providing water and wastewater services in 10 municipalities in the ATO Valle del Chiampo</t>
  </si>
  <si>
    <t>http://www.acquedelchiampospa.it</t>
  </si>
  <si>
    <t>6965</t>
  </si>
  <si>
    <t>Pazardjik ViK</t>
  </si>
  <si>
    <t>Pazardjik</t>
  </si>
  <si>
    <t>Providing water and wastewater services to Pazardjik region</t>
  </si>
  <si>
    <t>https://www.vikpz.com/</t>
  </si>
  <si>
    <t>3517</t>
  </si>
  <si>
    <t>Stadtentwässerung Nürnberg</t>
  </si>
  <si>
    <t>Stadtentwässerung und Umweltanalytik Nürnberg</t>
  </si>
  <si>
    <t xml:space="preserve">City Drainage and Environmental Analysis Nuremberg </t>
  </si>
  <si>
    <t>SUN</t>
  </si>
  <si>
    <t>Nürnberg</t>
  </si>
  <si>
    <t>Providing wastewater services to Nuremburg</t>
  </si>
  <si>
    <t>http://www.nuernberg.de/internet/abwasser/</t>
  </si>
  <si>
    <t>pp. 25-36</t>
  </si>
  <si>
    <t>https://online-service2.nuernberg.de/buergerinfo/getfile.asp?id=930125&amp;type=do</t>
  </si>
  <si>
    <t>EXCELLENT. Population figure inc. neighbouring populations</t>
  </si>
  <si>
    <t>https://online-service2.nuernberg.de/buergerinfo/vo0050.asp?__kvonr=29147</t>
  </si>
  <si>
    <t>3569</t>
  </si>
  <si>
    <t>Technische Betriebe Wilhelmshaven</t>
  </si>
  <si>
    <t>Wilhelmshaven</t>
  </si>
  <si>
    <t>Providing wastewater services to Wilhelmshaven</t>
  </si>
  <si>
    <t>http://www.tbw-whv.de/2_41.php</t>
  </si>
  <si>
    <t>4811</t>
  </si>
  <si>
    <t>Aguas de Lorca</t>
  </si>
  <si>
    <t>Lorca</t>
  </si>
  <si>
    <t>Providing water and wastewater services to Lorca</t>
  </si>
  <si>
    <t>Ayuntamiento de Lorca (51%)  / Aguas de Barcelona (49%) [via wholly owned subsidary Hidrogea]</t>
  </si>
  <si>
    <t>https://www.aguasdelorca.com/</t>
  </si>
  <si>
    <t>3951</t>
  </si>
  <si>
    <t>Asti Servizi Pubblici S.p.A.</t>
  </si>
  <si>
    <t>Asti</t>
  </si>
  <si>
    <t>Providing water and wastewater services in the city of Asti and in some municipalities</t>
  </si>
  <si>
    <t>Municipality of Asti (55%)  / NOS Nord Ovest Servizi SPA (45%)</t>
  </si>
  <si>
    <t>http://www.asp.asti.it</t>
  </si>
  <si>
    <t>6984</t>
  </si>
  <si>
    <t>Stadt Klagenfurt am Wörthersee</t>
  </si>
  <si>
    <t>Kaernten</t>
  </si>
  <si>
    <t>Klagenfurt</t>
  </si>
  <si>
    <t>Providing water and wastewater services to Klagenfurt am Worthersee.</t>
  </si>
  <si>
    <t>http://www.klagenfurt.at/</t>
  </si>
  <si>
    <t>No - requested via Frag den Staat 09/02/2026</t>
  </si>
  <si>
    <t>3518</t>
  </si>
  <si>
    <t>Stadtentwässerung Rosenheim</t>
  </si>
  <si>
    <t>Rosenheim City Drainage</t>
  </si>
  <si>
    <t>Rosenheim</t>
  </si>
  <si>
    <t>Providing wastewater services to Rosenheim</t>
  </si>
  <si>
    <t>http://www.rosenheim.de/willkommen/aemter-und-dienststellen/stadtentwaesserung.html</t>
  </si>
  <si>
    <t>Yes but (v little info)</t>
  </si>
  <si>
    <t>p. 22</t>
  </si>
  <si>
    <t>https://www.rosenheim-allris.sitzung-online.de/allrisbi/vo020?3--anlagenHeaderPanel-attachmentsList-0-attachment-link&amp;VOLFDNR=1010340&amp;refresh=false</t>
  </si>
  <si>
    <t>https://www.rosenheim-allris.sitzung-online.de/allrisbi/vo020?VOLFDNR=1010340&amp;refresh=false</t>
  </si>
  <si>
    <t>7108</t>
  </si>
  <si>
    <t>1. SčV, a.s.</t>
  </si>
  <si>
    <t>Providing water and wastewater services to Příbram, Sedlčany, Mníšek pod Brdy, Prague west and east</t>
  </si>
  <si>
    <t>Veolia Central &amp; Eastern Europe SA (100%)</t>
  </si>
  <si>
    <t>http://www.1scv.cz</t>
  </si>
  <si>
    <t>Meeting where plan approved 2025-2029: https://praha.eu/program-a-zapisy-jednani#/detail/2701; PDF of meeting minutes: https://praha.eu/documents/42409/13025730/Program_jednani_Prg_21_Rada_2024.pdf; Archive of resolution: https://praha.eu/archiv-usneseni-rady-hmp</t>
  </si>
  <si>
    <t>3470</t>
  </si>
  <si>
    <t>Stadt Bamberg</t>
  </si>
  <si>
    <t>Bamberg</t>
  </si>
  <si>
    <t>Providing wastewater services to Bamberg</t>
  </si>
  <si>
    <t>https://www.stadt.bamberg.de/index.phtml?object=tx|1829.1821.1&amp;ModID=10&amp;FID=329.1515.1&amp;sNavID=1829.91&amp;La=1&amp;ort=</t>
  </si>
  <si>
    <t>7183</t>
  </si>
  <si>
    <t>Vandmiljø Randers A/S</t>
  </si>
  <si>
    <t>Randers</t>
  </si>
  <si>
    <t>Providing wastewater services in the municipality of Randers</t>
  </si>
  <si>
    <t>http://www.vmr.dk</t>
  </si>
  <si>
    <t>4813</t>
  </si>
  <si>
    <t>Ayuntamiento de Caceres-Gestión del Ciclo Integral del agua</t>
  </si>
  <si>
    <t>Cáceres</t>
  </si>
  <si>
    <t>Providing water and wastewater services to Municipality of Caceres</t>
  </si>
  <si>
    <t>Acciona</t>
  </si>
  <si>
    <t>https://www.acciona-agua.com/es/areas-de-actividad/proyectos/gestion-del-ciclo-integral-del-agua/servicios/moraleja/</t>
  </si>
  <si>
    <t>3953</t>
  </si>
  <si>
    <t>Azienda Servizi Valtrompia S.p.A.</t>
  </si>
  <si>
    <t>Gardone Val Trompia</t>
  </si>
  <si>
    <t>Providing water and wastewater services in 15 municipalities in the area of Valtrompia (Brescia)</t>
  </si>
  <si>
    <t>A2A SpA (49.15%)  / 14 municipalities of the Valle Trompia (50.85%)</t>
  </si>
  <si>
    <t>http://www.asvt-spa.it</t>
  </si>
  <si>
    <t>7165</t>
  </si>
  <si>
    <t>Karlstad Water and Sewerage Department</t>
  </si>
  <si>
    <t>Karlstad</t>
  </si>
  <si>
    <t>Providing water and wastewater services in the municipality of Karlstad and other 15 neighbouring municipalities</t>
  </si>
  <si>
    <t>https://karlstad.se/bygga-och-bo/vatten-och-avlopp/</t>
  </si>
  <si>
    <t>3952</t>
  </si>
  <si>
    <t>Azienda Gardesana Servizi S.p.A.</t>
  </si>
  <si>
    <t>Peschiera del Garda</t>
  </si>
  <si>
    <t>Providing water and wastewater services to municipalities of the Garda Baldo Area of ​​the Veronese Optimal Territorial Area (consisting of 20 municipalities on the Veronese coast of Lake Garda, and part of the Val D'Adige)</t>
  </si>
  <si>
    <t>http://www.ags.vr.it</t>
  </si>
  <si>
    <t>6940</t>
  </si>
  <si>
    <t>Wałbrzyskie Przedsiębiorstwo Wodociągów i Kanalizacji Spółka z.o.o</t>
  </si>
  <si>
    <t>Wałbrzych</t>
  </si>
  <si>
    <t>Providing water and wastewater services to Wałbrzych City and neighbouring municipalities</t>
  </si>
  <si>
    <t>http://www.wpwik.pl</t>
  </si>
  <si>
    <t>7151</t>
  </si>
  <si>
    <t>Tartu Vesi</t>
  </si>
  <si>
    <t>Tartu</t>
  </si>
  <si>
    <t>Providing water and wastewater services to Tartu Municipality</t>
  </si>
  <si>
    <t>http://www.tartuvesi.ee</t>
  </si>
  <si>
    <t>7046</t>
  </si>
  <si>
    <t>Pernik ViK</t>
  </si>
  <si>
    <t>Pernik</t>
  </si>
  <si>
    <t>Providing water and wastewater services to Pernik region</t>
  </si>
  <si>
    <t>https://www.vik-pernik.eu/</t>
  </si>
  <si>
    <t>7004</t>
  </si>
  <si>
    <t>Águas de Valongo</t>
  </si>
  <si>
    <t>Valongo</t>
  </si>
  <si>
    <t>Providing water and wastewater services to Concelho de Valongo</t>
  </si>
  <si>
    <t>Be Water, SA (100%)</t>
  </si>
  <si>
    <t>http://www.aguasdevalongo.net/veolia/default.asp</t>
  </si>
  <si>
    <t>7243</t>
  </si>
  <si>
    <t>S.C. Compania De Apa Olt S.A.</t>
  </si>
  <si>
    <t>Slatina</t>
  </si>
  <si>
    <t>Providing water and wastewater services to Olt County</t>
  </si>
  <si>
    <t>https://caolt.ro</t>
  </si>
  <si>
    <t>3131</t>
  </si>
  <si>
    <t>Syndicat Mixte du Val de Sambre</t>
  </si>
  <si>
    <t>Maubeuge</t>
  </si>
  <si>
    <t>Providing water and wastewater services to 18 municipalities</t>
  </si>
  <si>
    <t>3155</t>
  </si>
  <si>
    <t>Association of municipalities d'Arras</t>
  </si>
  <si>
    <t>Arras</t>
  </si>
  <si>
    <t>Providing 46 municipalities with drinking water services. The utility also provides 46 municipalities with wastewater services. All its services are operated by delegated management</t>
  </si>
  <si>
    <t>http://www.cu-arras.fr/</t>
  </si>
  <si>
    <t>3137</t>
  </si>
  <si>
    <t>Association of municipalities of Colmar</t>
  </si>
  <si>
    <t>Colmarienne des Eaux</t>
  </si>
  <si>
    <t>http://www.agglo-colmar.fr/</t>
  </si>
  <si>
    <t>7370</t>
  </si>
  <si>
    <t>SMAS de Leiria</t>
  </si>
  <si>
    <t>Leiria</t>
  </si>
  <si>
    <t>Providing water and wastewater services to County of Leiria</t>
  </si>
  <si>
    <t>http://www.smas-leiria.pt/</t>
  </si>
  <si>
    <t>7128</t>
  </si>
  <si>
    <t>Vodovody a kanalizace Kroměříž, a. s.</t>
  </si>
  <si>
    <t>Kroměříž</t>
  </si>
  <si>
    <t>Providing water and wastewater services to Kromeriz region</t>
  </si>
  <si>
    <t>http://www.vak-km.cz/</t>
  </si>
  <si>
    <t>3955</t>
  </si>
  <si>
    <t>Consorzio dei Comuni per l'Acquedotto del Monferrato</t>
  </si>
  <si>
    <t>Moncalvo</t>
  </si>
  <si>
    <t>Providing water and wastewater services in 101 municipalities in the provinces of Asti, Alessandria and Torino</t>
  </si>
  <si>
    <t>http://www.ccam.it</t>
  </si>
  <si>
    <t>3142</t>
  </si>
  <si>
    <t>Association of municipalities Maubeuge-Val de Sambre</t>
  </si>
  <si>
    <t>Providing 18 municipalities with drinking water services, all by delegated management. The utility also provides 28 municipalities with wastewater services</t>
  </si>
  <si>
    <t>https://agglo-maubeugevaldesambre.fr/</t>
  </si>
  <si>
    <t>628</t>
  </si>
  <si>
    <t>Stadtentwässerungsbetrieb Düsseldorf</t>
  </si>
  <si>
    <t>Düsseldorf City Drainage</t>
  </si>
  <si>
    <t>Düsseldorf</t>
  </si>
  <si>
    <t>Providing wastewater services to Dusseldorf</t>
  </si>
  <si>
    <t>https://www.duesseldorf.de/kanal/kunden/</t>
  </si>
  <si>
    <t>2023-2027</t>
  </si>
  <si>
    <t>pp. 62-104</t>
  </si>
  <si>
    <t>https://ris-duesseldorf.itk-rheinland.de/sessionnetduebi/getfile.asp?id=500480&amp;type=do</t>
  </si>
  <si>
    <t xml:space="preserve">NB: the figures are in EUROS not thousand euros Kum Ausgabe bis 31.12.2022 is logged under ‘Prior Year Spending/Costs (PY’; Ansatz 2028 ff [predicted costs 2028-onwards] are logged under ‘Future Year Costs (FC)’. Extracted years 2023-2027. </t>
  </si>
  <si>
    <t>https://ris-duesseldorf.itk-rheinland.de/sessionnetduebi/to0050.asp?__ktonr=347570</t>
  </si>
  <si>
    <t>yes (sort of), p. 42 &amp; p. 44. Potential WWTPs Einzugsgebiete Klärwerk Düsseldorf-Nord, Klärwerk Duisburg-Huckingen; Einzugsgebiete Klärwerk Düsseldorf- Süd, Klärwerke Ratingen, Hubbelrath, 
Hilden (p. 49)</t>
  </si>
  <si>
    <t>6989</t>
  </si>
  <si>
    <t>KD Vodovod i kanalizacija d.o.o</t>
  </si>
  <si>
    <t>Rijeka</t>
  </si>
  <si>
    <t>Providing water and wastewater services to Rijeka, Bakar, Kastav, Kraljevica and Cavle, Jelenje, Klana, Kostrena, Viskovo</t>
  </si>
  <si>
    <t>http://www.kdvik-rijeka.hr</t>
  </si>
  <si>
    <t>23704</t>
  </si>
  <si>
    <t>Grand Paris Sud Est Avenir</t>
  </si>
  <si>
    <t>Providing 11 municipalities with water and 11 municipalities with wastewater services</t>
  </si>
  <si>
    <t>https://sudestavenir.fr/</t>
  </si>
  <si>
    <t>3140</t>
  </si>
  <si>
    <t>Municipality of Saint-Paul</t>
  </si>
  <si>
    <t>Saint-Paul</t>
  </si>
  <si>
    <t>https://www.mairie-saintpaul.re/</t>
  </si>
  <si>
    <t>7256</t>
  </si>
  <si>
    <t>Horsens Vand A/S</t>
  </si>
  <si>
    <t>Horsens</t>
  </si>
  <si>
    <t>Providing water and wastewater services in the city of Horsens</t>
  </si>
  <si>
    <t>https://www.samn.dk/Om%20os/Samn%20Forsyning/Horsens%20Vand%20AS</t>
  </si>
  <si>
    <t>624</t>
  </si>
  <si>
    <t>Stadtentwässerungsbetriebe Köln</t>
  </si>
  <si>
    <t>Cologne City Drainage Company</t>
  </si>
  <si>
    <t>StEB Köln</t>
  </si>
  <si>
    <t>Köln</t>
  </si>
  <si>
    <t>Providing wastewater services to Cologne</t>
  </si>
  <si>
    <t>http://www.steb-koeln.de</t>
  </si>
  <si>
    <t>2020-2031</t>
  </si>
  <si>
    <t>Doc 1: 2026-2037: p. 51, 52, 53, 54, 55, 56, 57, 59 Doc 2: 2020-2031: p. 54, 56, 58, 60, 62, 64, 66, 68, 71</t>
  </si>
  <si>
    <t>Doc 1: https://ratsinformation.stadt-koeln.de/getfile.asp?id=1033844&amp;type=do Doc 2: https://ratsinformation.stadt-koeln.de/getfile.asp?id=692964&amp;type=do</t>
  </si>
  <si>
    <t xml:space="preserve">Doc 1: Extracted years 2026-2031. ‘Kosten Folgezeitraum 2032-2037' [costs in the following time period of 2032-2037] are logged under ‘Future Year Costs (FC) Doc 2: NB the alternating pgs for pgs 54-68 detail location, type of plant etc for each project on the page preceding it but NOT financial costs. Extracted years 2020-2025. ‘2026-2031’ are logged under ‘Future Year Costs (FC)’ </t>
  </si>
  <si>
    <t>Doc 1: https://ratsinformation.stadt-koeln.de/to0050.asp?__ktonr=421105 ; Doc 2: https://ratsinformation.stadt-koeln.de/to0050.asp?__ktonr=275008</t>
  </si>
  <si>
    <t>yes BUT NO TABLE OF WHAT THEY MEAN. BUT coorrdinates</t>
  </si>
  <si>
    <t>p. 60 (type of measure); p. 61 (state of measure); pp. 63-67 (table &amp; status of small WWTPs)</t>
  </si>
  <si>
    <t>6978</t>
  </si>
  <si>
    <t>Vodovody a kanalizace Přerov, a.s.</t>
  </si>
  <si>
    <t>Přerov</t>
  </si>
  <si>
    <t>Providing water and wastewater services to Pardubice, Prelouc, Holice</t>
  </si>
  <si>
    <t>https://www.vakprerov.cz/</t>
  </si>
  <si>
    <t>23701</t>
  </si>
  <si>
    <t>Communauté d'Agglomération du Pays Nord Martinique</t>
  </si>
  <si>
    <t>Providing 18 municipalities with water and 17 municipalities with wastewater services</t>
  </si>
  <si>
    <t>http://www.capnordmartinique.fr/</t>
  </si>
  <si>
    <t>26056</t>
  </si>
  <si>
    <t>SMDEA 09</t>
  </si>
  <si>
    <t>Ariège</t>
  </si>
  <si>
    <t>Pamiers</t>
  </si>
  <si>
    <t>Providing 255 municipalities with drinking water services. The utility also provides 271 municipality with wastewater services</t>
  </si>
  <si>
    <t>https://smdea09.fr/</t>
  </si>
  <si>
    <t>26066</t>
  </si>
  <si>
    <t>CAPEX</t>
  </si>
  <si>
    <t>Les Abymes</t>
  </si>
  <si>
    <t>Providing 3 municipalities with drinking water and wastewater services</t>
  </si>
  <si>
    <t>https://www.capexcellence.net/</t>
  </si>
  <si>
    <t>6938</t>
  </si>
  <si>
    <t>Vratza ViK</t>
  </si>
  <si>
    <t>Vratsa</t>
  </si>
  <si>
    <t>Providing water and wastewater services to Vratsa region</t>
  </si>
  <si>
    <t>http://vik-vratza.eu</t>
  </si>
  <si>
    <t>6920</t>
  </si>
  <si>
    <t>S.C. Hidro Prahova S.A. Ploiesti</t>
  </si>
  <si>
    <t>Providing water and wastewater services to Prahova County Council and 29 local councils </t>
  </si>
  <si>
    <t>https://www.hidroprahova.ro/</t>
  </si>
  <si>
    <t>7408</t>
  </si>
  <si>
    <t>SMAS de Viseu</t>
  </si>
  <si>
    <t>Viseu</t>
  </si>
  <si>
    <t>Providing water and wastewater services to County of Viseu</t>
  </si>
  <si>
    <t>http://www.smasviseu.pt/</t>
  </si>
  <si>
    <t>3148</t>
  </si>
  <si>
    <t>Syndicat d'Agglomération Nouvelle Ouest Provence</t>
  </si>
  <si>
    <t>Istres</t>
  </si>
  <si>
    <t>Providing 6 municipalities with drinking water services. The utility also provides 6 municipalities with wastewater services. All its services are operated by delegated management</t>
  </si>
  <si>
    <t>Société des Eaux de Provence/ Société des Eaux de Marseille</t>
  </si>
  <si>
    <t>http://www.ouestprovence.fr/</t>
  </si>
  <si>
    <t>7171</t>
  </si>
  <si>
    <t>S.C. Apa Serv S.A. Alexandria</t>
  </si>
  <si>
    <t>Alexandria</t>
  </si>
  <si>
    <t>Providing water and wastewater services to Telorman County</t>
  </si>
  <si>
    <t>http://www.apaservteleorman.ro/</t>
  </si>
  <si>
    <t>7244</t>
  </si>
  <si>
    <t>Fors Roskilde A/S</t>
  </si>
  <si>
    <t>Roskilde</t>
  </si>
  <si>
    <t>Providing water and wastewater services in the municipality of Roskilde</t>
  </si>
  <si>
    <t>3954</t>
  </si>
  <si>
    <t>Servizio Idrico Integrato del Biellese e Vercellese S.p.A.</t>
  </si>
  <si>
    <t>Vercelli</t>
  </si>
  <si>
    <t>Providing water and wastewater service to 50 municipalities of ATO n. 2 Piedmont.</t>
  </si>
  <si>
    <t>http://www.siispa.it</t>
  </si>
  <si>
    <t>3364</t>
  </si>
  <si>
    <t>Abwasserzweckverband Raum Offenburg</t>
  </si>
  <si>
    <t>Offenburg</t>
  </si>
  <si>
    <t>Providing wastewater services to City of Offenburg and the communities Durbach, Hohberg Ohlsbach and Ortenberg</t>
  </si>
  <si>
    <t>http://www.azv-offenburg.de/</t>
  </si>
  <si>
    <t>pp. 9-18</t>
  </si>
  <si>
    <t>https://ratsinfo.offenburg.de/buergerinfo/getfile.php?id=68949&amp;type=do</t>
  </si>
  <si>
    <t>NB:SEWERS ONLY</t>
  </si>
  <si>
    <t>https://ratsinfo.offenburg.de/buergerinfo/suchen01.php</t>
  </si>
  <si>
    <t>4828</t>
  </si>
  <si>
    <t>Aguas de Ceuta Empresa Municipal S.A.</t>
  </si>
  <si>
    <t>Ceuta</t>
  </si>
  <si>
    <t>Providing water and wastewater services to Ciudad de Ceuta</t>
  </si>
  <si>
    <t>http://www.acemsa.es/</t>
  </si>
  <si>
    <t>7157</t>
  </si>
  <si>
    <t>Kuopio Water</t>
  </si>
  <si>
    <t>Kuopio</t>
  </si>
  <si>
    <t>Providing water and wastewater services in the city of Kuopio and in other 5 surrounding urban areas</t>
  </si>
  <si>
    <t>https://www.kuopio.fi/en/vesien-tila</t>
  </si>
  <si>
    <t>4823</t>
  </si>
  <si>
    <t>SERVICIOS DE TXINGUDI- TXINGUDIKO ZERBITZUAK, S.A</t>
  </si>
  <si>
    <t>Irun</t>
  </si>
  <si>
    <t>Providing water and wastewater services to Irun and Hondarribia</t>
  </si>
  <si>
    <t>https://www.txinzer.eus/</t>
  </si>
  <si>
    <t>4816</t>
  </si>
  <si>
    <t>UTE Guadalagua</t>
  </si>
  <si>
    <t>Guadalajara</t>
  </si>
  <si>
    <t>Providing water and wastewater services to Guadalajara</t>
  </si>
  <si>
    <t>Valoriza Agua, S.L. Sociedad Unipersonal   / Rayet Medio Ambiente, S.L. U.T.E.</t>
  </si>
  <si>
    <t>http://www.uteguadalagua.es</t>
  </si>
  <si>
    <t>3153</t>
  </si>
  <si>
    <t>Association of municipalities Portes de l'Isère</t>
  </si>
  <si>
    <t>L'Isle d'Abeau</t>
  </si>
  <si>
    <t>SEMIDAO/ SDEI (Suez Environnement)</t>
  </si>
  <si>
    <t>https://capi-agglo.fr/</t>
  </si>
  <si>
    <t>4810</t>
  </si>
  <si>
    <t>Aguas de Telde G.I.S Agbar</t>
  </si>
  <si>
    <t>Telde</t>
  </si>
  <si>
    <t>Providing water and wastewater services to Telde, Valsequillo de Gran Canaria and Gran Canaria Airport</t>
  </si>
  <si>
    <t>Aguas de Barcelona (49%) [via wholly owned subsidary Canaragua] / Other shareholders (51%)</t>
  </si>
  <si>
    <t>http://www.aguastelde.com</t>
  </si>
  <si>
    <t>3143</t>
  </si>
  <si>
    <t>Association of municipalities Agen - Municipal management</t>
  </si>
  <si>
    <t>Providing water and wastewater services to 29 municipalities</t>
  </si>
  <si>
    <t>3958</t>
  </si>
  <si>
    <t>Gran Sasso Acqua S.p.A.</t>
  </si>
  <si>
    <t>L'Aquila</t>
  </si>
  <si>
    <t>Providing water and wastewater services to 30 municipalities in the ATO Aquilano.</t>
  </si>
  <si>
    <t>http://www.gransassoacqua.it/</t>
  </si>
  <si>
    <t>4817</t>
  </si>
  <si>
    <t>Servicio de agua y alcantarillado de la ciudad de Toledo</t>
  </si>
  <si>
    <t>Toledo</t>
  </si>
  <si>
    <t>Providing water and wastewater services to City of Toledo</t>
  </si>
  <si>
    <t>FACSA   / ADC</t>
  </si>
  <si>
    <t>https://www.toledo.es/servicios-municipales/sspp-y-sostenibilidad/agua-y-saneamiento/</t>
  </si>
  <si>
    <t>3150</t>
  </si>
  <si>
    <t>Association of municipalities Bourges Plus</t>
  </si>
  <si>
    <t>Cher</t>
  </si>
  <si>
    <t>Bourges</t>
  </si>
  <si>
    <t>Providing 14 municipalities with drinking water services. The utility also provides 14 municipalities with wastewater services</t>
  </si>
  <si>
    <t>http://www.agglo-bourgesplus.fr/</t>
  </si>
  <si>
    <t>3149</t>
  </si>
  <si>
    <t>Association of municipalities Belfortaine</t>
  </si>
  <si>
    <t>Territoire de Belfort</t>
  </si>
  <si>
    <t>Belfort</t>
  </si>
  <si>
    <t>Providing 33 municipalities with drinking water services. The utility also provides 53 municipalities with wastewater services</t>
  </si>
  <si>
    <t>http://www.agglo-belfort.com/</t>
  </si>
  <si>
    <t>7198</t>
  </si>
  <si>
    <t>Eskilstuna Energi och Miljö</t>
  </si>
  <si>
    <t>Eskiltuna</t>
  </si>
  <si>
    <t>Providing water and wastewater services in Eskilstuna region</t>
  </si>
  <si>
    <t>http://www.eem.se</t>
  </si>
  <si>
    <t>3147</t>
  </si>
  <si>
    <t>Syndicat d'Agglomération Nouvelle de Sénart Ville Nouvelle</t>
  </si>
  <si>
    <t>Sénart Lieusaint</t>
  </si>
  <si>
    <t>Providing water and wastewater services to 8 municipalities</t>
  </si>
  <si>
    <t>Eaux de Sénart, subsidiary of Lyonnaise des Eaux (Suez Environnement)</t>
  </si>
  <si>
    <t>7200</t>
  </si>
  <si>
    <t>BlueKolding A/S</t>
  </si>
  <si>
    <t>Kolding</t>
  </si>
  <si>
    <t>Providing wastewater services in the municipality of Kolding</t>
  </si>
  <si>
    <t>http://bluekolding.dk</t>
  </si>
  <si>
    <t>4820</t>
  </si>
  <si>
    <t>Aquona - Palencia</t>
  </si>
  <si>
    <t>Palencia</t>
  </si>
  <si>
    <t>Providing water and wastewater services to City of Palencia</t>
  </si>
  <si>
    <t>Aguas de Barcelona [via wholly owned subsidary Aquona]</t>
  </si>
  <si>
    <t>https://www.aquona-sa.es</t>
  </si>
  <si>
    <t>7210</t>
  </si>
  <si>
    <t>S.C. Gospodarire Comunala S.A. SF. Gheorghe</t>
  </si>
  <si>
    <t>Sfântu Gheorghe</t>
  </si>
  <si>
    <t>Providing water and wastewater services to Covasna County</t>
  </si>
  <si>
    <t>http://www.apacov.ro/</t>
  </si>
  <si>
    <t>26065</t>
  </si>
  <si>
    <t>CA Le Grand Chalon</t>
  </si>
  <si>
    <t>Saône-et-Loire</t>
  </si>
  <si>
    <t>Chalon-sur-Saône</t>
  </si>
  <si>
    <t>Providing 34 municipalities with drinking water services, 2 by delegated management. The utility also provides 51 municipality with wastewater services, 7 by delegated management</t>
  </si>
  <si>
    <t>http://www.legrandchalon.fr/</t>
  </si>
  <si>
    <t>7206</t>
  </si>
  <si>
    <t>ARA Region Biel AG</t>
  </si>
  <si>
    <t>Biel</t>
  </si>
  <si>
    <t>Providing wastewater services to Biel and 14 other municipalities in the Canton of Bern.</t>
  </si>
  <si>
    <t>http://www.mueve.ch/de/ara/</t>
  </si>
  <si>
    <t>7207</t>
  </si>
  <si>
    <t>Gästrike Vatten AB</t>
  </si>
  <si>
    <t>Gävle</t>
  </si>
  <si>
    <t>Providing water and wastewater services in the municipalities of Gävle, Hofors, Ockelbo and Älvkarleby</t>
  </si>
  <si>
    <t>http://www.gastrikevatten.se</t>
  </si>
  <si>
    <t>7208</t>
  </si>
  <si>
    <t>HS Water</t>
  </si>
  <si>
    <t>Hämeenlinna</t>
  </si>
  <si>
    <t>Providing water and wastewater services in the areas of Hämeenlinnan, Hattulan and Akaan</t>
  </si>
  <si>
    <t>http://www.hsvesi.fi</t>
  </si>
  <si>
    <t>3363</t>
  </si>
  <si>
    <t>Stadtwerke Dessau</t>
  </si>
  <si>
    <t>Dessau-Roßlau</t>
  </si>
  <si>
    <t>Providing water and wastewater services to Dessau</t>
  </si>
  <si>
    <t>https://www.dvv-dessau.de/</t>
  </si>
  <si>
    <t>https://sessionnet.dessau.de/bi/suchen01.asp</t>
  </si>
  <si>
    <t>3519</t>
  </si>
  <si>
    <t>Städtische Betriebe Minden</t>
  </si>
  <si>
    <t>Minden</t>
  </si>
  <si>
    <t>Providing wastewater services to Minden</t>
  </si>
  <si>
    <t>http://www.minden.de/internet/page.php?typ=2&amp;site=7000101</t>
  </si>
  <si>
    <t>pp. 84-92 (&amp; then descriptions til pg 96)</t>
  </si>
  <si>
    <t>https://minden.ratsinfomanagement.net/sdnetrim/UGhVM0hpd2NXNFdFcExjZSIQwghpIMXvYFpQ1b6yeEv-FSK3_9KTZF5EVNOFuIxg/Wirtschaftsplanentwurf_2026.pdf</t>
  </si>
  <si>
    <t>https://minden.ratsinfomanagement.net/tops/?__=UGhVM0hpd2NXNFdFcExjZa5XoCSxjmZk3nJz5atzHJU</t>
  </si>
  <si>
    <t>7384</t>
  </si>
  <si>
    <t>Energi Viborg A/S</t>
  </si>
  <si>
    <t>Viborg</t>
  </si>
  <si>
    <t>Providing water and wastewater services in the city of Viborg</t>
  </si>
  <si>
    <t>http://www.energiviborg.dk</t>
  </si>
  <si>
    <t>7120</t>
  </si>
  <si>
    <t>Oravská vodárenská spoločnosť, a.s.</t>
  </si>
  <si>
    <t>Dolny Hubin</t>
  </si>
  <si>
    <t>Providing water and wastewater services to Districs of Namestovo, Donly Kubin and Tvrdosin</t>
  </si>
  <si>
    <t>http://www.ovs.sk</t>
  </si>
  <si>
    <t>3959</t>
  </si>
  <si>
    <t>Comune di Varese</t>
  </si>
  <si>
    <t>Providing wastewater services to Wastewater collection in the Varese municipality</t>
  </si>
  <si>
    <t>http://www.comune.varese.it</t>
  </si>
  <si>
    <t>3254</t>
  </si>
  <si>
    <t>Association of municipalities Saint-Omer</t>
  </si>
  <si>
    <t>Longunesse</t>
  </si>
  <si>
    <t>Providing 41 municipalities with drinking water services, 21 by delegated management. The utility also provides 22 municipalities with wastewater services, 20 by delegated management</t>
  </si>
  <si>
    <t>Veolia Eau/ Suez Environnement</t>
  </si>
  <si>
    <t>https://www.ca-pso.fr/</t>
  </si>
  <si>
    <t>4821</t>
  </si>
  <si>
    <t>Chiclana Natural S.A.</t>
  </si>
  <si>
    <t>Providing water and wastewater services to Chiclana de la Frontera</t>
  </si>
  <si>
    <t>http://chiclananatural.com</t>
  </si>
  <si>
    <t>7266</t>
  </si>
  <si>
    <t>Herning Vand A/S</t>
  </si>
  <si>
    <t>Herning</t>
  </si>
  <si>
    <t>Providing water and wastewater services in the city of Herning</t>
  </si>
  <si>
    <t>http://www.herningvand.dk</t>
  </si>
  <si>
    <t>7099</t>
  </si>
  <si>
    <t>Vodovody a kanalizace Mladá Boleslav, a.s.</t>
  </si>
  <si>
    <t>Mladá Boleslav</t>
  </si>
  <si>
    <t>Providing water and wastewater services to Mlada Boleslav region</t>
  </si>
  <si>
    <t>http://www.vakmb.cz/</t>
  </si>
  <si>
    <t>3968</t>
  </si>
  <si>
    <t>Valbe Servizi S.p.A.</t>
  </si>
  <si>
    <t>Mariano Comense</t>
  </si>
  <si>
    <t>Providing wastewater services to Wastewater collection and treatment in 21 municipalities in the province of Como</t>
  </si>
  <si>
    <t>http://www.valbeservizi.it</t>
  </si>
  <si>
    <t>7217</t>
  </si>
  <si>
    <t>Borås Energi och Miljö AB</t>
  </si>
  <si>
    <t>Borås</t>
  </si>
  <si>
    <t>Providing water and wastewater services in the municipalities of Borås, Fristad, Borgstena, Sandhult, Sjömarken, Sandared, Viskafors, Olsfors and Hultafors i Bollebygd</t>
  </si>
  <si>
    <t>http://www.borasem.se</t>
  </si>
  <si>
    <t>4822</t>
  </si>
  <si>
    <t>Ciudad Autonoma de Melilla-Consejeria de Medio Ambiente</t>
  </si>
  <si>
    <t>Melilla</t>
  </si>
  <si>
    <t>Providing water and wastewater services to Autnomous City of Melilla</t>
  </si>
  <si>
    <t>http://www.melilla.es</t>
  </si>
  <si>
    <t>3367</t>
  </si>
  <si>
    <t>Stadtwerke Arnesberg</t>
  </si>
  <si>
    <t>Arnsberg</t>
  </si>
  <si>
    <t>Providing water and wastewater services to Arnsburg, Neheim Hüsten, Bruchhausen Herdringen, Müschede, Wennigloh and Lattenberg</t>
  </si>
  <si>
    <t>http://www.stadtwerke-arnsberg.de/wasserversorgung/wasserversorgung.html</t>
  </si>
  <si>
    <t>Yes but - Kanaele only</t>
  </si>
  <si>
    <t>2024, 2026-2029</t>
  </si>
  <si>
    <t>pp. 29-36</t>
  </si>
  <si>
    <t>https://ratsinfo.arnsberg.de/sdnetrim/UGhVM0hpd2NXNFdFcExjZYvxBDZliM4ZygQt-HgHxTUxTXykDEkGrQD7CkrhcawU/Anlage_2__Wirtschaftsplan_Stadtentwaesserung_2026.pdf</t>
  </si>
  <si>
    <t>Kanaele only</t>
  </si>
  <si>
    <t>https://ratsinfo.arnsberg.de/vorgang/?__=UGhVM0hpd2NXNFdFcExjZU9ffdsDqBy8wWHlp5RhDic</t>
  </si>
  <si>
    <t>7005</t>
  </si>
  <si>
    <t>Przedsiębiorstwo Wodociągów i Kanalizacji Sp.Z.o.o. w Rudzie Śląskiej</t>
  </si>
  <si>
    <t>Ruda  Ślaska</t>
  </si>
  <si>
    <t>Providing water and wastewater services to Ruda Śląska City</t>
  </si>
  <si>
    <t>http://www.pwik.com.pl</t>
  </si>
  <si>
    <t>7218</t>
  </si>
  <si>
    <t>Roslagsvatten AB</t>
  </si>
  <si>
    <t>Åkersberga</t>
  </si>
  <si>
    <t>Providing water and wastewater services in the municipalities of Österåker, Vaxholm, Vallentuna and Knivsta; wastewater service for Täby, Danderyd and Upplands Väsby</t>
  </si>
  <si>
    <t>http://www.roslagsvatten.se</t>
  </si>
  <si>
    <t>3366</t>
  </si>
  <si>
    <t>Stadt Hameln</t>
  </si>
  <si>
    <t>Hameln</t>
  </si>
  <si>
    <t>Providing wastewater services to Hamelin</t>
  </si>
  <si>
    <t>http://www.hameln.de/stadtportal/rathaus/fachbereiche-abteilungen/fb5/wasser.htm</t>
  </si>
  <si>
    <t>7182</t>
  </si>
  <si>
    <t>UMEVA</t>
  </si>
  <si>
    <t>Umeå</t>
  </si>
  <si>
    <t>Providing water and wastewater services in the municipality of Umeå</t>
  </si>
  <si>
    <t>https://vakin.se/</t>
  </si>
  <si>
    <t>3217</t>
  </si>
  <si>
    <t>Association of municipalities of Brive</t>
  </si>
  <si>
    <t>Corrèze</t>
  </si>
  <si>
    <t>Brive la Gaillarde</t>
  </si>
  <si>
    <t>Providing 38 municipalities with drinking water services. The utility also provides 48 municipalities with wastewater services. All its services are operated by delegated management</t>
  </si>
  <si>
    <t>http://www.agglodebrive.fr/</t>
  </si>
  <si>
    <t>3188</t>
  </si>
  <si>
    <t>Association of municipalities Auray-Quiberon "Terre Atlantique"</t>
  </si>
  <si>
    <t>Plouharnel</t>
  </si>
  <si>
    <t>Providing water to 24 municipalities, 8 by delegated management. The utility also provides wastewater services to 24 municipalities, all by delegated management</t>
  </si>
  <si>
    <t>http://www.auray-quiberon.fr</t>
  </si>
  <si>
    <t>3522</t>
  </si>
  <si>
    <t>Providing water and wastewater services to Aalen</t>
  </si>
  <si>
    <t>https://www.sw-aalen.de/</t>
  </si>
  <si>
    <t>pp. 16-24</t>
  </si>
  <si>
    <t>https://www.aalen.sitzung-online.de/public/vo020?2--anlagenHeaderPanel-attachmentsList-0-attachment-link&amp;VOLFDNR=1001950&amp;refresh=false</t>
  </si>
  <si>
    <t>Stadtwerke Greifswald - plan named Abwasserwerk Greifswald (AWG) but fairly clearly the one we need</t>
  </si>
  <si>
    <t>Abwasserwerk Greifswald</t>
  </si>
  <si>
    <t>AWG</t>
  </si>
  <si>
    <t>Greifswald</t>
  </si>
  <si>
    <t>Providing water and wastewater services to Greifswald</t>
  </si>
  <si>
    <t>http://www.sw-greifswald.de</t>
  </si>
  <si>
    <t>pp. 31-54</t>
  </si>
  <si>
    <t>https://greifswald.sitzung-mv.de/public/vo020?3--anlagenHeaderPanel-attachmentsList-0-attachment-link&amp;VOLFDNR=1117078&amp;refresh=false</t>
  </si>
  <si>
    <t>https://greifswald.sitzung-mv.de/public/vo020?VOLFDNR=1117078&amp;refresh=false</t>
  </si>
  <si>
    <t>7193</t>
  </si>
  <si>
    <t>CHEVAK</t>
  </si>
  <si>
    <t>Karlovy Vary Region</t>
  </si>
  <si>
    <t>Cheb</t>
  </si>
  <si>
    <t>Provides water supply and sewerage services to customers in the Czech Republic, Gelsenwasser has a 28.16% stake in the company.</t>
  </si>
  <si>
    <t xml:space="preserve">Accolade Holding s.r.o.	28.16% / City of Cheb	17.29% / City of Mariánské Lázně	14.78% / City of Aš	10.19% / City of Františkovy Lázně	10.14%
City of Lázně Kynžvart	3.69% / Other	15.75%
</t>
  </si>
  <si>
    <t>http://www.chevak.cz</t>
  </si>
  <si>
    <t>23694</t>
  </si>
  <si>
    <t>Communaute d'Agglomeration du Grand Besançon</t>
  </si>
  <si>
    <t>Besançon</t>
  </si>
  <si>
    <t>Providing 40 municipalities with water and 69 municipalities with wastewater services</t>
  </si>
  <si>
    <t>https://www.grandbesancon.fr/</t>
  </si>
  <si>
    <t>7105</t>
  </si>
  <si>
    <t>S.C. Aquaserv S.A. Tulcea</t>
  </si>
  <si>
    <t>Tulcea</t>
  </si>
  <si>
    <t>Providing water and wastewater services to Tulcea County</t>
  </si>
  <si>
    <t>http://www.aquaservtulcea.ro/</t>
  </si>
  <si>
    <t>3962</t>
  </si>
  <si>
    <t>ASET S.p.A.</t>
  </si>
  <si>
    <t>Fano</t>
  </si>
  <si>
    <t>Providing water and wastewater services in the municipalities of Fano, Mondolfo and Monteporzio (Pesaro and Urbino)</t>
  </si>
  <si>
    <t>http://www.asetservizi.it</t>
  </si>
  <si>
    <t>3144</t>
  </si>
  <si>
    <t>Association of municipalities Agen</t>
  </si>
  <si>
    <t>Providing 31 municipalities with drinking water and wastewater services</t>
  </si>
  <si>
    <t>Veolia Eau   / SAUR   / Lyonnaise des Eaux (Suez Environnement)</t>
  </si>
  <si>
    <t>https://www.agglo-agen.net/</t>
  </si>
  <si>
    <t>7228</t>
  </si>
  <si>
    <t>Kristiansand Water and Sewerage Department</t>
  </si>
  <si>
    <t>Kristiansand</t>
  </si>
  <si>
    <t>Providing water and wastewater services in the municipality of Kristiansand</t>
  </si>
  <si>
    <t>https://www.kristiansand.kommune.no/</t>
  </si>
  <si>
    <t>7058</t>
  </si>
  <si>
    <t>S.C. Aparegio Gorj S.A. TG. Jiu</t>
  </si>
  <si>
    <t>Târgu Jiu</t>
  </si>
  <si>
    <t>Providing water and wastewater services to Gorj County</t>
  </si>
  <si>
    <t>http://www.aparegio.ro</t>
  </si>
  <si>
    <t>3156</t>
  </si>
  <si>
    <t>Association of municipalities Creusot-Montceau</t>
  </si>
  <si>
    <t>Le Creusot</t>
  </si>
  <si>
    <t>Providing 29 municipalities with drinking water services. The utility also provides 29 municipalities with wastewater services</t>
  </si>
  <si>
    <t>https://www.creusot-montceau.org/</t>
  </si>
  <si>
    <t>3185</t>
  </si>
  <si>
    <t>Association of municipalities Annemasse Agglo</t>
  </si>
  <si>
    <t>Ville-la-Grand</t>
  </si>
  <si>
    <t>Providing 12 municipalities with drinking water services. The utility also provides 12 municipalities with wastewater services</t>
  </si>
  <si>
    <t>http://www.annemasse-agglo.fr</t>
  </si>
  <si>
    <t>7076</t>
  </si>
  <si>
    <t>Smolyan ViK</t>
  </si>
  <si>
    <t>Smolyan</t>
  </si>
  <si>
    <t>Providing water and wastewater services to Smolyan region</t>
  </si>
  <si>
    <t>https://www.vik-smolyan.com</t>
  </si>
  <si>
    <t>3963</t>
  </si>
  <si>
    <t>EmiliAmbiente S.p.A.</t>
  </si>
  <si>
    <t>Parma</t>
  </si>
  <si>
    <t>Providing water and wastewater services in 11 Municipalities of Parma</t>
  </si>
  <si>
    <t>http://www.emiliambiente.it</t>
  </si>
  <si>
    <t>3207</t>
  </si>
  <si>
    <t>Association of municipalities du Pays de Gex</t>
  </si>
  <si>
    <t>Ain</t>
  </si>
  <si>
    <t>Gex</t>
  </si>
  <si>
    <t>Providing 27 municipalities with drinking water services. The utility also provides 27 municipalities with wastewater services</t>
  </si>
  <si>
    <t>SOGEDO for DW/ Lyonnaise des Eaux (Suez Environnement) for WW</t>
  </si>
  <si>
    <t>https://www.paysdegexagglo.fr</t>
  </si>
  <si>
    <t>3422</t>
  </si>
  <si>
    <t>Energie und Wasser Potsdam GmbH</t>
  </si>
  <si>
    <t>Potsdam</t>
  </si>
  <si>
    <t>Providing water and wastewater services to Potsdam</t>
  </si>
  <si>
    <t>Stadtwerke Potsdam GmbH (65%) / E.DIS AG (35%) [E.ON Beteiligungen GmbH (65.5%) - E.ON Sverige AB (1.5%) - Towns in Brandenburg and Mecklenburg-Vorpommern (33.0%)]</t>
  </si>
  <si>
    <t>http://www.swp-potsdam.de/swp/de/wasser/home-ewpw.php</t>
  </si>
  <si>
    <t>3566</t>
  </si>
  <si>
    <t>TBR-Technische Betriebe Rheine</t>
  </si>
  <si>
    <t>Technische Betriebe Rheine</t>
  </si>
  <si>
    <t>TBR</t>
  </si>
  <si>
    <t>Rheine</t>
  </si>
  <si>
    <t>Providing wastewater services to Rheine</t>
  </si>
  <si>
    <t>http://www.tbrheine.de/index.php?option=com_content&amp;view=article&amp;id=76&amp;Itemid=99&amp;showall=1</t>
  </si>
  <si>
    <t>https://www.rheine-buergerinfo.de/getfile.asp?id=232181&amp;type=do</t>
  </si>
  <si>
    <t>NB - a lot cut out!</t>
  </si>
  <si>
    <t>https://www.rheine-buergerinfo.de/to0050.asp?__ktonr=101069</t>
  </si>
  <si>
    <t>3194</t>
  </si>
  <si>
    <t>CA Paris-Vallée de la Marne</t>
  </si>
  <si>
    <t>Chelles</t>
  </si>
  <si>
    <t>Providing water services to 6 municipalities. The utility also provides wastewater services to 12 municipalities. All its services are operated by delegated management</t>
  </si>
  <si>
    <t>Nantaise des Eaux (Subsidiary of Gelsenwasser)</t>
  </si>
  <si>
    <t>https://www.agglo-pvm.fr/</t>
  </si>
  <si>
    <t>3164</t>
  </si>
  <si>
    <t>Association of municipalities de Cherbourg</t>
  </si>
  <si>
    <t>Cherbourg-Octeville</t>
  </si>
  <si>
    <t>Providing water and wastewater services to 5 municipalities</t>
  </si>
  <si>
    <t>3261</t>
  </si>
  <si>
    <t>Association of municipalities Arles-Crau-Camargue-Montagnette</t>
  </si>
  <si>
    <t>Arles</t>
  </si>
  <si>
    <t>Providing 6 municipalities with drinking water services, 6 by delegated management. The utility also provides 5 municipalities with wastewater services. All its services are operated by delegated management</t>
  </si>
  <si>
    <t>Compagnie des Eaux et de l'Ozone (Veolia Water)</t>
  </si>
  <si>
    <t>http://www.agglo-accm.fr/</t>
  </si>
  <si>
    <t>7204</t>
  </si>
  <si>
    <t>Pori Water</t>
  </si>
  <si>
    <t>Pori</t>
  </si>
  <si>
    <t>Providing water and wastewater services in the city of Pori</t>
  </si>
  <si>
    <t>https://www.pori.fi/porinvesi</t>
  </si>
  <si>
    <t>4825</t>
  </si>
  <si>
    <t>Aigües de Manresa</t>
  </si>
  <si>
    <t>Manresa</t>
  </si>
  <si>
    <t>Providing water and wastewater services to City of Manresa and a few small adjecent municipalities</t>
  </si>
  <si>
    <t>http://www.aiguesmanresa.cat/</t>
  </si>
  <si>
    <t>3248</t>
  </si>
  <si>
    <t>Syndicat Intercommunal à Vocation Multiple Barousse-Comminges-Save</t>
  </si>
  <si>
    <t>Haute-Garonne</t>
  </si>
  <si>
    <t>Villeneuve-de-Rivière</t>
  </si>
  <si>
    <t>Providing 248 municipalities with drinking water services. The utility also provides 197 municipalities with wastewater services. All its services are operated by delegated management</t>
  </si>
  <si>
    <t>http://www.eau-barousse.com/</t>
  </si>
  <si>
    <t>3173</t>
  </si>
  <si>
    <t>Association of municipalities Grand Evreux</t>
  </si>
  <si>
    <t>Eure</t>
  </si>
  <si>
    <t>Évreux</t>
  </si>
  <si>
    <t>Providing 71 municipalities with drinking water services, 1 by delegated management. The utility also provides 26 municipalities with wastewater services, 3 by delegated management</t>
  </si>
  <si>
    <t>http://www.le-gea.fr/</t>
  </si>
  <si>
    <t>3183</t>
  </si>
  <si>
    <t>Association of municipalities Pays Ajaccien</t>
  </si>
  <si>
    <t>Corsica</t>
  </si>
  <si>
    <t>Ajaccio</t>
  </si>
  <si>
    <t>Providing 10 municipalities with drinking water services. The utility also provides 9 municipalities with wastewater services</t>
  </si>
  <si>
    <t>http://www.ca-ajaccien.fr</t>
  </si>
  <si>
    <t>4827</t>
  </si>
  <si>
    <t>Servicio municipal de aguas de Rubi</t>
  </si>
  <si>
    <t>Rubí</t>
  </si>
  <si>
    <t>Providing water and wastewater services to Municipality of Rubi</t>
  </si>
  <si>
    <t>Sorea (100%)</t>
  </si>
  <si>
    <t>http://www.sorea.es</t>
  </si>
  <si>
    <t>3176</t>
  </si>
  <si>
    <t>Syndicat du Val de Loire</t>
  </si>
  <si>
    <t>Providing 46 municipalities with water and wastewater services, all by delegated management</t>
  </si>
  <si>
    <t>http://www.svl79.fr/</t>
  </si>
  <si>
    <t>3180</t>
  </si>
  <si>
    <t>Association of municipalities Pays Voironnais</t>
  </si>
  <si>
    <t>Voiron</t>
  </si>
  <si>
    <t>Providing 21 municipalities with drinking water services. The utility also provides 32 municipalities with wastewater services</t>
  </si>
  <si>
    <t>http://www.paysvoironnais.com/</t>
  </si>
  <si>
    <t>3391</t>
  </si>
  <si>
    <t>Stadtwerke Gummersbach</t>
  </si>
  <si>
    <t>Gummersbach City Works</t>
  </si>
  <si>
    <t>SW Gummersbach</t>
  </si>
  <si>
    <t>Gummersbach</t>
  </si>
  <si>
    <t>Providing water and wastewater services to Gummersbach</t>
  </si>
  <si>
    <t>http://www.stadtwerke-gm.de</t>
  </si>
  <si>
    <t>pp. 26-32</t>
  </si>
  <si>
    <t>https://ratsinfo.gummersbach.de/bi/getfile.php?id=5240768&amp;type=do</t>
  </si>
  <si>
    <t>https://ratsinfo.gummersbach.de/bi/vo0050.php?__kvonr=6381</t>
  </si>
  <si>
    <t>3965</t>
  </si>
  <si>
    <t>Comune di Como</t>
  </si>
  <si>
    <t>Como</t>
  </si>
  <si>
    <t>Providing wastewater services to Wastewater collection in the Como municipality and other 16 municipalities</t>
  </si>
  <si>
    <t>http://www.comune.como.it</t>
  </si>
  <si>
    <t>26078</t>
  </si>
  <si>
    <t>CASBT</t>
  </si>
  <si>
    <t>Capesterre-Belle-Eau</t>
  </si>
  <si>
    <t>Providing 11 municipality with drinking water services, 3 by delegated management. The utility also provides 11 municipality with wastewater services, 2 by delegated management</t>
  </si>
  <si>
    <t>http://www.casbt.incom-sa.fr/</t>
  </si>
  <si>
    <t>3966</t>
  </si>
  <si>
    <t>Atena Trading SRL</t>
  </si>
  <si>
    <t>Providing water and wastewater services in 12 municipalities in the ATO Biellese, Vercellese</t>
  </si>
  <si>
    <t>Gruppo Iren (40%) [via Iren Acqua Gas SpA] / Comune di Vercelli (60%)</t>
  </si>
  <si>
    <t>http://www.atenalucegas.it/</t>
  </si>
  <si>
    <t>3370</t>
  </si>
  <si>
    <t>Stadtentwässerungsbetrieb Lüdenscheid - AöR</t>
  </si>
  <si>
    <t>Lüdenscheid</t>
  </si>
  <si>
    <t>Providing wastewater services to Lüdenscheid</t>
  </si>
  <si>
    <t>https://www.selh.de/</t>
  </si>
  <si>
    <t>No - FORBIDDEN</t>
  </si>
  <si>
    <t>3189</t>
  </si>
  <si>
    <t>Association of municipalities Pays d'Aubagne et de l'Etoile</t>
  </si>
  <si>
    <t>Aubagne</t>
  </si>
  <si>
    <t>Providing water services to 6 municipalities, 5 by delegated management. It also supplies and wastewater services to 12 municipalities, all by delegated management</t>
  </si>
  <si>
    <t>http://paysdaubagne.fr/</t>
  </si>
  <si>
    <t>3175</t>
  </si>
  <si>
    <t>Association of municipalities of Mantes-en-Yvelines</t>
  </si>
  <si>
    <t>Magnanville</t>
  </si>
  <si>
    <t>Providing 21 municipalities with wastewater services, 3 by delegated management</t>
  </si>
  <si>
    <t>Generale des Eaux (Veolia Eau)/ Lyonnaise des Eaux (Suez Environnement)/ SAUR</t>
  </si>
  <si>
    <t>http://www.mantesenyvelines.fr/</t>
  </si>
  <si>
    <t>8091</t>
  </si>
  <si>
    <t>Águas da Serra</t>
  </si>
  <si>
    <t>Castelo Branco</t>
  </si>
  <si>
    <t>Covilhã</t>
  </si>
  <si>
    <t>Providing bulk water services to the city of Covilhã</t>
  </si>
  <si>
    <t>AGS,SA (100%)</t>
  </si>
  <si>
    <t>http://www.aguasdaserra.pt/</t>
  </si>
  <si>
    <t>4819</t>
  </si>
  <si>
    <t>Aguas de Aviles</t>
  </si>
  <si>
    <t>Aviles</t>
  </si>
  <si>
    <t>Providing water services to Aviles</t>
  </si>
  <si>
    <t>Ayuntamiento de Avilés (51%)  / Aguas de Barcelona (49%) [via wholly owned subsidary Asturagua]</t>
  </si>
  <si>
    <t>http://www.aguasdeaviles.es/</t>
  </si>
  <si>
    <t>7091</t>
  </si>
  <si>
    <t>CM de Barreiro</t>
  </si>
  <si>
    <t>Barreiro</t>
  </si>
  <si>
    <t>Providing water and wastewater services to County of Barreiro</t>
  </si>
  <si>
    <t>https://www.cm-barreiro.pt/pages/1313</t>
  </si>
  <si>
    <t>3967</t>
  </si>
  <si>
    <t>Acquambiente Marche S.r.l.</t>
  </si>
  <si>
    <t>Castelfidardo</t>
  </si>
  <si>
    <t>Providing water and wastewater services in 4 municipalities in the province of Ancona. Provides also bulk water to Astea S.p.A., Apm S.r.l. and Multiservizi S.p.A.</t>
  </si>
  <si>
    <t>http://www.acquambientemarche.it</t>
  </si>
  <si>
    <t>3165</t>
  </si>
  <si>
    <t>Association of municipalities of Douaisis</t>
  </si>
  <si>
    <t>Douai</t>
  </si>
  <si>
    <t>Providing water services to 8 municipalities and wastewater services to 26 municipalities</t>
  </si>
  <si>
    <t>Société des Eaux de Douai (Veolia Eau)/ SADE (Veolia Eau)</t>
  </si>
  <si>
    <t>http://www.siado.fr/</t>
  </si>
  <si>
    <t>4826</t>
  </si>
  <si>
    <t>Aquona - Ciudad Real</t>
  </si>
  <si>
    <t>Ciudad Real</t>
  </si>
  <si>
    <t>Providing water and wastewater services to Ciudad Real</t>
  </si>
  <si>
    <t>3177</t>
  </si>
  <si>
    <t>Municipality of Laval</t>
  </si>
  <si>
    <t>Mayenne</t>
  </si>
  <si>
    <t>Laval</t>
  </si>
  <si>
    <t>Providing 21 municipalities with drinking water services, 14 by delegated management. The utility also provides 19 municipalities with wastewater services, 8 by delegated management</t>
  </si>
  <si>
    <t>http://www.laval.fr/</t>
  </si>
  <si>
    <t>3187</t>
  </si>
  <si>
    <t>Municipality of Saint-Maur-des-Fossés</t>
  </si>
  <si>
    <t>Saint-Maur-des-Fossés</t>
  </si>
  <si>
    <t>Providing water and wastewater services to 1 municipality</t>
  </si>
  <si>
    <t>3969</t>
  </si>
  <si>
    <t>Servizio Idrico Integrato Comuni Alto Mantovano S.r.l.</t>
  </si>
  <si>
    <t>Castel Goffredo</t>
  </si>
  <si>
    <t>http://www.sisamspa.it</t>
  </si>
  <si>
    <t>7392</t>
  </si>
  <si>
    <t>SMAS de Torres Vedras</t>
  </si>
  <si>
    <t>Torres Vedras</t>
  </si>
  <si>
    <t>Providing water and wastewater services to County of Torres Vedras</t>
  </si>
  <si>
    <t>http://www.smastv.pt/</t>
  </si>
  <si>
    <t>26027</t>
  </si>
  <si>
    <t>Sønderborg Forsyning A/S</t>
  </si>
  <si>
    <t>Sønderborg</t>
  </si>
  <si>
    <t>Providing water and wastewater services to the area around Sønderborg</t>
  </si>
  <si>
    <t>https://sonfor.dk/</t>
  </si>
  <si>
    <t>3330</t>
  </si>
  <si>
    <t>Stadtwerke Ludwigsburg GmbH</t>
  </si>
  <si>
    <t>Providing water and wastewater services to Ludwigsburg and Kornwestheim</t>
  </si>
  <si>
    <t>https://www.swlb.de/startseite</t>
  </si>
  <si>
    <t>pp. 17-40</t>
  </si>
  <si>
    <t>Lots of unnecessary info</t>
  </si>
  <si>
    <t>https://ris.ludwigsburg.de/bi/vo0050.php?__kvonr=1015497</t>
  </si>
  <si>
    <t>3191</t>
  </si>
  <si>
    <t>Syndicat Mixte Roannaise de l'Eau</t>
  </si>
  <si>
    <t>Providing 12 municipalities with water and wastewater services, 1 by delegated management</t>
  </si>
  <si>
    <t>http://www.roannaise-de-leau.fr</t>
  </si>
  <si>
    <t>3970</t>
  </si>
  <si>
    <t>Comune di Ragusa</t>
  </si>
  <si>
    <t>Ragusa</t>
  </si>
  <si>
    <t>Providing water and wastewater services to Water and wastewater service in the municipality of Ragusa</t>
  </si>
  <si>
    <t>http://www.comune.ragusa.gov.it</t>
  </si>
  <si>
    <t>7248</t>
  </si>
  <si>
    <t>Täby Water and Wastewater Department</t>
  </si>
  <si>
    <t>Täby</t>
  </si>
  <si>
    <t>Providing water and wastewater services in the municipality of Täby</t>
  </si>
  <si>
    <t>http://www.taby.se</t>
  </si>
  <si>
    <t>3201</t>
  </si>
  <si>
    <t>Association of municipalities Forbach-Porte de France</t>
  </si>
  <si>
    <t>Forbach</t>
  </si>
  <si>
    <t>Providing 20 municipalities with drinking water services, all by delegated management. The utility also provides 17 municipalities with wastewater services, 13 by delegated management</t>
  </si>
  <si>
    <t>Compagnie Generale des Eaux (Veolia Eau)</t>
  </si>
  <si>
    <t>http://www.agglo-forbach.fr</t>
  </si>
  <si>
    <t>6549</t>
  </si>
  <si>
    <t>Stockholm Vatten AB</t>
  </si>
  <si>
    <t>Stockholm Vatten och Avfall AB</t>
  </si>
  <si>
    <t>SVOA</t>
  </si>
  <si>
    <t>Stockholm</t>
  </si>
  <si>
    <t>Providing water and wastewater services in the city of Stockholm</t>
  </si>
  <si>
    <t>http://www.stockholmvattenochavfall.se/en</t>
  </si>
  <si>
    <t>15 or 29</t>
  </si>
  <si>
    <t>3971</t>
  </si>
  <si>
    <t>Società Intercomunale Servizi Idrici S.r.l.</t>
  </si>
  <si>
    <t>Providing wastewater services in 31 municipalities in the ATO Cuneese</t>
  </si>
  <si>
    <t>http://www.sisiacque.it</t>
  </si>
  <si>
    <t>7235</t>
  </si>
  <si>
    <t>Galway City Council</t>
  </si>
  <si>
    <t>Providing water and wastewater services to Galway City</t>
  </si>
  <si>
    <t>http://www.galwaycity.ie/</t>
  </si>
  <si>
    <t>3199</t>
  </si>
  <si>
    <t>Association of municipalities Creilloise</t>
  </si>
  <si>
    <t>Creil</t>
  </si>
  <si>
    <t>Providing 11 municipalities with drinking water services, 5 by delegated management. The utility also provides 10 municipalities with wastewater services, all by delegated management</t>
  </si>
  <si>
    <t>https://www.creilsudoise.fr</t>
  </si>
  <si>
    <t>4829</t>
  </si>
  <si>
    <t>Empresa Mixta de Augas del Ferrol</t>
  </si>
  <si>
    <t>Ferrol</t>
  </si>
  <si>
    <t>Providing water and wastewater services to Municipality of Ferrol and 5 other adjacent muncipalities</t>
  </si>
  <si>
    <t>Concello de Ferrol (51%)  / Urbaser SA (49%)</t>
  </si>
  <si>
    <t>http://www.emafesa.com/</t>
  </si>
  <si>
    <t>7254</t>
  </si>
  <si>
    <t>Kyme Water Ltd</t>
  </si>
  <si>
    <t>Kotka</t>
  </si>
  <si>
    <t>Providing water and wastewater services in the areas of Kotkan, Pyhtään and Anjalankosken</t>
  </si>
  <si>
    <t>http://www.kymenvesi.fi</t>
  </si>
  <si>
    <t>26024</t>
  </si>
  <si>
    <t>NK-Forsyning A/S</t>
  </si>
  <si>
    <t>Næstved</t>
  </si>
  <si>
    <t>Providing water and wastewater services to the area around Næstved</t>
  </si>
  <si>
    <t>http://www.nk-forsyning.dk/</t>
  </si>
  <si>
    <t>3973</t>
  </si>
  <si>
    <t>Lamezia Multiservizi S.p.A.</t>
  </si>
  <si>
    <t>Lamezia Terme</t>
  </si>
  <si>
    <t>Providing water and wastewater services in the municipality of Lamezia Terme (Catanzaro)</t>
  </si>
  <si>
    <t>Comune di Lamezia Terme (89.61%) / Other municipalities (10.39%)</t>
  </si>
  <si>
    <t>http://www.lameziamultiservizi.it</t>
  </si>
  <si>
    <t>3946</t>
  </si>
  <si>
    <t>Lura Ambiente S.p.A.</t>
  </si>
  <si>
    <t>Caronno Pertusella</t>
  </si>
  <si>
    <t>Providing water and wastewater service to 9 municipalities in the province of Varese.</t>
  </si>
  <si>
    <t>http://www.lura-ambiente.it</t>
  </si>
  <si>
    <t>8087</t>
  </si>
  <si>
    <t>INDAQUA Oliveira de Azeméis</t>
  </si>
  <si>
    <t>Oliveira de Azeméis</t>
  </si>
  <si>
    <t>Providing water and wastewater services to the city of Oliveira de Azeméis.</t>
  </si>
  <si>
    <t>INDAQUA SA (100%)</t>
  </si>
  <si>
    <t>http://www.indaquaoazemeis.pt/</t>
  </si>
  <si>
    <t>4832</t>
  </si>
  <si>
    <t>SERCOMOSA</t>
  </si>
  <si>
    <t>Providing water and wastewater services to Molina de Segura</t>
  </si>
  <si>
    <t>(51.04%)  / Acciona AS (48.27%)  /  (0.69%)</t>
  </si>
  <si>
    <t>https://www.sercomosa.es/</t>
  </si>
  <si>
    <t>8804</t>
  </si>
  <si>
    <t>Kymen Vesi Oy</t>
  </si>
  <si>
    <t>http://www.kymenvesi.fi/</t>
  </si>
  <si>
    <t>7262</t>
  </si>
  <si>
    <t>Fredrikstad Water and Sewerage Department</t>
  </si>
  <si>
    <t>Fredrikstad</t>
  </si>
  <si>
    <t>Providing water and wastewater services in the municipality of Fredrikstad</t>
  </si>
  <si>
    <t>https://www.fredrikstad.kommune.no/tjenester/Vann-vei-trafikk/vannogavlop/</t>
  </si>
  <si>
    <t>7153</t>
  </si>
  <si>
    <t>S.C. Apa Aries S.A. Turda</t>
  </si>
  <si>
    <t>Turda</t>
  </si>
  <si>
    <t>Providing water and wastewater services to Turda – Câmpia Turzii</t>
  </si>
  <si>
    <t>http://caaries.ro</t>
  </si>
  <si>
    <t>3976</t>
  </si>
  <si>
    <t>Sud Seveso Servizi S.p.A.</t>
  </si>
  <si>
    <t>Carimate</t>
  </si>
  <si>
    <t>Providing wastewater services to Wastewater collection and treatment in 11 municipalities in the province of Como</t>
  </si>
  <si>
    <t>http://www.sudsevesoservizi.it</t>
  </si>
  <si>
    <t>4773</t>
  </si>
  <si>
    <t>Agua y Residuos del Campo de Gibraltar, S.A.</t>
  </si>
  <si>
    <t>Los Barrios</t>
  </si>
  <si>
    <t>Providing water and wastewater services to Association of Municipalities in "Campo de Gibraltar" (Algeciras, La Línea, San Roque, Los Barrios, Tarifa, Jimena and Castellar)</t>
  </si>
  <si>
    <t>http://www.arcgisa.es/</t>
  </si>
  <si>
    <t>4842</t>
  </si>
  <si>
    <t>Servicio Municipal de Aguas de Cuenca</t>
  </si>
  <si>
    <t>Cuenca</t>
  </si>
  <si>
    <t>Providing water and wastewater services to City of Cuenca</t>
  </si>
  <si>
    <t>https://www.aguasdecuenca.es/</t>
  </si>
  <si>
    <t>4831</t>
  </si>
  <si>
    <t>Servicio Municipal de aguas de Sanlúcar de Barrameda</t>
  </si>
  <si>
    <t>Sanlúcar de Barrameda</t>
  </si>
  <si>
    <t>Providing water and wastewater services to Municipality of San Lucar de Barrameda</t>
  </si>
  <si>
    <t>https://www.aqualia.com/es/web/aqualia-sanlucar-de-barrameda</t>
  </si>
  <si>
    <t>7270</t>
  </si>
  <si>
    <t>Växjö Water and Sewerage Department</t>
  </si>
  <si>
    <t>Växjö</t>
  </si>
  <si>
    <t>Providing water and wastewater services in the municipality of Växjö</t>
  </si>
  <si>
    <t>https://www.vaxjo.se/sidor/bygga-och-bo/vatten-och-avlopp.html</t>
  </si>
  <si>
    <t>6988</t>
  </si>
  <si>
    <t>Yambol ViK</t>
  </si>
  <si>
    <t>Yambol</t>
  </si>
  <si>
    <t>Providing water and wastewater services to Yambol region</t>
  </si>
  <si>
    <t>http://www.vik-yambol.com</t>
  </si>
  <si>
    <t>3200</t>
  </si>
  <si>
    <t>Association of municipalities Presqu'Ile de Guérande-Atlantique</t>
  </si>
  <si>
    <t>Guérande</t>
  </si>
  <si>
    <t>Providing 15 municipalities with drinking water services. The utility also provides 15 municipalities with wastewater services</t>
  </si>
  <si>
    <t>Société des Eaux de la Presqu’Ile Guérandaise (SEPIG), subsidiary of Saur</t>
  </si>
  <si>
    <t>http://www.cap-atlantique.fr/</t>
  </si>
  <si>
    <t>3193</t>
  </si>
  <si>
    <t>Association of municipalities Saint-Quentin</t>
  </si>
  <si>
    <t>Saint-Quentin</t>
  </si>
  <si>
    <t>Providing 36 municipalities with drinking water services, 12 by delegated management. The utility also provides 37 municipalities with wastewater services, 16 by delegated management</t>
  </si>
  <si>
    <t>https://www.agglo-saintquentinois.fr/</t>
  </si>
  <si>
    <t>7098</t>
  </si>
  <si>
    <t>CM de Loulé</t>
  </si>
  <si>
    <t>Faro</t>
  </si>
  <si>
    <t>Loulé</t>
  </si>
  <si>
    <t>Providing water and wastewater services to County of Loulé</t>
  </si>
  <si>
    <t>http://www.cm-loule.pt/pt/menu/1693/o-setor-da-agua.aspx</t>
  </si>
  <si>
    <t>3322</t>
  </si>
  <si>
    <t>SWK Energie GmbH</t>
  </si>
  <si>
    <t xml:space="preserve">Kommunalbetrieb Krefeld </t>
  </si>
  <si>
    <t>KBK</t>
  </si>
  <si>
    <t>Krefeld</t>
  </si>
  <si>
    <t>Providing water and wastewater services to Krefeld and the surrounding region</t>
  </si>
  <si>
    <t>City of Krefeld (100%)</t>
  </si>
  <si>
    <t>http://www.swk.de/privatkunden/wasser/trinkwasser.html</t>
  </si>
  <si>
    <t>pp. 34-38</t>
  </si>
  <si>
    <t>https://ris.krefeld.de/sdnetrim/UGhVM0hpd2NXNFdFcExjZfUFCE-TTFW6yBBnVWqkYY73xJVFzODrHuotK7QZiZxC/230911_ABK_Teil1_ohne_UEB_WZ.pdf</t>
  </si>
  <si>
    <t>https://ris.krefeld.de/vorgang/?__=UGhVM0hpd2NXNFdFcExjZU72xksX1kJ9yapPIKs1pP8</t>
  </si>
  <si>
    <t>Art der Massnahme &amp; Umsetzungszustand p. 34</t>
  </si>
  <si>
    <t>7090</t>
  </si>
  <si>
    <t>Vodovody a kanalizace Břeclav, a. s.</t>
  </si>
  <si>
    <t>Breclav</t>
  </si>
  <si>
    <t>Providing water and wastewater services to Breclav region</t>
  </si>
  <si>
    <t>http://www.vak-bv.cz/</t>
  </si>
  <si>
    <t>7305</t>
  </si>
  <si>
    <t>INDAQUA Vila do Conde</t>
  </si>
  <si>
    <t>Vila do Conde</t>
  </si>
  <si>
    <t>Providing water and wastewater services to Concelho de Vila do Conde.</t>
  </si>
  <si>
    <t>http://www.indaquavconde.pt/pt/</t>
  </si>
  <si>
    <t>7246</t>
  </si>
  <si>
    <t>S.C. Apa Service S.A. Giurgiu</t>
  </si>
  <si>
    <t>Giurgiu</t>
  </si>
  <si>
    <t>Providing water and wastewater services to Giurgiu, Slobozia, Bolintin Vale and Mihailesti city</t>
  </si>
  <si>
    <t>http://apagiurgiu.ro/</t>
  </si>
  <si>
    <t>3567</t>
  </si>
  <si>
    <t>Technische Betriebe Dormagen AöR</t>
  </si>
  <si>
    <t>Technische Betriebe Dormagen</t>
  </si>
  <si>
    <t>Dormagen</t>
  </si>
  <si>
    <t>Providing wastewater services to Dormagen</t>
  </si>
  <si>
    <t>http://www.dormagen.de/133.html?&amp;cHash=fdc59bffbd&amp;tx_civserv_pi1[community_id]=1110000&amp;tx_civserv_pi1[id]=120&amp;tx_civserv_pi1[mode]=organisation</t>
  </si>
  <si>
    <t>pp. 4-6</t>
  </si>
  <si>
    <t>https://www.buergerinfo.dormagen.de/getfile.php?id=202879&amp;type=do</t>
  </si>
  <si>
    <t>https://www.buergerinfo.dormagen.de/vo0050.php?__kvonr=13409</t>
  </si>
  <si>
    <t>DESCRIPTIONS pp. 7-9</t>
  </si>
  <si>
    <t>4792</t>
  </si>
  <si>
    <t>Aguas y Saneamiento de Torremolinos SA</t>
  </si>
  <si>
    <t>Torremolinos</t>
  </si>
  <si>
    <t>Providing water and wastewater services to Municipality of Torremolinos</t>
  </si>
  <si>
    <t>Ayuntamiento de Torremolinos (5%)  / Hidralia, Gestión Integral de Aguas de Andalucía, SA (95%)</t>
  </si>
  <si>
    <t>https://www.aguasdetorremolinos.es/</t>
  </si>
  <si>
    <t>4834</t>
  </si>
  <si>
    <t>Empresa Municipal de Aguas de Benalmádena</t>
  </si>
  <si>
    <t>Benalmádena</t>
  </si>
  <si>
    <t>Providing water and wastewater services to Municipality of Benalmadena</t>
  </si>
  <si>
    <t>http://www.emabesa.es/</t>
  </si>
  <si>
    <t>10952</t>
  </si>
  <si>
    <t>Przedsiębiorstwo Wodociągów i Kanalizacji w Głogówie.</t>
  </si>
  <si>
    <t>Silesia</t>
  </si>
  <si>
    <t>Glogowie</t>
  </si>
  <si>
    <t>Water and wastewater utility serving the town of Głogowie, Poland. The company also offers network construction, leak detection, and other specialist utility services.</t>
  </si>
  <si>
    <t>Municipality of Głogów (50.7%)  / Gelsenwasser AG (46%)  / Voivodeship Fund for Environmental Protection and Water Management in Wrocław (3.3%)</t>
  </si>
  <si>
    <t>https://www.pwik.glogow.pl/</t>
  </si>
  <si>
    <t>7371</t>
  </si>
  <si>
    <t>SK Service A/S</t>
  </si>
  <si>
    <t>Korsør</t>
  </si>
  <si>
    <t>Providing water and wastewater services in the area of Slagelse</t>
  </si>
  <si>
    <t>http://www.skforsyning.dk</t>
  </si>
  <si>
    <t>3212</t>
  </si>
  <si>
    <t>Association of municipalities Pays de Martigues</t>
  </si>
  <si>
    <t>Martigues</t>
  </si>
  <si>
    <t>Providing 3 municipalities with drinking water services. The utility also provides 3 municipalities with wastewater services</t>
  </si>
  <si>
    <t>http://www.paysdemartigues.fr/</t>
  </si>
  <si>
    <t>26050</t>
  </si>
  <si>
    <t>CA Seine-Eure</t>
  </si>
  <si>
    <t>Louviers</t>
  </si>
  <si>
    <t>Providing 35 municipalities with drinking water services, all by delegated management. The utility also provides 25 municipalities with wastewater services</t>
  </si>
  <si>
    <t>https://www.agglo-seine-eure.fr/</t>
  </si>
  <si>
    <t>7423</t>
  </si>
  <si>
    <t>SMSB de Viana do Castelo</t>
  </si>
  <si>
    <t>Viana do Castelo</t>
  </si>
  <si>
    <t>Providing water and wastewater services to County of Viana do Castelo</t>
  </si>
  <si>
    <t>http://www.smsbvc.pt/</t>
  </si>
  <si>
    <t>26089</t>
  </si>
  <si>
    <t>CA Saint-Lô</t>
  </si>
  <si>
    <t>Saint-Lô</t>
  </si>
  <si>
    <t>Providing 53 municipalities with drinking water services, 31 by delegated management. The utility also provides 38 municipalities with wastewater services, 16 by delegated management</t>
  </si>
  <si>
    <t>http://www.saint-lo-agglo.fr/</t>
  </si>
  <si>
    <t>7282</t>
  </si>
  <si>
    <t>Vaasa Water</t>
  </si>
  <si>
    <t>Vaasa</t>
  </si>
  <si>
    <t>Providing water and wastewater services in the areas of Vaasan, Vähäänkyröön and Mustasaareen</t>
  </si>
  <si>
    <t>http://www.vaasanvesi.fi</t>
  </si>
  <si>
    <t>26098</t>
  </si>
  <si>
    <t>ARC</t>
  </si>
  <si>
    <t>Compiegne</t>
  </si>
  <si>
    <t>Providing 17 municipalities with drinking water services, 16 by delegated management. The utility also provides 21 municipality with wastewater services, all by delegated management</t>
  </si>
  <si>
    <t>https://www.agglo-compiegne.fr/</t>
  </si>
  <si>
    <t>3401</t>
  </si>
  <si>
    <t>Kommunalservice Weimar</t>
  </si>
  <si>
    <t>Weimar</t>
  </si>
  <si>
    <t>Providing wastewater services to Weimar</t>
  </si>
  <si>
    <t>http://ks-weimar.de/ks-weimarde/abwasser/</t>
  </si>
  <si>
    <t>7209</t>
  </si>
  <si>
    <t>Šumperská provozní vodohospodářská společnost, a. s.</t>
  </si>
  <si>
    <t>Šumperk</t>
  </si>
  <si>
    <t>Providing water and wastewater services to Sumperk and surrounding counties in the north-western Moravia</t>
  </si>
  <si>
    <t>Suez</t>
  </si>
  <si>
    <t>http://www.spvs.cz/</t>
  </si>
  <si>
    <t>3405</t>
  </si>
  <si>
    <t>Abwasserverband Stadt Ruesselsheim</t>
  </si>
  <si>
    <t>Rüsselsheim</t>
  </si>
  <si>
    <t>Providing wastewater services to Rüsselsheim and Raunheim</t>
  </si>
  <si>
    <t>http://www.ruesselsheim.de/Abwasserverband.html</t>
  </si>
  <si>
    <t>Yes but - links don't load</t>
  </si>
  <si>
    <t>26097</t>
  </si>
  <si>
    <t>Communauté d'Agglomération des deux Baies En Montreuillois</t>
  </si>
  <si>
    <t>Berck</t>
  </si>
  <si>
    <t>Providing 46 municipalities with drinking water and wastewater services, all by delegated management</t>
  </si>
  <si>
    <t>https://www.ca2bm.fr/</t>
  </si>
  <si>
    <t>4838</t>
  </si>
  <si>
    <t>Aigües de Paterna</t>
  </si>
  <si>
    <t>Paterna</t>
  </si>
  <si>
    <t>Providing water and wastewater services to Paterna</t>
  </si>
  <si>
    <t>Ayuntamiento de Paterna (51%)  / Aguas de Barcelona (49%) [via wholly owned subsidary Hidraqua]</t>
  </si>
  <si>
    <t>http://www.aiguesdepaterna.es/ESP/Home.asp</t>
  </si>
  <si>
    <t>7240</t>
  </si>
  <si>
    <t>FREVAR KF - Fredrikstad water, sewerage and sanitation</t>
  </si>
  <si>
    <t>Providing management of WTP and WWTPs for the municipality of Fredrikstad</t>
  </si>
  <si>
    <t>http://www.frevar.no</t>
  </si>
  <si>
    <t>7289</t>
  </si>
  <si>
    <t>MOVAR IKS</t>
  </si>
  <si>
    <t>Rygge</t>
  </si>
  <si>
    <t>Providing wastewater services in 5 associated municipalities</t>
  </si>
  <si>
    <t>http://www.movar.no</t>
  </si>
  <si>
    <t>3379</t>
  </si>
  <si>
    <t>Neubrandenburger Stadtwerke GmbH</t>
  </si>
  <si>
    <t>Mecklenburg-Western Pomerania</t>
  </si>
  <si>
    <t>Neubrandenburg</t>
  </si>
  <si>
    <t>Providing water and wastewater services to Neubrandenburger</t>
  </si>
  <si>
    <t>http://www.neu-sw.de/Trinkwasser</t>
  </si>
  <si>
    <t>7162</t>
  </si>
  <si>
    <t>Gabrovo ViK</t>
  </si>
  <si>
    <t>Gabrovo</t>
  </si>
  <si>
    <t>Providing water and wastewater services to Gabrovo, Tryavna and Drianovo Municipalities</t>
  </si>
  <si>
    <t>http://www.vik-gabrovo.com</t>
  </si>
  <si>
    <t>3568</t>
  </si>
  <si>
    <t>Technische Betriebe Velbert AöR</t>
  </si>
  <si>
    <t>Velbert</t>
  </si>
  <si>
    <t>Providing wastewater services to Velbert</t>
  </si>
  <si>
    <t>NB KANAELE ONLY 85213</t>
  </si>
  <si>
    <t>http://www.tbv-velbert.de/homepage/kanal/abk.htm</t>
  </si>
  <si>
    <t>Yes BUT - Kanaele only</t>
  </si>
  <si>
    <t>pp. 43-55</t>
  </si>
  <si>
    <t>https://velbert.ratsinfomanagement.net/sdnetrim/UGhVM0hpd2NXNFdFcExjZVVpzhQjtp56Ln1rbhLWf_Ms-qhIhC6aqvy-D56N4NCj/Wirtschaftsplan_2026.pdf</t>
  </si>
  <si>
    <t>https://velbert.ratsinfomanagement.net/vorgang/?__=UGhVM0hpd2NXNFdFcExjZVfL323zZmbYsFp4BmdRUzA</t>
  </si>
  <si>
    <t>26040</t>
  </si>
  <si>
    <t>Chateauroux Metropole</t>
  </si>
  <si>
    <t>Indre</t>
  </si>
  <si>
    <t>Châteauroux</t>
  </si>
  <si>
    <t>Providing 8 municipalities with drinking water services, all by delegated management. The utility also provides 14 municipalities with wastewater services, 13 by delegated management</t>
  </si>
  <si>
    <t>https://www.chateauroux-metropole.fr/</t>
  </si>
  <si>
    <t>7326</t>
  </si>
  <si>
    <t>Kardzhali ViK</t>
  </si>
  <si>
    <t>Kardzhali</t>
  </si>
  <si>
    <t>Providing water and wastewater services to Kardzhali region</t>
  </si>
  <si>
    <t>http://vik-kardzhali.com</t>
  </si>
  <si>
    <t>26147</t>
  </si>
  <si>
    <t>Apă-Canal Ilfov Pantelimon</t>
  </si>
  <si>
    <t>Ilfov</t>
  </si>
  <si>
    <t>Providing water and wastewater services to Ilfov and the surrounding area</t>
  </si>
  <si>
    <t>https://acilfov.ro</t>
  </si>
  <si>
    <t>3264</t>
  </si>
  <si>
    <t>Association of municipalities of Nevers</t>
  </si>
  <si>
    <t>Nièvre</t>
  </si>
  <si>
    <t>Nevers</t>
  </si>
  <si>
    <t>Providing 13 municipalities with drinking water services, 2 by delegated management. The utility also provides 12 municipalities with wastewater services, all by delegated management</t>
  </si>
  <si>
    <t>Generale des Eaux (Veolia Eau)</t>
  </si>
  <si>
    <t>http://www.agglo-nevers.fr/</t>
  </si>
  <si>
    <t>26048</t>
  </si>
  <si>
    <t>CA Caux Vallée de Seine</t>
  </si>
  <si>
    <t>Bolbec</t>
  </si>
  <si>
    <t>Providing 48 municipalities with drinking water and wastewater services, all by delegated management</t>
  </si>
  <si>
    <t>https://www.cauxseine.fr/</t>
  </si>
  <si>
    <t>11349</t>
  </si>
  <si>
    <t>Technische Werke Emmerich Am Rhein</t>
  </si>
  <si>
    <t>Emmerich am Rhein</t>
  </si>
  <si>
    <t>TWE is a joint venture between the city of Emmerich am Rhein and Gelsenwasser, the company manages the treatment and disposal of municipal and industrial wastewater in the city. The company's treatment plant has a capacity to serve around 200,000 customers, and also produces biogas that can be used in the local power plant.</t>
  </si>
  <si>
    <t>Gelsenwasser AG (49.9%)</t>
  </si>
  <si>
    <t>https://www.twe-emmerich.de/</t>
  </si>
  <si>
    <t>p. 35</t>
  </si>
  <si>
    <t>https://ratsinfo-emmerich.de/sdnetrim/UGhVM0hpd2NXNFdFcExjZW0YEKSEVg-U5WBzjSV5Ec0wUCEuUozUPGc0Z5kmb1Yq/A_1___Wirtschaftsplan_2026-2027.pdf</t>
  </si>
  <si>
    <t>https://ratsinfo-emmerich.de/tops/?__=UGhVM0hpd2NXNFdFcExjZYXxzFa8uYHiVvRjwuzXPNg</t>
  </si>
  <si>
    <t>621</t>
  </si>
  <si>
    <t>Toulouse Métropole</t>
  </si>
  <si>
    <t>City of Toulouse</t>
  </si>
  <si>
    <t>Toulouse</t>
  </si>
  <si>
    <t>Providing 37 municipalities with drinking water and wastewater services</t>
  </si>
  <si>
    <t>Veolia Eau   / Lyonnaise des Eaux (Suez Environnement)   / SAUR   / SMEA</t>
  </si>
  <si>
    <t>http://www.toulouse-metropole.fr</t>
  </si>
  <si>
    <t>2020-2035</t>
  </si>
  <si>
    <t>19.02.2026</t>
  </si>
  <si>
    <t>https://deliberations.toulouse.fr/data/archive/20190708_DELIBERATION_DEL-19-0202.pdf</t>
  </si>
  <si>
    <t>https://deliberations.toulouse.fr/</t>
  </si>
  <si>
    <t>7293</t>
  </si>
  <si>
    <t>Lappeenranta Energy Ltd</t>
  </si>
  <si>
    <t>Lappeenranta</t>
  </si>
  <si>
    <t>Providing water and wastewater services in the city of Lappeenrannan</t>
  </si>
  <si>
    <t>http://www.lappeenrannanenergia.fi</t>
  </si>
  <si>
    <t>26047</t>
  </si>
  <si>
    <t>CA Du Sicoval</t>
  </si>
  <si>
    <t>Ramonville-Saint-Agne</t>
  </si>
  <si>
    <t>Providing 36 municipalities with drinking water and wastewater services</t>
  </si>
  <si>
    <t>https://www.sicoval.fr/</t>
  </si>
  <si>
    <t>7294</t>
  </si>
  <si>
    <t>Drammen Water and Sewerage Department</t>
  </si>
  <si>
    <t>Drammen</t>
  </si>
  <si>
    <t>Providing water and wastewater services in the municipality of Drammen</t>
  </si>
  <si>
    <t>https://www.drammen.kommune.no/vann-og-avlop/vann-og-avlop/</t>
  </si>
  <si>
    <t>3229</t>
  </si>
  <si>
    <t>Syndicat Intercommunal de Besancon-Thise-Chalezeule</t>
  </si>
  <si>
    <t>Providing water and wastewater services to 3 municipalities</t>
  </si>
  <si>
    <t>3977</t>
  </si>
  <si>
    <t>Comune di Vittoria</t>
  </si>
  <si>
    <t>Vittoria</t>
  </si>
  <si>
    <t>Providing water and wastewater services to Water and wastewater service in the municipality of Vittoria (Ragusa)</t>
  </si>
  <si>
    <t>http://www.comunevittoria.gov.it</t>
  </si>
  <si>
    <t>23692</t>
  </si>
  <si>
    <t>Durance Lubéron Verdon Agglomération</t>
  </si>
  <si>
    <t>Alpes-de-Haute-Provence</t>
  </si>
  <si>
    <t>Manosque</t>
  </si>
  <si>
    <t>Providing 25 municipalities with water and 24 municipalities with wastewater services</t>
  </si>
  <si>
    <t>https://www.dlva.fr/</t>
  </si>
  <si>
    <t>3407</t>
  </si>
  <si>
    <t>Abwasserzweckverband Rheinfelden-Schwörstadt</t>
  </si>
  <si>
    <t>Rheinfelden (Baden)</t>
  </si>
  <si>
    <t>Providing wastewater services to Rheinfelden and Schworstadt</t>
  </si>
  <si>
    <t>http://www.klaeranlage-rheinfelden.de/azv.html</t>
  </si>
  <si>
    <t>p. 16</t>
  </si>
  <si>
    <t>https://www.ratsinfo-rheinfelden.de/buergerinfo/getfile.asp?id=94328&amp;type=do</t>
  </si>
  <si>
    <t>NB: SEWERS (&amp; rain overflow containers only)</t>
  </si>
  <si>
    <t>https://www.ratsinfo-rheinfelden.de/buergerinfo/to0050.asp?__ktonr=68349</t>
  </si>
  <si>
    <t>3974</t>
  </si>
  <si>
    <t>Comune di Trapani</t>
  </si>
  <si>
    <t>Trapani</t>
  </si>
  <si>
    <t>Providing water and wastewater services to Water and wastewater service in the municipality of Trapani</t>
  </si>
  <si>
    <t>https://www.comune.trapani.it/servizioidrico/acquedotto-servizio-idrico-integrato/</t>
  </si>
  <si>
    <t>3378</t>
  </si>
  <si>
    <t>FWA Frankfurter Wasser- und Abwassergesellschaft mbH</t>
  </si>
  <si>
    <t>Frankfurt (Oder)</t>
  </si>
  <si>
    <t>Providing water and wastewater services to Frankfurt (Oder)</t>
  </si>
  <si>
    <t>http://www.fwa-ffo.de/fwadocs/index.php</t>
  </si>
  <si>
    <t>7320</t>
  </si>
  <si>
    <t>Seinäjoki Water Corporation</t>
  </si>
  <si>
    <t>Nurmo</t>
  </si>
  <si>
    <t>Providing water and wastewater services in the municipality of Seinäjoki</t>
  </si>
  <si>
    <t>http://www.seinajoenvesi.fi</t>
  </si>
  <si>
    <t>6583</t>
  </si>
  <si>
    <t>Elektrizitätswerk Wels AG</t>
  </si>
  <si>
    <t>Wels</t>
  </si>
  <si>
    <t>Providing water and wastewater services to Wels.</t>
  </si>
  <si>
    <t>http://www.welserwasser.at/</t>
  </si>
  <si>
    <t>26067</t>
  </si>
  <si>
    <t>CA Carcassonne</t>
  </si>
  <si>
    <t>Carcassonne</t>
  </si>
  <si>
    <t>Providing 76 municipalities with drinking water services, 40 by delegated management. The utility also provides 71 municipality with wastewater services, 26 by delegated management</t>
  </si>
  <si>
    <t>https://www.carcassonne-agglo.fr/</t>
  </si>
  <si>
    <t>6954</t>
  </si>
  <si>
    <t>Águas de Mafra</t>
  </si>
  <si>
    <t>Mafra</t>
  </si>
  <si>
    <t>Providing water and wastewater services to County of Mafra</t>
  </si>
  <si>
    <t>https://www.mafra-bewater.com.pt/</t>
  </si>
  <si>
    <t>7211</t>
  </si>
  <si>
    <t>Westmeath County Council</t>
  </si>
  <si>
    <t>Mullingar</t>
  </si>
  <si>
    <t>Providing water and wastewater services to County Westmeath</t>
  </si>
  <si>
    <t>http://www.westmeathcoco.ie/</t>
  </si>
  <si>
    <t>3369</t>
  </si>
  <si>
    <t>Stadtwerke Görlitz</t>
  </si>
  <si>
    <t>Görlitz</t>
  </si>
  <si>
    <t>Municipal utility company providing water, wastewater, electricity, natural gas, and heating services to Görlitz and surrounding districts.</t>
  </si>
  <si>
    <t>Veolia Environnement (74.9%) [via OEWA Wasser und Abwasser GmbH] / City of Görlitz (25.1%)</t>
  </si>
  <si>
    <t>http://www.stadtwerke-goerlitz.de</t>
  </si>
  <si>
    <t>Verbandsgemeindewerke Abwasser Linz am Rhein</t>
  </si>
  <si>
    <t>Linz am Rhein</t>
  </si>
  <si>
    <t>26102</t>
  </si>
  <si>
    <t>Grand Cognac CA</t>
  </si>
  <si>
    <t>Cognac</t>
  </si>
  <si>
    <t>Providing 60 municipalities with drinking water services, 59 by delegated management. The utility also provides 45 municipalities with wastewater services, 12 by delegated management</t>
  </si>
  <si>
    <t>https://www.grand-cognac.fr/</t>
  </si>
  <si>
    <t>26026</t>
  </si>
  <si>
    <t>Skanderborg Forsyningsvirksomhed A/S</t>
  </si>
  <si>
    <t>Skanderborg</t>
  </si>
  <si>
    <t>Providing water and wastewater services to the area around Skanderborg</t>
  </si>
  <si>
    <t>https://www.skanderborgforsyning.dk/</t>
  </si>
  <si>
    <t>3234</t>
  </si>
  <si>
    <t>Municipality of Besancon</t>
  </si>
  <si>
    <t>26094</t>
  </si>
  <si>
    <t>CA Grand Lac</t>
  </si>
  <si>
    <t>Aix-les-Bains</t>
  </si>
  <si>
    <t>Providing 26 municipalities with drinking water services, 8 by delegated management. The utility also provides 28 municipalities with wastewater services, 2 by delegated management</t>
  </si>
  <si>
    <t>https://grand-lac.fr/</t>
  </si>
  <si>
    <t>7310</t>
  </si>
  <si>
    <t>Forsyning Helsingør A/S</t>
  </si>
  <si>
    <t>Helsingør</t>
  </si>
  <si>
    <t>Providing water and wastewater services in the city of Helsingør</t>
  </si>
  <si>
    <t>http://fh.dk</t>
  </si>
  <si>
    <t>7152</t>
  </si>
  <si>
    <t>Przedsiębiorstwo Wodociągów i Kanalizacji Sp. z o.o w Tarnowskich Górach</t>
  </si>
  <si>
    <t>Tarnowskie Góry</t>
  </si>
  <si>
    <t>Providing water and wastewater services to City of Tarnowskie Góry and neighbouring municipalities</t>
  </si>
  <si>
    <t>Veolia Environment (68.6%)  / Gmina Tarnowskie Góry (25.3%)  / Gmina Miasteczko Śląskie (3.1%)  / Employees (3%)</t>
  </si>
  <si>
    <t>http://www.pwik-tg.pl</t>
  </si>
  <si>
    <t>26091</t>
  </si>
  <si>
    <t>CA Arlysere</t>
  </si>
  <si>
    <t>Albertville</t>
  </si>
  <si>
    <t>Providing 37 municipalities with drinking water services, 11 by delegated management. The utility also provides 35 municipalities with wastewater services</t>
  </si>
  <si>
    <t>https://www.arlysere.fr/</t>
  </si>
  <si>
    <t>26092</t>
  </si>
  <si>
    <t>Seine Normandie Agglo</t>
  </si>
  <si>
    <t>Vernon</t>
  </si>
  <si>
    <t>Providing 44 municipalities with drinking water services, 7 by delegated management. The utility also provides 22 municipalities with wastewater services, 19 by delegated management</t>
  </si>
  <si>
    <t>http://www.sna27.fr/</t>
  </si>
  <si>
    <t>26022</t>
  </si>
  <si>
    <t>Fors Holbæk A/S</t>
  </si>
  <si>
    <t>Holbæk</t>
  </si>
  <si>
    <t>Providing water and wastewater services to the area around Holbæk</t>
  </si>
  <si>
    <t>https://www.fors.dk/</t>
  </si>
  <si>
    <t>3237</t>
  </si>
  <si>
    <t>Municipality of La Seyne-Sur-Mer</t>
  </si>
  <si>
    <t>La Seyne-sur-Mer</t>
  </si>
  <si>
    <t>SEERC, subsidiary of Lyonnaise des Eaux (Suez Environnement) for DW   / Veolia Eau for WW</t>
  </si>
  <si>
    <t>7303</t>
  </si>
  <si>
    <t>Joensuu Water</t>
  </si>
  <si>
    <t>Joensuu</t>
  </si>
  <si>
    <t>Providing water and wastewater services in the city of Joensuu</t>
  </si>
  <si>
    <t>http://www.joensuunvesi.fi/</t>
  </si>
  <si>
    <t>4815</t>
  </si>
  <si>
    <t>Apemsa</t>
  </si>
  <si>
    <t>El Puerto de Santa María</t>
  </si>
  <si>
    <t>Providing water and wastewater services to Puerto de Santa Maria</t>
  </si>
  <si>
    <t>http://www.apemsa.es/</t>
  </si>
  <si>
    <t>7318</t>
  </si>
  <si>
    <t>Kouvola Water</t>
  </si>
  <si>
    <t>Myllykoski</t>
  </si>
  <si>
    <t>Providing water and wastewater services in the city of Kouvola</t>
  </si>
  <si>
    <t>7070</t>
  </si>
  <si>
    <t>Municipal Enterprise for Water - Sewage Agrinio </t>
  </si>
  <si>
    <t>Agrinio</t>
  </si>
  <si>
    <t>Providing water and wastewater services to municipal district of Agios</t>
  </si>
  <si>
    <t>http://www.deyaagriniou.gr/</t>
  </si>
  <si>
    <t>7319</t>
  </si>
  <si>
    <t>Napapiirin Vesi</t>
  </si>
  <si>
    <t>Rovaniemi</t>
  </si>
  <si>
    <t>Providing water and wastewater services in the regions of Keskustaajaman, Saarenkylän and Muurolan</t>
  </si>
  <si>
    <t>https://www.neve.fi/Napapiirin-Energia-ja-Vesi</t>
  </si>
  <si>
    <t>7225</t>
  </si>
  <si>
    <t>Narva Vesi</t>
  </si>
  <si>
    <t>Narva</t>
  </si>
  <si>
    <t>Providing water and wastewater services to the municipalities of Narva and Narva-Jõesuu</t>
  </si>
  <si>
    <t>http://www.narvavesi.ee</t>
  </si>
  <si>
    <t>4839</t>
  </si>
  <si>
    <t>Servicio Municipal de Aguas de Granollers</t>
  </si>
  <si>
    <t>Providing water and wastewater services to Granollers</t>
  </si>
  <si>
    <t>Aguas de Barcelona [via wholly owned subsidary Sorea]</t>
  </si>
  <si>
    <t>4840</t>
  </si>
  <si>
    <t>Servicio Municipal de aguas de Mérida</t>
  </si>
  <si>
    <t>Providing water and wastewater services to Merida</t>
  </si>
  <si>
    <t>https://www.aqualia.com/es/web/aqualia-merida</t>
  </si>
  <si>
    <t>TBC</t>
  </si>
  <si>
    <t>Water Development Department</t>
  </si>
  <si>
    <t>Protection, sustainable development, management of the water resources of Cyprus</t>
  </si>
  <si>
    <t>https://www.moa.gov.cy/moa/wdd/wdd.nsf/index_en/index_en?opendocument</t>
  </si>
  <si>
    <t>2018-2030</t>
  </si>
  <si>
    <t>23-39</t>
  </si>
  <si>
    <t>Στάδιο Υλοποίησης = plant progress status (Annex E: projects; p. 23-28 = list of wastewater projs;p. 29-39 = list of water infrastructure projs); Annex C (p. 21): non-compliant settlements; Annex D (p. 22) non-compliant projects</t>
  </si>
  <si>
    <t>26044</t>
  </si>
  <si>
    <t>Morlaix Communaute</t>
  </si>
  <si>
    <t>Morlaix</t>
  </si>
  <si>
    <t>Providing 26 municipalities with drinking water services, 18 by delegated management. The utility also provides 21 municipality with wastewater services, 8 by delegated management</t>
  </si>
  <si>
    <t>https://www.morlaix-communaute.bzh/</t>
  </si>
  <si>
    <t>7103</t>
  </si>
  <si>
    <t>CM de Moita</t>
  </si>
  <si>
    <t>Moita</t>
  </si>
  <si>
    <t>Providing water and wastewater services to County of Moita</t>
  </si>
  <si>
    <t>https://www.cm-moita.pt/pages/703</t>
  </si>
  <si>
    <t>3980</t>
  </si>
  <si>
    <t>S.I.E. S.p.A.</t>
  </si>
  <si>
    <t>Providing water and wastewater services in the ATO Catania</t>
  </si>
  <si>
    <t>Hydro Catania SpA (49%)  / Regional Province of Catania (7.87%)  / Other shareholders (43.13%)</t>
  </si>
  <si>
    <t>http://www.siespa.net/</t>
  </si>
  <si>
    <t>3981</t>
  </si>
  <si>
    <t>Sorgeaqua S.r.l.</t>
  </si>
  <si>
    <t>Finale Emilia</t>
  </si>
  <si>
    <t>Providing water and wastewater services in 5 municipalities in the ATOs Modena and Bologna</t>
  </si>
  <si>
    <t>http://www.sorgeaqua.it</t>
  </si>
  <si>
    <t>3107</t>
  </si>
  <si>
    <t>Association of municipalities La Rochelle</t>
  </si>
  <si>
    <t>La Rochelle</t>
  </si>
  <si>
    <t>Providing 10 municipalities with drinking water services. The utility also provides 28 municipalities with wastewater services, 1 by delegated management</t>
  </si>
  <si>
    <t>https://www.agglo-larochelle.fr/vie-pratique/eaux-usees</t>
  </si>
  <si>
    <t>26059</t>
  </si>
  <si>
    <t>CISE Reunion</t>
  </si>
  <si>
    <t>Saint-André</t>
  </si>
  <si>
    <t>Providing 1 municipality with drinking water and wastewater services by delegated management</t>
  </si>
  <si>
    <t>http://www.cise-reunion.re/</t>
  </si>
  <si>
    <t>7372</t>
  </si>
  <si>
    <t>Lyngby-Taarbæk Forsyning A/S</t>
  </si>
  <si>
    <t>Kongens Lyngby</t>
  </si>
  <si>
    <t>Providing water and wastewater services in the city of Lyngby-Taarbæk</t>
  </si>
  <si>
    <t>https://ltf.dk/</t>
  </si>
  <si>
    <t>6964</t>
  </si>
  <si>
    <t>Águas de Paredes</t>
  </si>
  <si>
    <t>Paredes</t>
  </si>
  <si>
    <t>Providing water and wastewater services to County of Paredes</t>
  </si>
  <si>
    <t>https://www.paredes-bewater.com.pt/</t>
  </si>
  <si>
    <t>3161</t>
  </si>
  <si>
    <t>Association of municipalities Quimper Communauté</t>
  </si>
  <si>
    <t>Quimper</t>
  </si>
  <si>
    <t>Providing 13 municipalities with drinking water services, 8 by delegated management. The utility also provides 13 municipalities with wastewater services, 8 by delegated management</t>
  </si>
  <si>
    <t>Veolia Eau (DW)/ SAUR (WW)</t>
  </si>
  <si>
    <t>http://www.quimper-bretagne-occidentale.bzh/</t>
  </si>
  <si>
    <t>26080</t>
  </si>
  <si>
    <t>Agglo Villefranche</t>
  </si>
  <si>
    <t>Villefranche-sur-Saône</t>
  </si>
  <si>
    <t>Providing 10 municipalities with drinking water services, all by delegated management. The utility also provides 18 municipalities with wastewater services, all by delegated management</t>
  </si>
  <si>
    <t>https://www.agglo-villefranche.fr/</t>
  </si>
  <si>
    <t>3982</t>
  </si>
  <si>
    <t>Società Gestione Acquedotti SpA</t>
  </si>
  <si>
    <t>Rieti</t>
  </si>
  <si>
    <t>Providing water and wastewater services in 7 municipalities in the province of Rieti</t>
  </si>
  <si>
    <t>Municipality of Rieti (51%)  / Acea SpA (49%)</t>
  </si>
  <si>
    <t>http://www.sogeaspa.it</t>
  </si>
  <si>
    <t>3134</t>
  </si>
  <si>
    <t>Association of municipalities Var Estérel Méditerranée</t>
  </si>
  <si>
    <t>Saint-Raphaël</t>
  </si>
  <si>
    <t>Providing 5 municipalities with drinking water services, 4 by delegated management. The utility also provides 5 municipalities with wastewater services, all by delegated management</t>
  </si>
  <si>
    <t>Compagnie Méditerranéenne d'Exploitation des Services d'Eaux (Veolia Eau)</t>
  </si>
  <si>
    <t>http://www.cavem.fr/</t>
  </si>
  <si>
    <t>6674</t>
  </si>
  <si>
    <t>Águas da Figueira</t>
  </si>
  <si>
    <t>Figueira da Foz</t>
  </si>
  <si>
    <t>Providing water and wastewater services to Couny of Figueira da Foz</t>
  </si>
  <si>
    <t>AGS, SA (50%)  / AQUAPOR Services, SA (50%)</t>
  </si>
  <si>
    <t>http://www.aguasdafigueira.pt/</t>
  </si>
  <si>
    <t>7296</t>
  </si>
  <si>
    <t>INDAQUA Fafe</t>
  </si>
  <si>
    <t>Fafe</t>
  </si>
  <si>
    <t>Providing water and wastewater services to County of Santa Maria da Feita.</t>
  </si>
  <si>
    <t>INDAQUA, SA (100%)</t>
  </si>
  <si>
    <t>http://www.indaquafeira.pt</t>
  </si>
  <si>
    <t>3252</t>
  </si>
  <si>
    <t>Syndicat d'Agglomération Nouvelle Senart en Essonne</t>
  </si>
  <si>
    <t>Saint-Pierre du Perray</t>
  </si>
  <si>
    <t>7365</t>
  </si>
  <si>
    <t>Frederikshavn Forsyning A/S</t>
  </si>
  <si>
    <t>Frederikshavn</t>
  </si>
  <si>
    <t>Providing water and wastewater services to Frederikshavn municipality</t>
  </si>
  <si>
    <t>http://www.forsyningen.dk</t>
  </si>
  <si>
    <t>3245</t>
  </si>
  <si>
    <t>Association of municipalities Bassin d'Aurillac</t>
  </si>
  <si>
    <t>Cantal</t>
  </si>
  <si>
    <t>Aurillac</t>
  </si>
  <si>
    <t>Providing 25 municipalities with drinking water services. The utility also provides 25 municipalities with wastewater services</t>
  </si>
  <si>
    <t>http://www.caba.fr/</t>
  </si>
  <si>
    <t>26049</t>
  </si>
  <si>
    <t>CC ACVI</t>
  </si>
  <si>
    <t>Argelès-sur-Mer</t>
  </si>
  <si>
    <t>Providing 15 municipalities with drinking water and wastewater services</t>
  </si>
  <si>
    <t>https://www.cc-acvi.com/</t>
  </si>
  <si>
    <t>26028</t>
  </si>
  <si>
    <t>Svendborg Forsyning A/S</t>
  </si>
  <si>
    <t>Svendborg</t>
  </si>
  <si>
    <t>Providing water and wastewater services to the area around Svendborg</t>
  </si>
  <si>
    <t>https://www.vandogaffald.dk/</t>
  </si>
  <si>
    <t>3983</t>
  </si>
  <si>
    <t>Acquedotto Poiana S.p.A.</t>
  </si>
  <si>
    <t>Cividale del Friuli</t>
  </si>
  <si>
    <t>Providing water and wastewater services in 12 municipalities in the province of Udine</t>
  </si>
  <si>
    <t>http://www.poiana.it</t>
  </si>
  <si>
    <t>6981</t>
  </si>
  <si>
    <t>Águas de Santarém</t>
  </si>
  <si>
    <t>Santarém</t>
  </si>
  <si>
    <t>Providing water and wastewater services to County of Santarém</t>
  </si>
  <si>
    <t>http://www.aguasdesantarem.pt/</t>
  </si>
  <si>
    <t>3255</t>
  </si>
  <si>
    <t>Municipality of Vannes</t>
  </si>
  <si>
    <t>Vannes</t>
  </si>
  <si>
    <t>http://www.mairie-vannes.fr/</t>
  </si>
  <si>
    <t>3271</t>
  </si>
  <si>
    <t>Municipality of Meaux</t>
  </si>
  <si>
    <t>Nanteuil-Les-Meaux</t>
  </si>
  <si>
    <t>Providing 1 municipality with drinking water services. The utility also provides 7 municipalities with wastewater services</t>
  </si>
  <si>
    <t>http://www.ville-meaux.fr/</t>
  </si>
  <si>
    <t>7357</t>
  </si>
  <si>
    <t>Jurmalas Udens</t>
  </si>
  <si>
    <t>Jūrmala</t>
  </si>
  <si>
    <t>Providing water and wastewater services to Jurmala City</t>
  </si>
  <si>
    <t>http://www.jurmalasudens.lv</t>
  </si>
  <si>
    <t>7339</t>
  </si>
  <si>
    <t>Sandnes Water and Sewerage Department</t>
  </si>
  <si>
    <t>Sandnes</t>
  </si>
  <si>
    <t>Providing water and wastewater services in the municipality of Sandnes</t>
  </si>
  <si>
    <t>https://www.sandnes.kommune.no/teknisk-og-eiendom/vann-og-avlop/vann/</t>
  </si>
  <si>
    <t>3242</t>
  </si>
  <si>
    <t>Association of municipalities of Bastia</t>
  </si>
  <si>
    <t>Bastia</t>
  </si>
  <si>
    <t>Providing 5 municipalities with drinking water services. The utility also provides 6 municipalities with wastewater services</t>
  </si>
  <si>
    <t>Office d’Équipement Hydraulique de la Corse (OHEC)</t>
  </si>
  <si>
    <t>http://www.bastia-agglomeration.com/</t>
  </si>
  <si>
    <t>7224</t>
  </si>
  <si>
    <t>CM de Póvoa de Varzim</t>
  </si>
  <si>
    <t>Póvoa de Varzim</t>
  </si>
  <si>
    <t>Providing water and wastewater services to Sun-region of Greater Porto</t>
  </si>
  <si>
    <t>http://lojadoambiente.cm-pvarzim.pt/index.php</t>
  </si>
  <si>
    <t>7306</t>
  </si>
  <si>
    <t>Penafiel Verde</t>
  </si>
  <si>
    <t>Penafiel</t>
  </si>
  <si>
    <t>Providing water and wastewater services to County of Penafiel</t>
  </si>
  <si>
    <t>http://www.penafielverde.pt/</t>
  </si>
  <si>
    <t>23705</t>
  </si>
  <si>
    <t>Boucle nord de Seine</t>
  </si>
  <si>
    <t>Providing 1 municipalities with water and 7 municipalities with wastewater services</t>
  </si>
  <si>
    <t>http://www.bouclenorddeseine.fr/</t>
  </si>
  <si>
    <t>3987</t>
  </si>
  <si>
    <t>Servizi Ambientali Centro Abruzzo S.p.A.</t>
  </si>
  <si>
    <t>Sulmona</t>
  </si>
  <si>
    <t>Providing water and wastewater services in the ATO Peligno Alto Sangro</t>
  </si>
  <si>
    <t>https://sacaservizi.com/</t>
  </si>
  <si>
    <t>7322</t>
  </si>
  <si>
    <t>Dzūkijos vandenys</t>
  </si>
  <si>
    <t>Alytus</t>
  </si>
  <si>
    <t>Providing water and wastewater services to Alytus municipality</t>
  </si>
  <si>
    <t>http://www.vandenys.lt</t>
  </si>
  <si>
    <t>26064</t>
  </si>
  <si>
    <t>SEBA</t>
  </si>
  <si>
    <t>Ardèche</t>
  </si>
  <si>
    <t>Aubenas</t>
  </si>
  <si>
    <t>Providing 80 municipalities with drinking water services. The utility also provides 38 municipalities with wastewater services</t>
  </si>
  <si>
    <t>http://www.seba-eau.fr/</t>
  </si>
  <si>
    <t>26070</t>
  </si>
  <si>
    <t>Saint-Brieuc Agglo</t>
  </si>
  <si>
    <t>Saint-Brieuc</t>
  </si>
  <si>
    <t>Providing 10 municipalities with drinking water services. The utility also provides 13 municipalities with wastewater services</t>
  </si>
  <si>
    <t>https://www.saintbrieuc-armor-agglo.fr/</t>
  </si>
  <si>
    <t>23699</t>
  </si>
  <si>
    <t>Providing 1 municipalities with water and 1 municipalities with wastewater services</t>
  </si>
  <si>
    <t>7385</t>
  </si>
  <si>
    <t>Novafos - Rudersdal Forsyning A/S</t>
  </si>
  <si>
    <t>Holte</t>
  </si>
  <si>
    <t>Providing water and wastewater services in the municipality of Rudersdal; wastewater service in the municipalities of Rudersdal and Allerød</t>
  </si>
  <si>
    <t>26106</t>
  </si>
  <si>
    <t>Syndicat Durance Luberon</t>
  </si>
  <si>
    <t>Pertuis</t>
  </si>
  <si>
    <t>Providing 21 municipality with drinking water and wastewater services</t>
  </si>
  <si>
    <t>http://www.sivomduranceluberon.info/</t>
  </si>
  <si>
    <t>7260</t>
  </si>
  <si>
    <t>EMARP Portimão</t>
  </si>
  <si>
    <t>Portimão</t>
  </si>
  <si>
    <t>Providing water and wastewater services to County of Portimão</t>
  </si>
  <si>
    <t>http://www.emarp.pt</t>
  </si>
  <si>
    <t>4859</t>
  </si>
  <si>
    <t>Instituto Aragones del Agua</t>
  </si>
  <si>
    <t>Providing wastewater services to 40 municipalities in the provinces of Huesca and Zaragoza.</t>
  </si>
  <si>
    <t>https://www.aragon.es/-/abastecimiento-de-agua-potable</t>
  </si>
  <si>
    <t>26095</t>
  </si>
  <si>
    <t>CA Saumur Val de Loire</t>
  </si>
  <si>
    <t>Doué-en-Anjou</t>
  </si>
  <si>
    <t>Providing 36 municipalities with drinking water services, 24 by delegated management. The utility also provides 44 municipalities with wastewater services, 32 by delegated management</t>
  </si>
  <si>
    <t>https://www.saumurvaldeloire.fr/</t>
  </si>
  <si>
    <t>7349</t>
  </si>
  <si>
    <t>Salon Vesi</t>
  </si>
  <si>
    <t>Salo</t>
  </si>
  <si>
    <t>Providing water and wastewater services in the municipality of Salo</t>
  </si>
  <si>
    <t>http://www.salo.fi/asuminenjaymparisto/liikelaitossalonvesi/</t>
  </si>
  <si>
    <t>3988</t>
  </si>
  <si>
    <t>Comune di Modica</t>
  </si>
  <si>
    <t>Modica</t>
  </si>
  <si>
    <t>Providing water and wastewater services in the municipality of Modica (Ragusa)</t>
  </si>
  <si>
    <t>http://www.comune.modica.gov.it</t>
  </si>
  <si>
    <t>3236</t>
  </si>
  <si>
    <t>Association of municipalities Montargoise et des Rives du Loing</t>
  </si>
  <si>
    <t>Montargis</t>
  </si>
  <si>
    <t>Providing 5 municipalities with drinking water services. The utility also provides 13 municipalities with wastewater services. All its services are operated by delegated management</t>
  </si>
  <si>
    <t>http://www.agglo-montargoise.fr</t>
  </si>
  <si>
    <t>7317</t>
  </si>
  <si>
    <t>OÜ Järve Biopuhastus</t>
  </si>
  <si>
    <t>Kohtla-Järve</t>
  </si>
  <si>
    <t>Providing water and wastewater services to East-Viru County (Jõhvi vald, Kohtla-Järve     linn    (Ahtme, Järve, Sompa, Kukruse linnaosad), Püssi linn, Illuka vald (Kurtna, Kuremäe küla), Kohtla-Nõmme alevik)</t>
  </si>
  <si>
    <t>http://www.idavesi.ee/</t>
  </si>
  <si>
    <t>4830</t>
  </si>
  <si>
    <t>Ayuntamiento de Segovia-Servicios Técnicos Municipales</t>
  </si>
  <si>
    <t>Plaza Mayor</t>
  </si>
  <si>
    <t>Providing water and wastewater services to City of Segovia and a few adjacent areas</t>
  </si>
  <si>
    <t>http://www.segovia.es/pgou08/MEMORIAS/MEMORIA%20INFORMATIVA/JINFRAESTRUCTURAS.pdf</t>
  </si>
  <si>
    <t>8812</t>
  </si>
  <si>
    <t>Mikkelin vesilaitos</t>
  </si>
  <si>
    <t>Mikkeli</t>
  </si>
  <si>
    <t>http://mikkelinvesi.fi</t>
  </si>
  <si>
    <t>7277</t>
  </si>
  <si>
    <t>Sūduvos vandenys</t>
  </si>
  <si>
    <t>Marijampolė</t>
  </si>
  <si>
    <t>Providing water and wastewater services to Marijampolė Municipality</t>
  </si>
  <si>
    <t>http://www.suduvosvandenys.lt/</t>
  </si>
  <si>
    <t>7327</t>
  </si>
  <si>
    <t>Vodovod i kanalizacija d.o.o. Karlovac</t>
  </si>
  <si>
    <t>Karlovac</t>
  </si>
  <si>
    <t>Providing water and wastewater services to city of Karlovac</t>
  </si>
  <si>
    <t>https://www.karlovac.hr/</t>
  </si>
  <si>
    <t>3504</t>
  </si>
  <si>
    <t>Stadt Wetzlar</t>
  </si>
  <si>
    <t>Wetzlar</t>
  </si>
  <si>
    <t>Providing wastewater services to Wetzlar</t>
  </si>
  <si>
    <t>http://www.wetzlar.de</t>
  </si>
  <si>
    <t>7273</t>
  </si>
  <si>
    <t>Vodovody a kanalizace Havlíčkův Brod, a.s.</t>
  </si>
  <si>
    <t>Havlíčkův Brod</t>
  </si>
  <si>
    <t>Providing water and wastewater services to Havlickuv Brod, Pelhrimov, Kutna Hora</t>
  </si>
  <si>
    <t>http://www.vakhb.cz/</t>
  </si>
  <si>
    <t>4843</t>
  </si>
  <si>
    <t>Aguas de Cieza, S.A.</t>
  </si>
  <si>
    <t>Cieza</t>
  </si>
  <si>
    <t>Ayuntamiento de Cieza (51%)  / Hidrogea, Gestión Integral de Aguas de Murcia, S.A. (49%)</t>
  </si>
  <si>
    <t>http://www.aguasdecieza.com/</t>
  </si>
  <si>
    <t>26045</t>
  </si>
  <si>
    <t>Concarneau Cornouaille Agglo</t>
  </si>
  <si>
    <t>Concarneau</t>
  </si>
  <si>
    <t>Providing 9 municipalities with drinking water services, 3 by delegated management. The utility also provides 9 municipalities with wastewater services, 4 by delegated management</t>
  </si>
  <si>
    <t>https://www.concarneau-cornouaille.fr/</t>
  </si>
  <si>
    <t>26054</t>
  </si>
  <si>
    <t>Syndicat Mixte de La Gatine</t>
  </si>
  <si>
    <t>Parthenay</t>
  </si>
  <si>
    <t>Providing 61 municipalities with drinking water services. The utility also provides 52 municipalities with wastewater services</t>
  </si>
  <si>
    <t>https://www.eaux-de-gatine.fr/</t>
  </si>
  <si>
    <t>1979</t>
  </si>
  <si>
    <t>Water Services Corporation</t>
  </si>
  <si>
    <t>Malta</t>
  </si>
  <si>
    <t>Luqa</t>
  </si>
  <si>
    <t>Providing water and wastewater services nationwide.</t>
  </si>
  <si>
    <t>http://www.wsc.com.mt</t>
  </si>
  <si>
    <t>2023-2033</t>
  </si>
  <si>
    <t>17-19</t>
  </si>
  <si>
    <t>https://www.wsc.com.mt/wp-content/uploads/2024/01/WSC_NIP.pdf</t>
  </si>
  <si>
    <t>7340</t>
  </si>
  <si>
    <t>SM de Alcobaça</t>
  </si>
  <si>
    <t>Alcobaça</t>
  </si>
  <si>
    <t>Providing water and wastewater services to County of Alcobaça</t>
  </si>
  <si>
    <t>http://www.smalcobaca.pt/</t>
  </si>
  <si>
    <t>26055</t>
  </si>
  <si>
    <t>CA Beaune Côte et Sud</t>
  </si>
  <si>
    <t>Beaune</t>
  </si>
  <si>
    <t>Providing 46 municipalities with drinking water services, 39 by delegated management. The utility also provides 36 municipalities with wastewater services, 28 by delegated management</t>
  </si>
  <si>
    <t>http://www.beaunecoteetsud.com/</t>
  </si>
  <si>
    <t>7284</t>
  </si>
  <si>
    <t>Faro, Gestão de Águas e Resíduos, EM</t>
  </si>
  <si>
    <t>Providing water and wastewater services to County of Faro</t>
  </si>
  <si>
    <t>Município de Faro (51%)  / AGS, SA (49%)  / - -</t>
  </si>
  <si>
    <t>http://www.fagar.pt</t>
  </si>
  <si>
    <t>26101</t>
  </si>
  <si>
    <t>CA de La Riviera Française</t>
  </si>
  <si>
    <t>Menton</t>
  </si>
  <si>
    <t>Providing 9 municipalities with drinking water and wastewater services, all by delegated management</t>
  </si>
  <si>
    <t>https://www.riviera-francaise.fr/</t>
  </si>
  <si>
    <t>3274</t>
  </si>
  <si>
    <t>Municipality of Bourg-en-Bresse</t>
  </si>
  <si>
    <t>Bourg-En-Bresse</t>
  </si>
  <si>
    <t>Providing 3 municipalities with drinking water services. The utility also provides 1 municipality with wastewater services</t>
  </si>
  <si>
    <t>http://www.bourgenbresse.fr</t>
  </si>
  <si>
    <t>1993</t>
  </si>
  <si>
    <t>Waternet</t>
  </si>
  <si>
    <t>Providing water and wastewater services to the areas of Amstelveen, Amsterdam, Diemen, Heemstede, Muiden, Muiderberg and Ouder-Amstel</t>
  </si>
  <si>
    <t>x-850000</t>
  </si>
  <si>
    <t>http://www.waternet.nl</t>
  </si>
  <si>
    <t>7134</t>
  </si>
  <si>
    <t>Vidin ViK</t>
  </si>
  <si>
    <t>Vidin</t>
  </si>
  <si>
    <t>Providing water and wastewater services to Vidin region</t>
  </si>
  <si>
    <t>https://vik-vidin.com/</t>
  </si>
  <si>
    <t>26033</t>
  </si>
  <si>
    <t>SI de Cubzadais Fronsadais</t>
  </si>
  <si>
    <t>Saint-André-de-Cubzac</t>
  </si>
  <si>
    <t>Providing 32 municipalities with drinking water services, all by delegated management. The utility also provides 26 municipalities with wastewater services, all by delegated management</t>
  </si>
  <si>
    <t>http://siaepa-cf33.fr/</t>
  </si>
  <si>
    <t>3496</t>
  </si>
  <si>
    <t>Stadt Neustadt</t>
  </si>
  <si>
    <t>Neustadt an der Weinstraße</t>
  </si>
  <si>
    <t>Providing wastewater services to Neustadt an der Weinstrasse</t>
  </si>
  <si>
    <t>http://www.neustadt.eu/Wirtschaft/ESN-Entsorgung/Abwasser/Kanalnetz?&amp;La=1</t>
  </si>
  <si>
    <t>7341</t>
  </si>
  <si>
    <t>SM de Castelo Branco</t>
  </si>
  <si>
    <t>Providing water and wastewater services to County of Castelo Branco</t>
  </si>
  <si>
    <t>http://www.sm-castelobranco.pt</t>
  </si>
  <si>
    <t>7378</t>
  </si>
  <si>
    <t>Asker Water and Sewerage Department</t>
  </si>
  <si>
    <t>Asker</t>
  </si>
  <si>
    <t>Providing water and wastewater services in the municipality of Asker</t>
  </si>
  <si>
    <t>https://www.asker.kommune.no/vann-og-avlop/</t>
  </si>
  <si>
    <t>3992</t>
  </si>
  <si>
    <t>Azienda Multiservizi Casalese S.p.A.</t>
  </si>
  <si>
    <t>Casale Monferrato</t>
  </si>
  <si>
    <t>Providing water and wastewater services in the municipality of Casale Monferrato and other 15 municipalities in the Alessandria province</t>
  </si>
  <si>
    <t>http://www.amcasale.it</t>
  </si>
  <si>
    <t>26053</t>
  </si>
  <si>
    <t>CA Du Grand Senonais</t>
  </si>
  <si>
    <t>Yonne</t>
  </si>
  <si>
    <t>Sens</t>
  </si>
  <si>
    <t>Providing 17 municipalities with drinking water and wastewater services</t>
  </si>
  <si>
    <t>https://www.grand-senonais.fr/</t>
  </si>
  <si>
    <t>3266</t>
  </si>
  <si>
    <t>Association of municipalities Alencon</t>
  </si>
  <si>
    <t>Orne</t>
  </si>
  <si>
    <t>Alencon</t>
  </si>
  <si>
    <t>Providing 19 municipalities with drinking water services. The utility also provides 30 municipalities with wastewater services. All its services are operated by delegated management</t>
  </si>
  <si>
    <t>http://www.cu-alencon.fr/la-cua-a-votre-service/eau-et-assainissement/</t>
  </si>
  <si>
    <t>26029</t>
  </si>
  <si>
    <t>Thisted Vand A/S</t>
  </si>
  <si>
    <t>Thisted</t>
  </si>
  <si>
    <t>Providing water and wastewater services to the area around Thisted</t>
  </si>
  <si>
    <t>https://www.thistedvand.dk/</t>
  </si>
  <si>
    <t>7187</t>
  </si>
  <si>
    <t>CM de Pombal</t>
  </si>
  <si>
    <t>Pombal</t>
  </si>
  <si>
    <t>Providing water and wastewater services to County of Pombal</t>
  </si>
  <si>
    <t>http://www.cm-pombal.pt/seu_municipio/ambiente/agua2.php</t>
  </si>
  <si>
    <t>7232</t>
  </si>
  <si>
    <t>CM de Sesimbra</t>
  </si>
  <si>
    <t>Sesimbra</t>
  </si>
  <si>
    <t>Providing water and wastewater services to County of Sesimbra</t>
  </si>
  <si>
    <t>https://www.sesimbra.pt/pages/802</t>
  </si>
  <si>
    <t>7300</t>
  </si>
  <si>
    <t>Hjørring Vandselskab A/S</t>
  </si>
  <si>
    <t>Hjørring</t>
  </si>
  <si>
    <t>Providing water and wastewater services in the city of Hjørring</t>
  </si>
  <si>
    <t>http://www.hjvand.dk</t>
  </si>
  <si>
    <t>26041</t>
  </si>
  <si>
    <t>CA Hérault Méditerranée</t>
  </si>
  <si>
    <t>Agde</t>
  </si>
  <si>
    <t>Providing 12 municipalities with drinking water services, 5 by delegated management. The utility also provides 20 municipalities with wastewater services, 10 by delegated management</t>
  </si>
  <si>
    <t>https://www.agglo-heraultmediterranee.net/</t>
  </si>
  <si>
    <t>7259</t>
  </si>
  <si>
    <t>EMAR de Vila Real</t>
  </si>
  <si>
    <t>Vila Real</t>
  </si>
  <si>
    <t>Providing water and wastewater services to County of Vila Real</t>
  </si>
  <si>
    <t>http://emar-vr.com/</t>
  </si>
  <si>
    <t>3230</t>
  </si>
  <si>
    <t>Association of municipalities Montluconnaise</t>
  </si>
  <si>
    <t>Montluçon</t>
  </si>
  <si>
    <t>Providing 5 municipalities with drinking water services. The utility also provides 19 municipalities with wastewater services</t>
  </si>
  <si>
    <t>http://www.agglo-montlucon.fr/accueil.html</t>
  </si>
  <si>
    <t>6656</t>
  </si>
  <si>
    <t>Águas da Covilhã</t>
  </si>
  <si>
    <t>Providing water and wastewater services to County of Covilhã</t>
  </si>
  <si>
    <t>Município da Covilhã (51%)  / AGS, SA (49%)</t>
  </si>
  <si>
    <t>http://www.aguasdacovilha.pt</t>
  </si>
  <si>
    <t>26021</t>
  </si>
  <si>
    <t>FFV Forsyning A/S</t>
  </si>
  <si>
    <t>Korsvangen</t>
  </si>
  <si>
    <t>Providing water and wastewater services to the area around Korsvangen</t>
  </si>
  <si>
    <t>https://ffv.dk/</t>
  </si>
  <si>
    <t>7163</t>
  </si>
  <si>
    <t>CM de Palmela</t>
  </si>
  <si>
    <t>Palmela</t>
  </si>
  <si>
    <t>Providing water and wastewater services to County of Palmela</t>
  </si>
  <si>
    <t>http://www.cm-palmela.pt/</t>
  </si>
  <si>
    <t>7383</t>
  </si>
  <si>
    <t>Sarpsborg Water and Sewerage Department</t>
  </si>
  <si>
    <t>Sarpsborg</t>
  </si>
  <si>
    <t>Providing water and wastewater services in the municipality of Sarpsborg</t>
  </si>
  <si>
    <t>https://www.sarpsborg.com/</t>
  </si>
  <si>
    <t>26105</t>
  </si>
  <si>
    <t>CA Du Pays de Fontainebleau</t>
  </si>
  <si>
    <t>Fontainebleau</t>
  </si>
  <si>
    <t>Providing 8 municipalities with drinking water services, all by delegated management. The utility also provides 10 municipalities with wastewater services, all by delegated management</t>
  </si>
  <si>
    <t>https://www.pays-fontainebleau.fr/</t>
  </si>
  <si>
    <t>26073</t>
  </si>
  <si>
    <t>Flers Agglo</t>
  </si>
  <si>
    <t>Flers</t>
  </si>
  <si>
    <t>Providing 29 municipalities with drinking water services, 13 by delegated management. The utility also provides 38 municipalities with wastewater services, 1 by delegated management</t>
  </si>
  <si>
    <t>https://www.flers-agglo.fr/</t>
  </si>
  <si>
    <t>26031</t>
  </si>
  <si>
    <t>Vestforsyning A/S</t>
  </si>
  <si>
    <t>Holstebro</t>
  </si>
  <si>
    <t>Providing water and wastewater services to the area around Holstebro</t>
  </si>
  <si>
    <t>https://www.vestforsyning.dk/</t>
  </si>
  <si>
    <t>4847</t>
  </si>
  <si>
    <t>Aguas de Puertollano</t>
  </si>
  <si>
    <t>Providing water and wastewater services to City of Puertollano and a few adjacent communities</t>
  </si>
  <si>
    <t>Ayuntamiento de Puertollano (51%)  / Aquona SAU (49%) [subsidiary of Suez SA]</t>
  </si>
  <si>
    <t>http://www.aguasdepuertollano.com</t>
  </si>
  <si>
    <t>7345</t>
  </si>
  <si>
    <t>S.C. Compania Apa Tarnavei Mari</t>
  </si>
  <si>
    <t>Medias</t>
  </si>
  <si>
    <t>Providing water and wastewater services to North-east Sibiu</t>
  </si>
  <si>
    <t>http://www.apatarnavei.ro/</t>
  </si>
  <si>
    <t>26043</t>
  </si>
  <si>
    <t>Antibes</t>
  </si>
  <si>
    <t>https://www.antibes-juanlespins.com/</t>
  </si>
  <si>
    <t>4848</t>
  </si>
  <si>
    <t>Calvia 2000</t>
  </si>
  <si>
    <t>Providing wastewater services to Municipality of Calvia</t>
  </si>
  <si>
    <t>http://www.calvia2000.es/</t>
  </si>
  <si>
    <t>3993</t>
  </si>
  <si>
    <t>Comune di Campobasso</t>
  </si>
  <si>
    <t>Campobasso</t>
  </si>
  <si>
    <t>Providing water and wastewater services in the municipality of Campobasso</t>
  </si>
  <si>
    <t>http://www.comune.campobasso.it</t>
  </si>
  <si>
    <t>26023</t>
  </si>
  <si>
    <t>Fredericia Spildevand og Energi A/S</t>
  </si>
  <si>
    <t>Fredericia</t>
  </si>
  <si>
    <t>Providing wastewater services to the area around Fredericia</t>
  </si>
  <si>
    <t>https://www.frse.dk/</t>
  </si>
  <si>
    <t>7278</t>
  </si>
  <si>
    <t>Liptovská vodárenská spoločnosť, a.s.</t>
  </si>
  <si>
    <t>Liptovsky Mikulas</t>
  </si>
  <si>
    <t>Providing water and wastewater services to District of Liptovsky Mikulas</t>
  </si>
  <si>
    <t>http://www.lvsas.sk</t>
  </si>
  <si>
    <t>Waterschap Amstel, Gooi en Vecht (AGV)</t>
  </si>
  <si>
    <t>Water Board of Amstel, Gooi and Vecht</t>
  </si>
  <si>
    <t>https://www.agv.nl/</t>
  </si>
  <si>
    <t>26109</t>
  </si>
  <si>
    <t>SIVOM SAGe</t>
  </si>
  <si>
    <t>Cugnaux</t>
  </si>
  <si>
    <t>Providing 15 municipalities with drinking water services. The utility also provides 26 municipalities with wastewater services</t>
  </si>
  <si>
    <t>https://www.sivom-sag.fr/</t>
  </si>
  <si>
    <t>3409</t>
  </si>
  <si>
    <t>Bau und Entsorgungsbetrieb Emden</t>
  </si>
  <si>
    <t>Bau- und Entsorgungsbetrieb Emden</t>
  </si>
  <si>
    <t>Emden Building and Waste Disposal Company</t>
  </si>
  <si>
    <t>Emden</t>
  </si>
  <si>
    <t>Providing wastewater services to Emden</t>
  </si>
  <si>
    <t>http://bee-emden.de/BEE/index.php</t>
  </si>
  <si>
    <t>https://gremieninfo.emden.de/bi/getfile.asp?id=214194&amp;type=do</t>
  </si>
  <si>
    <t>https://gremieninfo.emden.de/bi/to0050.asp?__ktonr=89759</t>
  </si>
  <si>
    <t>7390</t>
  </si>
  <si>
    <t>Skien Water and Sewerage Department</t>
  </si>
  <si>
    <t>Skien</t>
  </si>
  <si>
    <t>Providing water and wastewater services in the municipality of Skien</t>
  </si>
  <si>
    <t>https://www.skien.kommune.no/</t>
  </si>
  <si>
    <t>26103</t>
  </si>
  <si>
    <t>CA Roissy Pays de France</t>
  </si>
  <si>
    <t>Mitry-Mory</t>
  </si>
  <si>
    <t>Providing 9 municipalities with drinking water services, 8 by delegated management. The utility also provides 17 municipalities with wastewater services, all by delegated management</t>
  </si>
  <si>
    <t>https://www.roissypaysdefrance.fr/</t>
  </si>
  <si>
    <t>3231</t>
  </si>
  <si>
    <t>Syndicat Mixte de l'Eau et de l'Assainissement de la Haute-Garonne</t>
  </si>
  <si>
    <t>Providing 62 municipalities with drinking water services. The utility also provides 98 municipalities with wastewater services</t>
  </si>
  <si>
    <t>https://www.reseau31.fr</t>
  </si>
  <si>
    <t>Yes?</t>
  </si>
  <si>
    <t>https://www.haute-garonne.fr/service/un-schema-directeur-pour-optimiser-lassainissement-en-haute-garonne-sdast-31</t>
  </si>
  <si>
    <t>26025</t>
  </si>
  <si>
    <t>Provas</t>
  </si>
  <si>
    <t>Haderslev</t>
  </si>
  <si>
    <t>Providing water and wastewater services to the area around Haderslev</t>
  </si>
  <si>
    <t>https://www.provas.dk/</t>
  </si>
  <si>
    <t>26038</t>
  </si>
  <si>
    <t>SIEA de Fontoy Vallée de La Fensch</t>
  </si>
  <si>
    <t>Hayange</t>
  </si>
  <si>
    <t>Providing 20 municipalities with drinking water services. The utility also provides 14 municipalities with wastewater services</t>
  </si>
  <si>
    <t>http://www.seaff.fr/</t>
  </si>
  <si>
    <t>7481</t>
  </si>
  <si>
    <t>Larnaca Sewerage and Drainage Board</t>
  </si>
  <si>
    <t>Larnaca</t>
  </si>
  <si>
    <t>Providing wastewater services to the Larnaca Area.</t>
  </si>
  <si>
    <t>http://www.lsdb.org.cy</t>
  </si>
  <si>
    <t>4850</t>
  </si>
  <si>
    <t>Servicio Municipal de Aguas de Avila</t>
  </si>
  <si>
    <t>Ávila</t>
  </si>
  <si>
    <t>Providing water and wastewater services to Municipality of Avila and some adjacent areas (Urraca Miguel, Bernuy Salinero, Brieva, Vicolozano, Narrillos de San Leonardo, la Alamedilla del berrocal and La Aldea del Rey Niño)</t>
  </si>
  <si>
    <t>https://www.aqualia.com/es/web/aqualia-avila</t>
  </si>
  <si>
    <t>4851</t>
  </si>
  <si>
    <t>Servicios de Montejurra, S.A.</t>
  </si>
  <si>
    <t>Estella</t>
  </si>
  <si>
    <t>Providing water and wastewater services to Mancomunidad de Montejurra</t>
  </si>
  <si>
    <t>http://www.montejurra.com/servicios/</t>
  </si>
  <si>
    <t>3994</t>
  </si>
  <si>
    <t>A.M.A. S.p.A.</t>
  </si>
  <si>
    <t>Paternò</t>
  </si>
  <si>
    <t>Providing water and wastewater services in the municipality of Paternò (Catania)</t>
  </si>
  <si>
    <t>http://www.amaspa.net</t>
  </si>
  <si>
    <t>7169</t>
  </si>
  <si>
    <t>Vodovod d.o.o. Slavonski Brod</t>
  </si>
  <si>
    <t>Slavonski brod</t>
  </si>
  <si>
    <t>Providing water and wastewater services to Slavonski Brod and surrounding municipalities</t>
  </si>
  <si>
    <t>http://www.vodovod-sb.hr/</t>
  </si>
  <si>
    <t>7279</t>
  </si>
  <si>
    <t>Greve Spildevand A/S</t>
  </si>
  <si>
    <t>Greve</t>
  </si>
  <si>
    <t>Providing wastewater services to the municipalities of Greve and Solrød</t>
  </si>
  <si>
    <t>7083</t>
  </si>
  <si>
    <t>Silistra ViK</t>
  </si>
  <si>
    <t>Silistra</t>
  </si>
  <si>
    <t>Providing water and wastewater services to Silistra region</t>
  </si>
  <si>
    <t>https://vik-silistra.com/</t>
  </si>
  <si>
    <t>26062</t>
  </si>
  <si>
    <t>CA de Longwy</t>
  </si>
  <si>
    <t>Longwy</t>
  </si>
  <si>
    <t>Providing 21 municipality with drinking water services. The utility also provides 21 municipality with wastewater services, 16 by delegated management</t>
  </si>
  <si>
    <t>http://www.ccal-longwy.fr/</t>
  </si>
  <si>
    <t>7313</t>
  </si>
  <si>
    <t>S.C. Harviz S.A. Miercurea Ciuc</t>
  </si>
  <si>
    <t>Csíkszereda</t>
  </si>
  <si>
    <t>Providing water and wastewater services to Harghita County</t>
  </si>
  <si>
    <t>http://harviz.ro/</t>
  </si>
  <si>
    <t>7352</t>
  </si>
  <si>
    <t>Novafos - Ballerup A/S</t>
  </si>
  <si>
    <t>Ballerup</t>
  </si>
  <si>
    <t>Providing water and wastewater services in the city of Ballerup</t>
  </si>
  <si>
    <t>3253</t>
  </si>
  <si>
    <t>Municipality of Montauban</t>
  </si>
  <si>
    <t>Tarn-et-Garonne</t>
  </si>
  <si>
    <t>Montauban</t>
  </si>
  <si>
    <t>Providing 2 municipalities with drinking water services. The utility also provides 1 municipality with wastewater services. All its services are operated by delegated management</t>
  </si>
  <si>
    <t>Veolia Eau (DW)/ Gestion pour l’Environnement (SAUR) (WW)</t>
  </si>
  <si>
    <t>http://www.montauban.com</t>
  </si>
  <si>
    <t>7316</t>
  </si>
  <si>
    <t>ViK OOD Dimitrovgrad</t>
  </si>
  <si>
    <t>Dimitrovgrad</t>
  </si>
  <si>
    <t>Providing water and wastewater services to Dimitrovgrad Municipality</t>
  </si>
  <si>
    <t>http://vikdg.com</t>
  </si>
  <si>
    <t>7149</t>
  </si>
  <si>
    <t>Kyustendilska voda</t>
  </si>
  <si>
    <t>Kyustendil</t>
  </si>
  <si>
    <t>Providing water and wastewater services to Kystendil region</t>
  </si>
  <si>
    <t>https://www.kyustendilskavoda.com/</t>
  </si>
  <si>
    <t>7363</t>
  </si>
  <si>
    <t>SMAS de Caldas da Rainha</t>
  </si>
  <si>
    <t>Caldas da Rainha</t>
  </si>
  <si>
    <t>Providing water and wastewater services to County of Caldas da Rainha</t>
  </si>
  <si>
    <t>http://www.smas-caldas-rainha.pt/portal/page/portal/SMAS</t>
  </si>
  <si>
    <t>3995</t>
  </si>
  <si>
    <t>AMAT S.p.A.</t>
  </si>
  <si>
    <t>Imperia</t>
  </si>
  <si>
    <t>Providing water and wastewater services in 4 municipalities and provision of bulk water to 14 municipalities</t>
  </si>
  <si>
    <t>Gruppo Iren (48%) [via Iren Acqua Gas SpA] / Comune di Imperia (52%)</t>
  </si>
  <si>
    <t>http://www.amat-imperia.it</t>
  </si>
  <si>
    <t>6688</t>
  </si>
  <si>
    <t>Waterschap Limburg</t>
  </si>
  <si>
    <t>Limburg Water Board</t>
  </si>
  <si>
    <t>Venlo</t>
  </si>
  <si>
    <t>Providing wastewater services to the northern and central parts of the province of Limburg</t>
  </si>
  <si>
    <t>https://www.waterschaplimburg.nl/</t>
  </si>
  <si>
    <t>p. 150-158</t>
  </si>
  <si>
    <t>https://www.waterschaplimburg.nl/publish/pages/9336/begroting_2025_waterschap_limburg.pdf?utm_</t>
  </si>
  <si>
    <t>https://www.waterschaplimburg.nl/overons/feiten-cijfers/begrotingen/begroting-rapportages-2025/?utm_</t>
  </si>
  <si>
    <t>7386</t>
  </si>
  <si>
    <t>Parnu Vesi</t>
  </si>
  <si>
    <t>Pärnu</t>
  </si>
  <si>
    <t>Providing water and wastewater services to Parnu municipality</t>
  </si>
  <si>
    <t>http://www.pvesi.ee</t>
  </si>
  <si>
    <t>3246</t>
  </si>
  <si>
    <t>Association of municipalities Dreux</t>
  </si>
  <si>
    <t>Dreux</t>
  </si>
  <si>
    <t>Providing 19 municipalities with drinking water services, all by delegated management. The utility also provides 33 municipalities with wastewater services, 23 by delegated management</t>
  </si>
  <si>
    <t>https://www.dreux-agglomeration.fr/</t>
  </si>
  <si>
    <t>7036</t>
  </si>
  <si>
    <t>Lovech ViK</t>
  </si>
  <si>
    <t>Lovech</t>
  </si>
  <si>
    <t>Providing water and wastewater services to Lovech region</t>
  </si>
  <si>
    <t>http://www.wss-lovech.bg/</t>
  </si>
  <si>
    <t>7343</t>
  </si>
  <si>
    <t>Wasserverband Ossiacher See</t>
  </si>
  <si>
    <t>Feldkirchen</t>
  </si>
  <si>
    <t>Providing wastewater services to 6 municipalities: Feldkirchen, Himmelberg, Ossiach, Steindorf, Treffen and Villach.</t>
  </si>
  <si>
    <t>https://www.wvo.at/</t>
  </si>
  <si>
    <t>7364</t>
  </si>
  <si>
    <t>Municipal Water Supply and Sewerage Halkida</t>
  </si>
  <si>
    <t>Chalkida</t>
  </si>
  <si>
    <t>Providing water and wastewater services to the municipality of Halkida</t>
  </si>
  <si>
    <t>http://www.deyax.gr/</t>
  </si>
  <si>
    <t>8803</t>
  </si>
  <si>
    <t>Lakeuden Keskuspuhdistamo Oy</t>
  </si>
  <si>
    <t>Kempele</t>
  </si>
  <si>
    <t>https://kempeleenvesihuolto.fi/</t>
  </si>
  <si>
    <t>3997</t>
  </si>
  <si>
    <t>CO.R.D.A.R. Valsesia S.p.A.</t>
  </si>
  <si>
    <t>Serravalle Sesia</t>
  </si>
  <si>
    <t>Providing Integrated Water Service in 33 municipalities located in the provinces of Biella and Vercelli .</t>
  </si>
  <si>
    <t>http://www.cordarvalsesia.it</t>
  </si>
  <si>
    <t>3267</t>
  </si>
  <si>
    <t>Municipality of Grasse</t>
  </si>
  <si>
    <t>Grasse</t>
  </si>
  <si>
    <t>Providing Grasse with water and wastewater services by delegated management</t>
  </si>
  <si>
    <t>http://www.ville-grasse.fr</t>
  </si>
  <si>
    <t>3998</t>
  </si>
  <si>
    <t>Mondo Acqua S.p.A.</t>
  </si>
  <si>
    <t>Mondovì</t>
  </si>
  <si>
    <t>Providing water and wastewater services in 8 municipalities in the Cuneo province</t>
  </si>
  <si>
    <t>Municipalities (50.8%)  / Gruppo Iren (30.85%) [via Iren Acqua Gas SpA] / Società Metropolitana Acque Torino SpA (4.92%)  / Ferrero Attilio Costruzioni SpA (2.46%) / Tecnoedil SpA (3.32%) / Other shareholders (7.65%)</t>
  </si>
  <si>
    <t>http://www.mondoacqua.com</t>
  </si>
  <si>
    <t>3257</t>
  </si>
  <si>
    <t>Association of municipalities Choletais</t>
  </si>
  <si>
    <t>Cholet</t>
  </si>
  <si>
    <t>Providing 4 municipalities with drinking water services, 3 by delegated management. The utility also provides 26 municipalities with wastewater services, 14 by delegated management</t>
  </si>
  <si>
    <t>Lyonnaise des Eaux (Suez Environnement)/ SAUR</t>
  </si>
  <si>
    <t>https://www.cholet.fr/</t>
  </si>
  <si>
    <t>4000</t>
  </si>
  <si>
    <t>Acquedotto Valtiglione S.p.A.</t>
  </si>
  <si>
    <t>Providing water and wastwater services in 33 municipalities in the ATO Astigiano, Monferrato</t>
  </si>
  <si>
    <t>http://www.acquedottovaltiglione.it</t>
  </si>
  <si>
    <t>4814</t>
  </si>
  <si>
    <t>Servicio Municipal de Aguas de Talavera de la Reina</t>
  </si>
  <si>
    <t>Talavera de la Reina</t>
  </si>
  <si>
    <t>Providing water and wastewater services to Talavera de la Reina (Toledo)</t>
  </si>
  <si>
    <t>https://www.aqualia.com/es/web/aqualia-talavera-de-la-reina/</t>
  </si>
  <si>
    <t>7396</t>
  </si>
  <si>
    <t>Udeka</t>
  </si>
  <si>
    <t>Ventspils</t>
  </si>
  <si>
    <t>Providing water and wastewater services to Ventspils City and Municipality</t>
  </si>
  <si>
    <t>http://www.udeka.lv; https://www.sprk.gov.lv/sites/default/files/editor/UAPD/Parskatsparudenssaimniecibaspakalpojumiem2016gads1610.pdf</t>
  </si>
  <si>
    <t>8092</t>
  </si>
  <si>
    <t>Águas de Alenquer</t>
  </si>
  <si>
    <t>Alenquer</t>
  </si>
  <si>
    <t>Providing water and wastewater services to the municipality of Alenquer</t>
  </si>
  <si>
    <t>AGS, SA (40%)  / AQUAPOR (40%)  / Pragosa Ambiente (20%)  / Water Value - Serviços Ambientais, SA (0%) / Luságua - Gestão de Águas, SA (0%)</t>
  </si>
  <si>
    <t>http://www.aguasdealenquer.pt/</t>
  </si>
  <si>
    <t>7393</t>
  </si>
  <si>
    <t>Uvex Ltd. Sandanski</t>
  </si>
  <si>
    <t>Sandanski</t>
  </si>
  <si>
    <t>Providing water and wastewater services to Sandanski region</t>
  </si>
  <si>
    <t>http://uvexbg.com</t>
  </si>
  <si>
    <t>4003</t>
  </si>
  <si>
    <t>Montagna 2000 S.p.A.</t>
  </si>
  <si>
    <t>Borgo Val di Taro</t>
  </si>
  <si>
    <t>Providing water and wastewater services to 14 municipalities in the ATO Parma.</t>
  </si>
  <si>
    <t>http://www.montagna2000.it</t>
  </si>
  <si>
    <t>7443</t>
  </si>
  <si>
    <t>AquaGib</t>
  </si>
  <si>
    <t>Gibraltar</t>
  </si>
  <si>
    <t xml:space="preserve">
</t>
  </si>
  <si>
    <t>http://aquagib.gi</t>
  </si>
  <si>
    <t>7227</t>
  </si>
  <si>
    <t>Vodovod i odvodnja d.o.o.</t>
  </si>
  <si>
    <t>Sibenik</t>
  </si>
  <si>
    <t>Providing water and wastewater services to Sibenik, Rogoznica and areas spanning counties of sibenik-Knin, Split-Dalamatia and Zadar</t>
  </si>
  <si>
    <t>http://www.vodovodsib.hr/</t>
  </si>
  <si>
    <t>4004</t>
  </si>
  <si>
    <t>Comune di Aosta</t>
  </si>
  <si>
    <t>Aosta</t>
  </si>
  <si>
    <t>Providing water and wastewater services in the city of Aosta</t>
  </si>
  <si>
    <t>http://www.comune.aosta.it</t>
  </si>
  <si>
    <t>7065</t>
  </si>
  <si>
    <t>CM de Albufeira</t>
  </si>
  <si>
    <t>Albufeira</t>
  </si>
  <si>
    <t>Providing water and wastewater services to County of Albufeira</t>
  </si>
  <si>
    <t>https://www.cm-albufeira.pt/servico-de-aguas</t>
  </si>
  <si>
    <t>23707</t>
  </si>
  <si>
    <t>Paris Ouest La Défense</t>
  </si>
  <si>
    <t>Providing 1 municipalities with water and 8 municipalities with wastewater services</t>
  </si>
  <si>
    <t>http://www.parisouestladefense.fr/pold/</t>
  </si>
  <si>
    <t>7291</t>
  </si>
  <si>
    <t>Tromsø Water and Sewerage Department</t>
  </si>
  <si>
    <t>Tromsø</t>
  </si>
  <si>
    <t>Providing water and wastewater services in the municipality of Tromsø</t>
  </si>
  <si>
    <t>https://www.tromso.kommune.no/index.php?cat=122285</t>
  </si>
  <si>
    <t>2026-29</t>
  </si>
  <si>
    <t>https://pub.framsikt.net/2026/tromso/bm-2026-hap_26-29#/home</t>
  </si>
  <si>
    <t>4001</t>
  </si>
  <si>
    <t>AM.TER S.p.A.</t>
  </si>
  <si>
    <t>Cogoleto</t>
  </si>
  <si>
    <t>Providing water and wastewater services in 7 municipalities in the ATO Genovese</t>
  </si>
  <si>
    <t>Gruppo Iren (29.4%) [via Mediterranea delle Acque SpA 66.55% stake] / F2i Fondi Italiani per le Infrastrutture SGR SpA (19.6%) [via Mediterranea delle Acque SpA 66.55% stake] / Municipalities in Ponente area of the province of Genova (51%)</t>
  </si>
  <si>
    <t>http://www.amter.it</t>
  </si>
  <si>
    <t>4006</t>
  </si>
  <si>
    <t>Azienda Servizi Municipalizzati di Merano S.p.A.</t>
  </si>
  <si>
    <t>Merano/Meran</t>
  </si>
  <si>
    <t>Providing water and wastewater services in the municipalitiy of Merano</t>
  </si>
  <si>
    <t>http://www.swmeran.it/it/</t>
  </si>
  <si>
    <t>3975</t>
  </si>
  <si>
    <t>Comune di Mazara del Vallo</t>
  </si>
  <si>
    <t>Mazara del Vallo</t>
  </si>
  <si>
    <t>Providing water and wastewater services to Water and wastewater service in the municipality of Mazara del Vallo</t>
  </si>
  <si>
    <t>http://www.comune.mazaradelvallo.tp.it</t>
  </si>
  <si>
    <t>3221</t>
  </si>
  <si>
    <t>Association of municipalities Chalons-en-Champagne</t>
  </si>
  <si>
    <t>Châlons-En-Champagne</t>
  </si>
  <si>
    <t>Providing 8 municipalities with drinking water services, all by delegated management. The utility also provides 22 municipalities with wastewater services, 21 by delegated management</t>
  </si>
  <si>
    <t>http://www.chalons-agglo.fr/</t>
  </si>
  <si>
    <t>27954</t>
  </si>
  <si>
    <t>Příbramská provozní</t>
  </si>
  <si>
    <t>Central Bohemian Region</t>
  </si>
  <si>
    <t>Pribram</t>
  </si>
  <si>
    <t>Utility providing water and wastewater services to the city of Příbram. The utility leases the water and wastewater assets from the city, under a 10-year contract which began in 2025.</t>
  </si>
  <si>
    <t>City of Příbram (60%) / Veolia [via 1.SčV] (40%)</t>
  </si>
  <si>
    <t>https://www.pribramskaprovozni.cz/</t>
  </si>
  <si>
    <t>23708</t>
  </si>
  <si>
    <t>Paris Terres d’Envol</t>
  </si>
  <si>
    <t>https://www.paristerresdenvol.fr/</t>
  </si>
  <si>
    <t>4009</t>
  </si>
  <si>
    <t>AIGA S.p.A.</t>
  </si>
  <si>
    <t>Ventimiglia</t>
  </si>
  <si>
    <t>Providing water and wastewater services in the municipality of Ventimiglia</t>
  </si>
  <si>
    <t>Gruppo Iren (49%) [via Iren Acqua Gas SpA] / Comune di Ventimiglia (51%)</t>
  </si>
  <si>
    <t>http://www.aigaspa.it/</t>
  </si>
  <si>
    <t>26088</t>
  </si>
  <si>
    <t>Saint-Louis Agglo</t>
  </si>
  <si>
    <t>Providing 17 municipalities with drinking water services. The utility also provides 27 municipalities with wastewater services, 10 by delegated management</t>
  </si>
  <si>
    <t>https://www.agglo-saint-louis.fr/fr/</t>
  </si>
  <si>
    <t>7434</t>
  </si>
  <si>
    <t>Vodovody a kanalizace Trutnov, a. s.</t>
  </si>
  <si>
    <t>Trutnov</t>
  </si>
  <si>
    <t>Providing water and wastewater services to Trutnov and surrounding area</t>
  </si>
  <si>
    <t>Local municipalities (85.57%)  / Others (14.13%)</t>
  </si>
  <si>
    <t>http://www.vaktu.cz</t>
  </si>
  <si>
    <t>7145</t>
  </si>
  <si>
    <t>Providing water and wastewater services to County of Oliveira de Azeméis</t>
  </si>
  <si>
    <t>INDAQUA Group (100%)</t>
  </si>
  <si>
    <t>http://www.indaquaoazemeis.pt/pt/</t>
  </si>
  <si>
    <t>4008</t>
  </si>
  <si>
    <t>Servizi Territoriali Est Trentino S.p.A.</t>
  </si>
  <si>
    <t>Pergine Valsugana</t>
  </si>
  <si>
    <t>Providing water services to 10 municipalities and wastewater services to 6 municipalities in the province of Trento</t>
  </si>
  <si>
    <t>http://www.stetspa.it</t>
  </si>
  <si>
    <t>8794</t>
  </si>
  <si>
    <t>Kullaanvuoren jätevedenpuhdistamo</t>
  </si>
  <si>
    <t>Nokia</t>
  </si>
  <si>
    <t>https://www.nokianvesi.fi</t>
  </si>
  <si>
    <t>7409</t>
  </si>
  <si>
    <t>Carlow County Council</t>
  </si>
  <si>
    <t>Carlow</t>
  </si>
  <si>
    <t>Providing water and wastewater services to County Carlow</t>
  </si>
  <si>
    <t>http://www.carlow.ie/</t>
  </si>
  <si>
    <t>27928</t>
  </si>
  <si>
    <t>Stadtwerke Selm</t>
  </si>
  <si>
    <t>Selm</t>
  </si>
  <si>
    <t>A multi-utility providing energy, waste and water services in the town of Selm. Set up with Remondis in 2011, the utility initially provided wastewater services but in 2024 it was awarded a 20 year concession contract for drinking water.</t>
  </si>
  <si>
    <t>City of Selm (51%) / Remondis (49%)</t>
  </si>
  <si>
    <t>https://www.stadtwerke-selm.de/</t>
  </si>
  <si>
    <t>Not yet - haushaltsplan</t>
  </si>
  <si>
    <t>https://www.sitzungsdienst-selm.de/bi/___tmp/tmp/45081036/tqx9foTeMScDuJt82R6wkDI812EJhbuKnGNpqep3/YgrYAhQY/112069.pdf</t>
  </si>
  <si>
    <t>4010</t>
  </si>
  <si>
    <t>Indecast S.r.l.</t>
  </si>
  <si>
    <t>Castiglione delle Stiviere</t>
  </si>
  <si>
    <t>Providing water and wastewater services in the municipality of Castiglione delle Stiviere</t>
  </si>
  <si>
    <t>http://www.indecast.it/</t>
  </si>
  <si>
    <t>27152</t>
  </si>
  <si>
    <t>Aguas de Guadix</t>
  </si>
  <si>
    <t>Manages water and wastewater services in Guadix and the surrounding areas of Paulenca, Belerda, Hernán-Valle, as well as the Granada municipalities of Bácor-Olivar and Huélago.</t>
  </si>
  <si>
    <t>http://www.aguasdeguadix.com/</t>
  </si>
  <si>
    <t>3396</t>
  </si>
  <si>
    <t>ENNI Stadt &amp; Service Niederrhein AöR</t>
  </si>
  <si>
    <t>Providing wastewater services to Moers</t>
  </si>
  <si>
    <t>http://www.enni.de/stadt-service/entwaesserung.html</t>
  </si>
  <si>
    <t>3320</t>
  </si>
  <si>
    <t>Wirtschaftsbetrieb Mainz</t>
  </si>
  <si>
    <t>Mainz</t>
  </si>
  <si>
    <t>Providing wastewater services to Mainz</t>
  </si>
  <si>
    <t>http://www.mainz.de/microsite/wb/index.php</t>
  </si>
  <si>
    <t>pp. 26-27</t>
  </si>
  <si>
    <t>https://bi.mainz.de/getfile.php?id=317805&amp;type=do</t>
  </si>
  <si>
    <t>https://bi.mainz.de/to0050.php?__ktonr=120763</t>
  </si>
  <si>
    <t>4011</t>
  </si>
  <si>
    <t>Azienda Specializzata Settore Multiservizi S.p.A.</t>
  </si>
  <si>
    <t>Tolentino</t>
  </si>
  <si>
    <t>Providing water and wastewater services in 9 municipalities in the province of Macerata</t>
  </si>
  <si>
    <t>http://www.assm.it</t>
  </si>
  <si>
    <t>4013</t>
  </si>
  <si>
    <t>Azienda Multiservizi Valenzana S.p.A.</t>
  </si>
  <si>
    <t>Valenza</t>
  </si>
  <si>
    <t>Providing water and wastewater services in the municipalities of Valenza, Bassignana and Pecetto di Valenza (province of Alessandria)</t>
  </si>
  <si>
    <t>http://www.amvalenza.it/amv-spa/</t>
  </si>
  <si>
    <t>27139</t>
  </si>
  <si>
    <t>Aquaelvas</t>
  </si>
  <si>
    <t>Concessionaire responsible for managing water supply and drainage system infrastructure, serving the town of Elvas and surrounding urban areas. The company serves around 23,000 inhabitants.</t>
  </si>
  <si>
    <t>https://www.aquaelvas.pt/</t>
  </si>
  <si>
    <t>27671</t>
  </si>
  <si>
    <t>Billund Vand &amp; Energi</t>
  </si>
  <si>
    <t>Syddanmark</t>
  </si>
  <si>
    <t>Billund</t>
  </si>
  <si>
    <t>Utility providing drinking water and wastewater to the town of Billund.</t>
  </si>
  <si>
    <t>https://www.billundvand.dk/</t>
  </si>
  <si>
    <t>8802</t>
  </si>
  <si>
    <t>Kemin Vesi Oy</t>
  </si>
  <si>
    <t>Kemi</t>
  </si>
  <si>
    <t>http://www.kenve.fi/</t>
  </si>
  <si>
    <t>8086</t>
  </si>
  <si>
    <t>Águas de São João EM, SA</t>
  </si>
  <si>
    <t>São João de Madeira</t>
  </si>
  <si>
    <t>Providing water and wastewater services to the city of São João de Madeira</t>
  </si>
  <si>
    <t>INDAQUA - Indústria e Gestão de Águas, SA (49%)  / Município de São João da Madeira (51%)</t>
  </si>
  <si>
    <t>http://www.aguasdesjoao.pt/</t>
  </si>
  <si>
    <t>8093</t>
  </si>
  <si>
    <t>TaviraVerde, Empresa Municipal de Ambiente</t>
  </si>
  <si>
    <t>Tavira</t>
  </si>
  <si>
    <t>Providing water and wastewater services to the city of Tavira</t>
  </si>
  <si>
    <t>Municipio da Tavira (51%)  / AGS, SA (49%)</t>
  </si>
  <si>
    <t>http://www.taviraverde.pt/</t>
  </si>
  <si>
    <t>4014</t>
  </si>
  <si>
    <t>Comuni dell'Acquedotto Langhe Sud Occidentali S.p.A.</t>
  </si>
  <si>
    <t>Dogliani</t>
  </si>
  <si>
    <t>Providing water and wastewater services in 23 municipalities in the Cuneo province</t>
  </si>
  <si>
    <t>https://calso.org/</t>
  </si>
  <si>
    <t>8815</t>
  </si>
  <si>
    <t>Orimattilan Vesi Oy</t>
  </si>
  <si>
    <t>Orimattila</t>
  </si>
  <si>
    <t>http://www.orimattilanvesi.fi//</t>
  </si>
  <si>
    <t>27927</t>
  </si>
  <si>
    <t>Regionalwerke Grafschaft</t>
  </si>
  <si>
    <t>A utility company set up in 2020 to run the water and wastewater treatment plants in the town of Grafschaft.</t>
  </si>
  <si>
    <t>Municipality of Grafschaft (51%) / Remondis (49%)</t>
  </si>
  <si>
    <t>https://www.regionalwerke-grafschaft.de/</t>
  </si>
  <si>
    <t>8808</t>
  </si>
  <si>
    <t>Kurikan Vesihuolto Oy</t>
  </si>
  <si>
    <t>Kurika</t>
  </si>
  <si>
    <t>https://www.kurikanvesihuolto.fi/</t>
  </si>
  <si>
    <t>3972</t>
  </si>
  <si>
    <t>Comune di Marsala</t>
  </si>
  <si>
    <t>Marsala</t>
  </si>
  <si>
    <t>Providing water and wastewater services to Water and wastewater service in the municipality of Marsala (Trapani)</t>
  </si>
  <si>
    <t>http://www.comune.marsala.tp.it/flex/cm/pages/ServeBLOB.php/L/IT/IDPagina/28676</t>
  </si>
  <si>
    <t>27140</t>
  </si>
  <si>
    <t>aquamaior</t>
  </si>
  <si>
    <t>Concession company responsible for the management and operation of water and wastewater systems for the urban areas of Vila de Campo Maior, Nossa Senhora da Graça dos Degolados, and lugar de Ouguela in Portugal.</t>
  </si>
  <si>
    <t>https://www.aquamaior.pt/</t>
  </si>
  <si>
    <t>3923</t>
  </si>
  <si>
    <t>Acquedotto di Savona S.p.A.</t>
  </si>
  <si>
    <t>Providing water and wastewater services in the 16 municipalities in province of Savona, wastewater service in the municiaplity of Quiliano (Savona)</t>
  </si>
  <si>
    <t>http://www.acquedottosavona.it/</t>
  </si>
  <si>
    <t>8816</t>
  </si>
  <si>
    <t>Vesihuoltolaitos - Oriveden Kaupunki</t>
  </si>
  <si>
    <t>Orivesi</t>
  </si>
  <si>
    <t>http://www.orivesi.fi/fi/palvelut/vesihuolto</t>
  </si>
  <si>
    <t>4005</t>
  </si>
  <si>
    <t>Società dell'Acqua Potabile S.r.l.</t>
  </si>
  <si>
    <t>Sestri Levante</t>
  </si>
  <si>
    <t>Providing water and wastewater services in 4 municipalities in the province of Genova</t>
  </si>
  <si>
    <t>Comune di Cogorno (51%)  / Veolia Environnement (49%)</t>
  </si>
  <si>
    <t>http://www.saponline.it</t>
  </si>
  <si>
    <t>8089</t>
  </si>
  <si>
    <t>Águas de Carrazeda</t>
  </si>
  <si>
    <t>Bragança</t>
  </si>
  <si>
    <t>Carrazeda de Ansiães</t>
  </si>
  <si>
    <t>Providing water and wastewater services to the municipality of Carrazeda de Ansiães</t>
  </si>
  <si>
    <t>AGS,SA (75%)  / Socopul, SA (25%)</t>
  </si>
  <si>
    <t>http://www.aguasdecarrazeda.pt/</t>
  </si>
  <si>
    <t>3195</t>
  </si>
  <si>
    <t>Association of municipalities Royan Atlantique</t>
  </si>
  <si>
    <t>Royan</t>
  </si>
  <si>
    <t>Providing 2 municipalities with drinking water services, both by delegated management. The utility also provides 33 municipalities with wastewater services</t>
  </si>
  <si>
    <t>Compagnie des Eaux de Royan (subsidiary of SAUR group)</t>
  </si>
  <si>
    <t>https://www.agglo-royan.fr/</t>
  </si>
  <si>
    <t>8817</t>
  </si>
  <si>
    <t>Pietarsaaren Vesi: Jakobstads Vatten</t>
  </si>
  <si>
    <t>Jakobstad</t>
  </si>
  <si>
    <t>http://www.pietarsaarenvesi.fi/fi/ajankohtaista.html</t>
  </si>
  <si>
    <t>3418</t>
  </si>
  <si>
    <t>EBW Wuerzburg</t>
  </si>
  <si>
    <t>Würzburg</t>
  </si>
  <si>
    <t>Providing wastewater services to Wurzburg</t>
  </si>
  <si>
    <t>http://www.ebw.wuerzburg.de/klaerwerk.htm</t>
  </si>
  <si>
    <t>6605</t>
  </si>
  <si>
    <t>Wodociągi Miasta Krakowa</t>
  </si>
  <si>
    <t>Kraków Water</t>
  </si>
  <si>
    <t>Kraków</t>
  </si>
  <si>
    <t>Providing water and wastewater services to Kraków City</t>
  </si>
  <si>
    <t>https://wodociagi.krakow.pl/</t>
  </si>
  <si>
    <t>https://www.bip.krakow.pl/?dok_id=167&amp;sub_dok_id=167&amp;sub=uchwala&amp;query=id%3D28636%26typ%3Du</t>
  </si>
  <si>
    <t>Wupperverband</t>
  </si>
  <si>
    <t>Nord Rhine-Westphalia</t>
  </si>
  <si>
    <t>Wupper area (813 km2)</t>
  </si>
  <si>
    <t>We operate 14 dams, 11 sewage treatment plants, a sludge incineration plant and other facilities, e.g. flood retention basins and rainwater basins. In addition, we maintain a total of around 2,000 kilometres of rivers and streams.'</t>
  </si>
  <si>
    <t>Public COMPANY (financed by member contributions)</t>
  </si>
  <si>
    <t>https://www.wupperverband.de/startseite</t>
  </si>
  <si>
    <t>pp. 103-117</t>
  </si>
  <si>
    <t>https://www.wupperverband.de/suchergebnisse#suche~wirtschaftsplan%202025</t>
  </si>
  <si>
    <t>https://www.wupperverband.de/internet/mediendb.nsf/gfx/7F633A0824A81BA3C1258C0C0042D1BF/$file/Wirtschaftsplan_2025.pdf</t>
  </si>
  <si>
    <t>ABC Napoli</t>
  </si>
  <si>
    <t>Naples</t>
  </si>
  <si>
    <t>pp. 86-88 (mb); pp. 91-93</t>
  </si>
  <si>
    <t>https://www.enteidricocampano.it/wp-content/uploads/2024/11/Delibera-n.-2_-del-24_ottobre_2024_Approvazione_Piano_di_Distretto_Napoli_Citta_rev_def.pdf</t>
  </si>
  <si>
    <t>3578</t>
  </si>
  <si>
    <t>Zweckverband Wasser/Abwasser Mittleres Elstertal</t>
  </si>
  <si>
    <t>Gera</t>
  </si>
  <si>
    <t>Providing water and wastewater services to Gera and surrounding districts</t>
  </si>
  <si>
    <t>Association of cities and municipalities</t>
  </si>
  <si>
    <t>http://www.zvme.de/zvme/</t>
  </si>
  <si>
    <t>pp. 1963-1965 &amp; 1969-1971</t>
  </si>
  <si>
    <t>https://gera.ratsinfomanagement.net/sdnetrim/UGhVM0hpd2NXNFdFcExjZU1BY90diqzONP_okMiAH7vDA7AgJxZ1oFT96sFBUr9y31HeiKJ6pwLFP4XwEhkqoA/Gesamtes_Sitzungspaket.pdf</t>
  </si>
  <si>
    <t>https://gera.ratsinfomanagement.net/tops/?__=UGhVM0hpd2NXNFdFcExjZW20uTm6KArzDW4gQhF3bVQ</t>
  </si>
  <si>
    <t>Shelter (m)</t>
  </si>
  <si>
    <t>BIOFOS</t>
  </si>
  <si>
    <t>Copenhagen</t>
  </si>
  <si>
    <t>BIOFOS is Denmark’s largest wastewater utility, treating the wastewater from 1.2 million inhabitants in the Copenhagen metropolitan area. It operates three large wastewater treatment plants: Lynetten, Damhusåen and Avedøre.</t>
  </si>
  <si>
    <t>https://biofos.dk/</t>
  </si>
  <si>
    <t>Yes but annexes condifential</t>
  </si>
  <si>
    <t>https://biofos.dk/files/media/document/07.%20Investeringsplan%20for%202026-2029.pdf</t>
  </si>
  <si>
    <t>https://biofos.dk/om-biofos/hvem-er-vi/bestyrelse/bestyrelsesreferater</t>
  </si>
  <si>
    <t>Collected</t>
  </si>
  <si>
    <t>To go</t>
  </si>
  <si>
    <t>1. Projects, annual</t>
  </si>
  <si>
    <t>2. Applications + big projects, annual</t>
  </si>
  <si>
    <t>3. Applications, annual</t>
  </si>
  <si>
    <t>4. Projects, multi-year cost</t>
  </si>
  <si>
    <t>5. Applications, multi-year cost</t>
  </si>
  <si>
    <t>6. Project list only</t>
  </si>
  <si>
    <t>7. Top level spending, annual</t>
  </si>
  <si>
    <t>Data set type</t>
  </si>
  <si>
    <t>Projects, annual</t>
  </si>
  <si>
    <t>Applications + big projects, annual</t>
  </si>
  <si>
    <t>Applications, annual</t>
  </si>
  <si>
    <t>Projects, multi-year cost</t>
  </si>
  <si>
    <t>Graphs</t>
  </si>
  <si>
    <t>Applications, multi-year cost</t>
  </si>
  <si>
    <t>Project list only</t>
  </si>
  <si>
    <t>Applications+ big projects, multi year</t>
  </si>
  <si>
    <t>Links to all river basin management authorities</t>
  </si>
  <si>
    <t>https://www.miteco.gob.es/es/agua/temas/planificacion-hidrologica/planes-cuenca-2022-2027.html</t>
  </si>
  <si>
    <t>Tagus River Basin (Madrid)</t>
  </si>
  <si>
    <t>https://www.chduero.es/web/guest/borrador-de-proyecto-de-plan-hidrol%C3%B3gico1</t>
  </si>
  <si>
    <t>Segura River Basin plna</t>
  </si>
  <si>
    <t>https://www.chsegura.es/export/sites/chs/descargas/planificacionydma/planificacion21-27/docsdescarga/docplan2227BOE/A10_programa_medidas/Anejo_10_Programa_medidas.pdf</t>
  </si>
  <si>
    <t>Draft 2028 river basin management plans due later in 2026 - we should incorporate them then.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</si>
</sst>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2]\ #,##0.00;[Red]\-[$€-2]\ #,##0.00"/>
  </numFmts>
  <fonts count="46">
    <font>
      <sz val="11"/>
      <color theme="1"/>
      <name val="Aptos Narrow"/>
      <family val="2"/>
      <scheme val="minor"/>
    </font>
    <font>
      <sz val="11"/>
      <name val="Arial"/>
      <family val="1"/>
    </font>
    <font>
      <sz val="11"/>
      <name val="Arial"/>
      <family val="2"/>
    </font>
    <font>
      <sz val="11"/>
      <name val="Aptos Narrow"/>
      <family val="2"/>
      <scheme val="minor"/>
    </font>
    <font>
      <u/>
      <sz val="11"/>
      <color theme="10"/>
      <name val="Aptos Narrow"/>
      <family val="2"/>
      <scheme val="minor"/>
    </font>
    <font>
      <sz val="11"/>
      <color rgb="FF000000"/>
      <name val="Arial"/>
      <family val="2"/>
    </font>
    <font>
      <sz val="11"/>
      <color rgb="FFFF0000"/>
      <name val="Arial"/>
      <family val="2"/>
    </font>
    <font>
      <b/>
      <sz val="11"/>
      <name val="Aptos Narrow"/>
      <family val="2"/>
      <scheme val="minor"/>
    </font>
    <font>
      <sz val="12"/>
      <color theme="1"/>
      <name val="Arial"/>
      <family val="2"/>
    </font>
    <font>
      <u/>
      <sz val="11"/>
      <color theme="10"/>
      <name val="Arial"/>
      <family val="2"/>
    </font>
    <font>
      <b/>
      <sz val="11"/>
      <name val="Arial"/>
      <family val="2"/>
    </font>
    <font>
      <sz val="12"/>
      <name val="Arial"/>
      <family val="2"/>
    </font>
    <font>
      <sz val="11"/>
      <color theme="1"/>
      <name val="Arial"/>
      <family val="2"/>
    </font>
    <font>
      <sz val="11"/>
      <name val="Aptos Narrow"/>
      <family val="2"/>
    </font>
    <font>
      <sz val="11"/>
      <color rgb="FF1F1D21"/>
      <name val="Arial"/>
      <family val="2"/>
    </font>
    <font>
      <sz val="12"/>
      <color rgb="FF0F0F0F"/>
      <name val="Times New Roman"/>
      <family val="1"/>
    </font>
    <font>
      <b/>
      <sz val="11"/>
      <color rgb="FFFF0000"/>
      <name val="Arial"/>
      <family val="2"/>
    </font>
    <font>
      <b/>
      <i/>
      <sz val="11"/>
      <color rgb="FFFF0000"/>
      <name val="Arial"/>
      <family val="2"/>
    </font>
    <font>
      <b/>
      <i/>
      <sz val="11"/>
      <name val="Arial"/>
      <family val="2"/>
    </font>
    <font>
      <b/>
      <sz val="11"/>
      <color theme="1"/>
      <name val="Aptos Narrow"/>
      <family val="2"/>
      <scheme val="minor"/>
    </font>
    <font>
      <sz val="8"/>
      <name val="Aptos Narrow"/>
      <family val="2"/>
      <scheme val="minor"/>
    </font>
    <font>
      <sz val="11"/>
      <color rgb="FFFF0000"/>
      <name val="Aptos Narrow"/>
      <family val="2"/>
      <scheme val="minor"/>
    </font>
    <font>
      <sz val="11"/>
      <color rgb="FFFF0000"/>
      <name val="Arial"/>
      <family val="1"/>
    </font>
    <font>
      <b/>
      <sz val="9"/>
      <color rgb="FF000000"/>
      <name val="Arial"/>
      <family val="2"/>
    </font>
    <font>
      <u/>
      <sz val="11"/>
      <color rgb="FFFF0000"/>
      <name val="Arial"/>
      <family val="2"/>
    </font>
    <font>
      <sz val="12"/>
      <color theme="1"/>
      <name val="Aptos"/>
      <family val="2"/>
    </font>
    <font>
      <b/>
      <sz val="11"/>
      <name val="Aptos Narrow"/>
      <family val="2"/>
    </font>
    <font>
      <sz val="11"/>
      <color rgb="FF000000"/>
      <name val="Arial"/>
      <family val="1"/>
    </font>
    <font>
      <sz val="11"/>
      <color rgb="FF000000"/>
      <name val="Aptos Narrow"/>
      <family val="2"/>
      <scheme val="minor"/>
    </font>
    <font>
      <u/>
      <sz val="11"/>
      <color rgb="FF000000"/>
      <name val="Aptos Narrow"/>
      <family val="2"/>
      <scheme val="minor"/>
    </font>
    <font>
      <sz val="11"/>
      <color theme="1"/>
      <name val="Aptos Narrow"/>
      <family val="2"/>
      <scheme val="minor"/>
    </font>
    <font>
      <sz val="11"/>
      <color theme="1"/>
      <name val="Arial"/>
      <family val="1"/>
    </font>
    <font>
      <u/>
      <sz val="11"/>
      <color theme="1"/>
      <name val="Aptos Narrow"/>
      <family val="2"/>
      <scheme val="minor"/>
    </font>
    <font>
      <sz val="11"/>
      <color rgb="FF000000"/>
      <name val="Calibri"/>
      <family val="2"/>
    </font>
    <font>
      <sz val="11"/>
      <color rgb="FF0D0D0D"/>
      <name val="Calibri"/>
      <family val="2"/>
    </font>
    <font>
      <sz val="11"/>
      <color rgb="FF0D0D0D"/>
      <name val="Aptos Narrow"/>
      <family val="2"/>
    </font>
    <font>
      <sz val="11"/>
      <color rgb="FF202122"/>
      <name val="Aptos Narrow"/>
      <family val="2"/>
      <scheme val="minor"/>
    </font>
    <font>
      <sz val="11"/>
      <color rgb="FF333333"/>
      <name val="Inherit"/>
    </font>
    <font>
      <sz val="11"/>
      <color rgb="FF333333"/>
      <name val="Arial"/>
      <family val="2"/>
    </font>
    <font>
      <sz val="11"/>
      <name val="MazzardH"/>
    </font>
    <font>
      <sz val="11"/>
      <color rgb="FF000000"/>
      <name val="Aptos Narrow"/>
      <family val="2"/>
    </font>
    <font>
      <sz val="9.6999999999999993"/>
      <color rgb="FF000000"/>
      <name val="Calibri"/>
      <family val="2"/>
    </font>
    <font>
      <sz val="10.25"/>
      <name val="Arial"/>
      <family val="1"/>
    </font>
    <font>
      <sz val="8"/>
      <color rgb="FF444444"/>
      <name val="Arial-regular"/>
    </font>
    <font>
      <sz val="11"/>
      <name val="Arial"/>
    </font>
    <font>
      <sz val="11"/>
      <color theme="1"/>
      <name val="Arial"/>
    </font>
  </fonts>
  <fills count="21">
    <fill>
      <patternFill patternType="none"/>
    </fill>
    <fill>
      <patternFill patternType="gray125"/>
    </fill>
    <fill>
      <patternFill patternType="solid">
        <fgColor theme="3" tint="0.749992370372631"/>
        <bgColor indexed="64"/>
      </patternFill>
    </fill>
    <fill>
      <patternFill patternType="solid">
        <fgColor rgb="FFFFC0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0B050"/>
        <bgColor indexed="64"/>
      </patternFill>
    </fill>
    <fill>
      <patternFill patternType="solid">
        <fgColor theme="3" tint="0.499984740745262"/>
        <bgColor indexed="64"/>
      </patternFill>
    </fill>
    <fill>
      <patternFill patternType="solid">
        <fgColor rgb="FFFF0000"/>
        <bgColor indexed="64"/>
      </patternFill>
    </fill>
    <fill>
      <patternFill patternType="solid">
        <fgColor theme="5" tint="-0.24997711111789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79998168889431442"/>
        <bgColor indexed="65"/>
      </patternFill>
    </fill>
    <fill>
      <patternFill patternType="solid">
        <fgColor theme="8" tint="0.59999389629810485"/>
        <bgColor indexed="64"/>
      </patternFill>
    </fill>
    <fill>
      <patternFill patternType="solid">
        <fgColor theme="5" tint="0.39997558519241921"/>
        <bgColor indexed="64"/>
      </patternFill>
    </fill>
    <fill>
      <patternFill patternType="solid">
        <fgColor theme="0"/>
        <bgColor indexed="64"/>
      </patternFill>
    </fill>
  </fills>
  <borders count="2">
    <border>
      <left/>
      <right/>
      <top/>
      <bottom/>
      <diagonal/>
    </border>
    <border>
      <left/>
      <right/>
      <top style="thin">
        <color theme="9" tint="0.39997558519241921"/>
      </top>
      <bottom style="thin">
        <color theme="9" tint="0.39997558519241921"/>
      </bottom>
      <diagonal/>
    </border>
  </borders>
  <cellStyleXfs count="3">
    <xf numFmtId="0" fontId="0" fillId="0" borderId="0"/>
    <xf numFmtId="0" fontId="4" fillId="0" borderId="0" applyNumberFormat="0" applyFill="0" applyBorder="0" applyAlignment="0" applyProtection="0"/>
    <xf numFmtId="0" fontId="30" fillId="17" borderId="0" applyNumberFormat="0" applyBorder="0" applyAlignment="0" applyProtection="0"/>
  </cellStyleXfs>
  <cellXfs count="171">
    <xf numFmtId="0" fontId="0" fillId="0" borderId="0" xfId="0"/>
    <xf numFmtId="0" fontId="1" fillId="0" borderId="0" xfId="0" applyFont="1" applyAlignment="1">
      <alignment vertical="top"/>
    </xf>
    <xf numFmtId="0" fontId="3" fillId="0" borderId="0" xfId="0" applyFont="1"/>
    <xf numFmtId="0" fontId="3" fillId="2" borderId="0" xfId="0" applyFont="1" applyFill="1" applyAlignment="1">
      <alignment wrapText="1"/>
    </xf>
    <xf numFmtId="0" fontId="2" fillId="3" borderId="0" xfId="0" applyFont="1" applyFill="1" applyAlignment="1">
      <alignment horizontal="center" vertical="center" wrapText="1"/>
    </xf>
    <xf numFmtId="0" fontId="4" fillId="5" borderId="0" xfId="1" applyFill="1"/>
    <xf numFmtId="0" fontId="2" fillId="5" borderId="0" xfId="0" applyFont="1" applyFill="1"/>
    <xf numFmtId="0" fontId="5" fillId="5" borderId="0" xfId="0" applyFont="1" applyFill="1"/>
    <xf numFmtId="0" fontId="6" fillId="5" borderId="0" xfId="0" applyFont="1" applyFill="1"/>
    <xf numFmtId="0" fontId="3" fillId="3" borderId="0" xfId="0" applyFont="1" applyFill="1" applyAlignment="1">
      <alignment wrapText="1"/>
    </xf>
    <xf numFmtId="0" fontId="7" fillId="0" borderId="0" xfId="0" applyFont="1"/>
    <xf numFmtId="0" fontId="4" fillId="0" borderId="0" xfId="1"/>
    <xf numFmtId="0" fontId="4" fillId="5" borderId="0" xfId="1" applyFill="1" applyAlignment="1">
      <alignment vertical="top"/>
    </xf>
    <xf numFmtId="0" fontId="2" fillId="2" borderId="0" xfId="0" applyFont="1" applyFill="1" applyAlignment="1">
      <alignment horizontal="center" vertical="center" wrapText="1"/>
    </xf>
    <xf numFmtId="0" fontId="2" fillId="5" borderId="0" xfId="0" applyFont="1" applyFill="1" applyAlignment="1">
      <alignment vertical="top"/>
    </xf>
    <xf numFmtId="0" fontId="5" fillId="6" borderId="0" xfId="0" applyFont="1" applyFill="1"/>
    <xf numFmtId="0" fontId="2" fillId="6" borderId="0" xfId="0" applyFont="1" applyFill="1" applyAlignment="1">
      <alignment vertical="top"/>
    </xf>
    <xf numFmtId="0" fontId="2" fillId="0" borderId="0" xfId="0" applyFont="1" applyAlignment="1">
      <alignment vertical="top"/>
    </xf>
    <xf numFmtId="0" fontId="2" fillId="0" borderId="0" xfId="0" applyFont="1"/>
    <xf numFmtId="0" fontId="6" fillId="0" borderId="0" xfId="0" applyFont="1"/>
    <xf numFmtId="0" fontId="8" fillId="6" borderId="0" xfId="0" applyFont="1" applyFill="1"/>
    <xf numFmtId="0" fontId="2" fillId="4" borderId="0" xfId="0" applyFont="1" applyFill="1" applyAlignment="1">
      <alignment vertical="top"/>
    </xf>
    <xf numFmtId="0" fontId="2" fillId="4" borderId="0" xfId="0" applyFont="1" applyFill="1"/>
    <xf numFmtId="0" fontId="6" fillId="4" borderId="0" xfId="0" applyFont="1" applyFill="1"/>
    <xf numFmtId="0" fontId="2" fillId="3" borderId="0" xfId="0" applyFont="1" applyFill="1" applyAlignment="1">
      <alignment vertical="top"/>
    </xf>
    <xf numFmtId="0" fontId="2" fillId="3" borderId="0" xfId="0" applyFont="1" applyFill="1"/>
    <xf numFmtId="0" fontId="6" fillId="3" borderId="0" xfId="0" applyFont="1" applyFill="1"/>
    <xf numFmtId="0" fontId="9" fillId="3" borderId="0" xfId="1" applyFont="1" applyFill="1"/>
    <xf numFmtId="0" fontId="9" fillId="5" borderId="0" xfId="1" applyFont="1" applyFill="1"/>
    <xf numFmtId="0" fontId="11" fillId="6" borderId="0" xfId="0" applyFont="1" applyFill="1"/>
    <xf numFmtId="0" fontId="9" fillId="5" borderId="0" xfId="1" applyFont="1" applyFill="1" applyAlignment="1">
      <alignment vertical="top"/>
    </xf>
    <xf numFmtId="0" fontId="9" fillId="0" borderId="0" xfId="1" applyFont="1" applyFill="1"/>
    <xf numFmtId="0" fontId="10" fillId="5" borderId="0" xfId="0" applyFont="1" applyFill="1"/>
    <xf numFmtId="0" fontId="12" fillId="5" borderId="0" xfId="0" applyFont="1" applyFill="1"/>
    <xf numFmtId="0" fontId="4" fillId="0" borderId="0" xfId="1" applyAlignment="1">
      <alignment vertical="top"/>
    </xf>
    <xf numFmtId="0" fontId="1" fillId="7" borderId="0" xfId="0" applyFont="1" applyFill="1" applyAlignment="1">
      <alignment vertical="top"/>
    </xf>
    <xf numFmtId="0" fontId="3" fillId="7" borderId="0" xfId="0" applyFont="1" applyFill="1"/>
    <xf numFmtId="0" fontId="4" fillId="7" borderId="0" xfId="1" applyFill="1"/>
    <xf numFmtId="0" fontId="1" fillId="8" borderId="0" xfId="0" applyFont="1" applyFill="1" applyAlignment="1">
      <alignment vertical="top"/>
    </xf>
    <xf numFmtId="0" fontId="3" fillId="8" borderId="0" xfId="0" applyFont="1" applyFill="1"/>
    <xf numFmtId="3" fontId="1" fillId="8" borderId="0" xfId="0" applyNumberFormat="1" applyFont="1" applyFill="1" applyAlignment="1">
      <alignment vertical="top"/>
    </xf>
    <xf numFmtId="0" fontId="1" fillId="5" borderId="0" xfId="0" applyFont="1" applyFill="1" applyAlignment="1">
      <alignment vertical="top"/>
    </xf>
    <xf numFmtId="0" fontId="3" fillId="5" borderId="0" xfId="0" applyFont="1" applyFill="1"/>
    <xf numFmtId="0" fontId="4" fillId="8" borderId="0" xfId="1" applyFill="1"/>
    <xf numFmtId="0" fontId="3" fillId="4" borderId="0" xfId="0" applyFont="1" applyFill="1"/>
    <xf numFmtId="0" fontId="13" fillId="0" borderId="0" xfId="0" applyFont="1"/>
    <xf numFmtId="0" fontId="2" fillId="9" borderId="0" xfId="0" applyFont="1" applyFill="1" applyAlignment="1">
      <alignment vertical="top"/>
    </xf>
    <xf numFmtId="0" fontId="1" fillId="10" borderId="0" xfId="0" applyFont="1" applyFill="1" applyAlignment="1">
      <alignment vertical="top"/>
    </xf>
    <xf numFmtId="0" fontId="14" fillId="6" borderId="0" xfId="0" applyFont="1" applyFill="1"/>
    <xf numFmtId="0" fontId="2" fillId="11" borderId="0" xfId="0" applyFont="1" applyFill="1" applyAlignment="1">
      <alignment vertical="top"/>
    </xf>
    <xf numFmtId="0" fontId="12" fillId="6" borderId="0" xfId="0" applyFont="1" applyFill="1"/>
    <xf numFmtId="0" fontId="2" fillId="12" borderId="0" xfId="0" applyFont="1" applyFill="1" applyAlignment="1">
      <alignment vertical="top"/>
    </xf>
    <xf numFmtId="0" fontId="15" fillId="12" borderId="0" xfId="0" applyFont="1" applyFill="1"/>
    <xf numFmtId="3" fontId="1" fillId="0" borderId="0" xfId="0" applyNumberFormat="1" applyFont="1" applyAlignment="1">
      <alignment vertical="top"/>
    </xf>
    <xf numFmtId="0" fontId="4" fillId="0" borderId="0" xfId="1" applyAlignment="1">
      <alignment vertical="center"/>
    </xf>
    <xf numFmtId="0" fontId="6" fillId="5" borderId="0" xfId="0" applyFont="1" applyFill="1" applyAlignment="1">
      <alignment wrapText="1"/>
    </xf>
    <xf numFmtId="0" fontId="10" fillId="11" borderId="0" xfId="0" applyFont="1" applyFill="1" applyAlignment="1">
      <alignment vertical="top"/>
    </xf>
    <xf numFmtId="0" fontId="4" fillId="0" borderId="0" xfId="1" applyFill="1" applyAlignment="1">
      <alignment vertical="top"/>
    </xf>
    <xf numFmtId="0" fontId="10" fillId="4" borderId="0" xfId="0" applyFont="1" applyFill="1" applyAlignment="1">
      <alignment vertical="top"/>
    </xf>
    <xf numFmtId="0" fontId="17" fillId="0" borderId="0" xfId="0" applyFont="1" applyAlignment="1">
      <alignment vertical="top"/>
    </xf>
    <xf numFmtId="0" fontId="18" fillId="4" borderId="0" xfId="0" applyFont="1" applyFill="1" applyAlignment="1">
      <alignment vertical="top"/>
    </xf>
    <xf numFmtId="0" fontId="10" fillId="0" borderId="0" xfId="0" applyFont="1" applyAlignment="1">
      <alignment vertical="top"/>
    </xf>
    <xf numFmtId="0" fontId="10" fillId="3" borderId="0" xfId="0" applyFont="1" applyFill="1" applyAlignment="1">
      <alignment vertical="top"/>
    </xf>
    <xf numFmtId="0" fontId="10" fillId="10" borderId="0" xfId="0" applyFont="1" applyFill="1" applyAlignment="1">
      <alignment vertical="top"/>
    </xf>
    <xf numFmtId="0" fontId="16" fillId="11" borderId="0" xfId="0" applyFont="1" applyFill="1" applyAlignment="1">
      <alignment vertical="top"/>
    </xf>
    <xf numFmtId="0" fontId="18" fillId="0" borderId="0" xfId="0" applyFont="1" applyAlignment="1">
      <alignment vertical="top"/>
    </xf>
    <xf numFmtId="0" fontId="18" fillId="11" borderId="0" xfId="0" applyFont="1" applyFill="1" applyAlignment="1">
      <alignment vertical="top"/>
    </xf>
    <xf numFmtId="0" fontId="1" fillId="5" borderId="0" xfId="0" quotePrefix="1" applyFont="1" applyFill="1" applyAlignment="1">
      <alignment vertical="top"/>
    </xf>
    <xf numFmtId="0" fontId="2" fillId="13" borderId="0" xfId="0" applyFont="1" applyFill="1"/>
    <xf numFmtId="0" fontId="1" fillId="11" borderId="0" xfId="0" applyFont="1" applyFill="1" applyAlignment="1">
      <alignment vertical="top"/>
    </xf>
    <xf numFmtId="0" fontId="10" fillId="13" borderId="0" xfId="0" applyFont="1" applyFill="1" applyAlignment="1">
      <alignment vertical="top"/>
    </xf>
    <xf numFmtId="0" fontId="19" fillId="0" borderId="0" xfId="0" applyFont="1"/>
    <xf numFmtId="0" fontId="22" fillId="0" borderId="0" xfId="0" applyFont="1" applyAlignment="1">
      <alignment vertical="top"/>
    </xf>
    <xf numFmtId="0" fontId="21" fillId="0" borderId="0" xfId="0" applyFont="1"/>
    <xf numFmtId="164" fontId="0" fillId="0" borderId="0" xfId="0" applyNumberFormat="1"/>
    <xf numFmtId="0" fontId="10" fillId="14" borderId="0" xfId="0" applyFont="1" applyFill="1"/>
    <xf numFmtId="0" fontId="2" fillId="14" borderId="0" xfId="0" applyFont="1" applyFill="1"/>
    <xf numFmtId="0" fontId="5" fillId="14" borderId="0" xfId="0" applyFont="1" applyFill="1"/>
    <xf numFmtId="0" fontId="4" fillId="0" borderId="0" xfId="1" applyFill="1"/>
    <xf numFmtId="16" fontId="3" fillId="0" borderId="0" xfId="0" applyNumberFormat="1" applyFont="1" applyAlignment="1">
      <alignment horizontal="center"/>
    </xf>
    <xf numFmtId="0" fontId="3" fillId="0" borderId="0" xfId="0" applyFont="1" applyAlignment="1">
      <alignment horizontal="center"/>
    </xf>
    <xf numFmtId="0" fontId="2" fillId="5" borderId="0" xfId="0" applyFont="1" applyFill="1" applyAlignment="1">
      <alignment horizontal="center"/>
    </xf>
    <xf numFmtId="16" fontId="3" fillId="0" borderId="0" xfId="0" quotePrefix="1" applyNumberFormat="1" applyFont="1" applyAlignment="1">
      <alignment horizontal="center"/>
    </xf>
    <xf numFmtId="0" fontId="18" fillId="3" borderId="0" xfId="0" applyFont="1" applyFill="1" applyAlignment="1">
      <alignment vertical="top"/>
    </xf>
    <xf numFmtId="0" fontId="21" fillId="5" borderId="0" xfId="0" applyFont="1" applyFill="1"/>
    <xf numFmtId="0" fontId="0" fillId="5" borderId="0" xfId="0" applyFill="1"/>
    <xf numFmtId="0" fontId="1" fillId="13" borderId="0" xfId="0" applyFont="1" applyFill="1" applyAlignment="1">
      <alignment vertical="top"/>
    </xf>
    <xf numFmtId="0" fontId="3" fillId="13" borderId="0" xfId="0" applyFont="1" applyFill="1"/>
    <xf numFmtId="0" fontId="21" fillId="13" borderId="0" xfId="0" applyFont="1" applyFill="1"/>
    <xf numFmtId="0" fontId="4" fillId="13" borderId="0" xfId="1" applyFill="1"/>
    <xf numFmtId="0" fontId="10" fillId="5" borderId="0" xfId="0" applyFont="1" applyFill="1" applyAlignment="1">
      <alignment vertical="top"/>
    </xf>
    <xf numFmtId="0" fontId="6" fillId="5" borderId="0" xfId="0" applyFont="1" applyFill="1" applyAlignment="1">
      <alignment vertical="top"/>
    </xf>
    <xf numFmtId="0" fontId="2" fillId="5" borderId="0" xfId="0" applyFont="1" applyFill="1" applyAlignment="1">
      <alignment horizontal="left" vertical="top"/>
    </xf>
    <xf numFmtId="0" fontId="18" fillId="5" borderId="0" xfId="0" applyFont="1" applyFill="1" applyAlignment="1">
      <alignment vertical="top"/>
    </xf>
    <xf numFmtId="0" fontId="4" fillId="4" borderId="0" xfId="1" applyFill="1"/>
    <xf numFmtId="0" fontId="4" fillId="5" borderId="0" xfId="1" applyFill="1" applyBorder="1"/>
    <xf numFmtId="0" fontId="3" fillId="0" borderId="1" xfId="0" applyFont="1" applyBorder="1"/>
    <xf numFmtId="3" fontId="3" fillId="0" borderId="0" xfId="0" applyNumberFormat="1" applyFont="1"/>
    <xf numFmtId="4" fontId="3" fillId="0" borderId="0" xfId="0" applyNumberFormat="1" applyFont="1"/>
    <xf numFmtId="16" fontId="3" fillId="0" borderId="0" xfId="0" applyNumberFormat="1" applyFont="1"/>
    <xf numFmtId="165" fontId="3" fillId="0" borderId="0" xfId="0" applyNumberFormat="1" applyFont="1"/>
    <xf numFmtId="0" fontId="22" fillId="10" borderId="0" xfId="0" applyFont="1" applyFill="1" applyAlignment="1">
      <alignment vertical="top"/>
    </xf>
    <xf numFmtId="0" fontId="21" fillId="4" borderId="0" xfId="0" applyFont="1" applyFill="1"/>
    <xf numFmtId="0" fontId="24" fillId="5" borderId="0" xfId="1" applyFont="1" applyFill="1"/>
    <xf numFmtId="0" fontId="4" fillId="4" borderId="0" xfId="1" applyFill="1" applyAlignment="1">
      <alignment vertical="top"/>
    </xf>
    <xf numFmtId="3" fontId="1" fillId="5" borderId="0" xfId="0" applyNumberFormat="1" applyFont="1" applyFill="1" applyAlignment="1">
      <alignment vertical="top"/>
    </xf>
    <xf numFmtId="0" fontId="2" fillId="10" borderId="0" xfId="0" applyFont="1" applyFill="1" applyAlignment="1">
      <alignment vertical="top"/>
    </xf>
    <xf numFmtId="0" fontId="2" fillId="10" borderId="0" xfId="0" applyFont="1" applyFill="1"/>
    <xf numFmtId="0" fontId="4" fillId="10" borderId="0" xfId="1" applyFill="1"/>
    <xf numFmtId="0" fontId="3" fillId="10" borderId="0" xfId="0" applyFont="1" applyFill="1"/>
    <xf numFmtId="0" fontId="3" fillId="16" borderId="0" xfId="0" applyFont="1" applyFill="1"/>
    <xf numFmtId="0" fontId="3" fillId="0" borderId="0" xfId="0" applyFont="1" applyAlignment="1">
      <alignment wrapText="1"/>
    </xf>
    <xf numFmtId="0" fontId="27" fillId="15" borderId="0" xfId="0" applyFont="1" applyFill="1" applyAlignment="1">
      <alignment vertical="top"/>
    </xf>
    <xf numFmtId="0" fontId="28" fillId="15" borderId="0" xfId="0" applyFont="1" applyFill="1"/>
    <xf numFmtId="0" fontId="27" fillId="4" borderId="0" xfId="0" applyFont="1" applyFill="1" applyAlignment="1">
      <alignment vertical="top"/>
    </xf>
    <xf numFmtId="0" fontId="27" fillId="0" borderId="0" xfId="0" applyFont="1" applyAlignment="1">
      <alignment vertical="top"/>
    </xf>
    <xf numFmtId="3" fontId="28" fillId="0" borderId="0" xfId="0" applyNumberFormat="1" applyFont="1"/>
    <xf numFmtId="0" fontId="28" fillId="0" borderId="0" xfId="0" applyFont="1"/>
    <xf numFmtId="0" fontId="28" fillId="4" borderId="0" xfId="0" applyFont="1" applyFill="1"/>
    <xf numFmtId="0" fontId="29" fillId="0" borderId="0" xfId="1" applyFont="1"/>
    <xf numFmtId="0" fontId="5" fillId="0" borderId="0" xfId="0" applyFont="1"/>
    <xf numFmtId="0" fontId="27" fillId="5" borderId="0" xfId="0" applyFont="1" applyFill="1" applyAlignment="1">
      <alignment vertical="top"/>
    </xf>
    <xf numFmtId="3" fontId="28" fillId="5" borderId="0" xfId="0" applyNumberFormat="1" applyFont="1" applyFill="1"/>
    <xf numFmtId="0" fontId="28" fillId="5" borderId="0" xfId="0" applyFont="1" applyFill="1"/>
    <xf numFmtId="0" fontId="29" fillId="5" borderId="0" xfId="1" applyFont="1" applyFill="1"/>
    <xf numFmtId="0" fontId="22" fillId="5" borderId="0" xfId="0" applyFont="1" applyFill="1" applyAlignment="1">
      <alignment vertical="top"/>
    </xf>
    <xf numFmtId="3" fontId="0" fillId="5" borderId="0" xfId="0" applyNumberFormat="1" applyFill="1"/>
    <xf numFmtId="0" fontId="25" fillId="5" borderId="0" xfId="0" applyFont="1" applyFill="1"/>
    <xf numFmtId="0" fontId="4" fillId="5" borderId="0" xfId="1" applyFill="1" applyAlignment="1">
      <alignment vertical="center"/>
    </xf>
    <xf numFmtId="0" fontId="3" fillId="5" borderId="0" xfId="0" applyFont="1" applyFill="1" applyAlignment="1">
      <alignment horizontal="center"/>
    </xf>
    <xf numFmtId="0" fontId="7" fillId="4" borderId="0" xfId="0" applyFont="1" applyFill="1"/>
    <xf numFmtId="0" fontId="3" fillId="3" borderId="0" xfId="0" applyFont="1" applyFill="1"/>
    <xf numFmtId="0" fontId="31" fillId="5" borderId="0" xfId="0" applyFont="1" applyFill="1" applyAlignment="1">
      <alignment vertical="top"/>
    </xf>
    <xf numFmtId="0" fontId="32" fillId="5" borderId="0" xfId="1" applyFont="1" applyFill="1" applyAlignment="1">
      <alignment vertical="top"/>
    </xf>
    <xf numFmtId="0" fontId="32" fillId="5" borderId="0" xfId="1" applyFont="1" applyFill="1"/>
    <xf numFmtId="0" fontId="2" fillId="18" borderId="0" xfId="0" applyFont="1" applyFill="1" applyAlignment="1">
      <alignment vertical="top"/>
    </xf>
    <xf numFmtId="0" fontId="10" fillId="18" borderId="0" xfId="0" applyFont="1" applyFill="1" applyAlignment="1">
      <alignment vertical="top"/>
    </xf>
    <xf numFmtId="0" fontId="2" fillId="18" borderId="0" xfId="0" applyFont="1" applyFill="1"/>
    <xf numFmtId="0" fontId="3" fillId="18" borderId="0" xfId="0" applyFont="1" applyFill="1"/>
    <xf numFmtId="0" fontId="23" fillId="5" borderId="0" xfId="0" applyFont="1" applyFill="1"/>
    <xf numFmtId="0" fontId="2" fillId="5" borderId="1" xfId="0" applyFont="1" applyFill="1" applyBorder="1"/>
    <xf numFmtId="0" fontId="1" fillId="4" borderId="0" xfId="0" applyFont="1" applyFill="1" applyAlignment="1">
      <alignment vertical="top"/>
    </xf>
    <xf numFmtId="14" fontId="3" fillId="0" borderId="0" xfId="0" applyNumberFormat="1" applyFont="1"/>
    <xf numFmtId="0" fontId="1" fillId="3" borderId="0" xfId="0" applyFont="1" applyFill="1" applyAlignment="1">
      <alignment vertical="top"/>
    </xf>
    <xf numFmtId="0" fontId="33" fillId="0" borderId="0" xfId="0" applyFont="1"/>
    <xf numFmtId="0" fontId="0" fillId="17" borderId="0" xfId="2" applyFont="1" applyAlignment="1">
      <alignment vertical="top"/>
    </xf>
    <xf numFmtId="0" fontId="0" fillId="0" borderId="0" xfId="2" applyFont="1" applyFill="1" applyAlignment="1">
      <alignment vertical="top"/>
    </xf>
    <xf numFmtId="0" fontId="31" fillId="0" borderId="0" xfId="0" applyFont="1" applyAlignment="1">
      <alignment vertical="top"/>
    </xf>
    <xf numFmtId="0" fontId="34" fillId="0" borderId="0" xfId="0" applyFont="1"/>
    <xf numFmtId="0" fontId="2" fillId="0" borderId="0" xfId="0" applyFont="1" applyAlignment="1">
      <alignment horizontal="center" vertical="center" wrapText="1"/>
    </xf>
    <xf numFmtId="0" fontId="36" fillId="0" borderId="0" xfId="0" applyFont="1"/>
    <xf numFmtId="0" fontId="38" fillId="0" borderId="0" xfId="0" applyFont="1"/>
    <xf numFmtId="0" fontId="37" fillId="0" borderId="0" xfId="0" applyFont="1" applyAlignment="1">
      <alignment vertical="center"/>
    </xf>
    <xf numFmtId="0" fontId="39" fillId="0" borderId="0" xfId="0" applyFont="1"/>
    <xf numFmtId="0" fontId="12" fillId="0" borderId="0" xfId="0" applyFont="1" applyAlignment="1">
      <alignment vertical="top"/>
    </xf>
    <xf numFmtId="0" fontId="2" fillId="4" borderId="0" xfId="0" applyFont="1" applyFill="1" applyAlignment="1">
      <alignment horizontal="center" vertical="center" wrapText="1"/>
    </xf>
    <xf numFmtId="0" fontId="4" fillId="17" borderId="0" xfId="1" applyFill="1"/>
    <xf numFmtId="0" fontId="1" fillId="19" borderId="0" xfId="0" applyFont="1" applyFill="1" applyAlignment="1">
      <alignment vertical="top"/>
    </xf>
    <xf numFmtId="0" fontId="21" fillId="19" borderId="0" xfId="0" applyFont="1" applyFill="1"/>
    <xf numFmtId="0" fontId="3" fillId="19" borderId="0" xfId="0" applyFont="1" applyFill="1"/>
    <xf numFmtId="0" fontId="43" fillId="5" borderId="0" xfId="0" applyFont="1" applyFill="1"/>
    <xf numFmtId="0" fontId="44" fillId="0" borderId="0" xfId="0" applyFont="1" applyAlignment="1">
      <alignment vertical="top"/>
    </xf>
    <xf numFmtId="0" fontId="44" fillId="5" borderId="0" xfId="0" applyFont="1" applyFill="1"/>
    <xf numFmtId="0" fontId="16" fillId="5" borderId="0" xfId="0" applyFont="1" applyFill="1" applyAlignment="1">
      <alignment vertical="top"/>
    </xf>
    <xf numFmtId="0" fontId="12" fillId="5" borderId="0" xfId="0" applyFont="1" applyFill="1" applyAlignment="1">
      <alignment vertical="top"/>
    </xf>
    <xf numFmtId="0" fontId="45" fillId="5" borderId="0" xfId="0" applyFont="1" applyFill="1"/>
    <xf numFmtId="0" fontId="12" fillId="20" borderId="0" xfId="0" applyFont="1" applyFill="1" applyAlignment="1">
      <alignment vertical="top"/>
    </xf>
    <xf numFmtId="0" fontId="45" fillId="20" borderId="0" xfId="0" applyFont="1" applyFill="1" applyAlignment="1">
      <alignment vertical="top"/>
    </xf>
    <xf numFmtId="0" fontId="16" fillId="0" borderId="0" xfId="0" applyFont="1" applyAlignment="1">
      <alignment vertical="top"/>
    </xf>
    <xf numFmtId="0" fontId="30" fillId="17" borderId="0" xfId="2" applyAlignment="1">
      <alignment vertical="top"/>
    </xf>
    <xf numFmtId="0" fontId="30" fillId="17" borderId="0" xfId="2"/>
  </cellXfs>
  <cellStyles count="3">
    <cellStyle name="20% - Accent3" xfId="2" builtinId="38"/>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Population tracker</a:t>
            </a:r>
          </a:p>
          <a:p>
            <a:pPr>
              <a:defRPr/>
            </a:pPr>
            <a:r>
              <a:rPr lang="en-GB"/>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8675596584909646E-2"/>
          <c:y val="1.4305555555555556E-2"/>
          <c:w val="0.8945415573053368"/>
          <c:h val="0.72125801983085447"/>
        </c:manualLayout>
      </c:layout>
      <c:barChart>
        <c:barDir val="bar"/>
        <c:grouping val="percentStacked"/>
        <c:varyColors val="0"/>
        <c:ser>
          <c:idx val="0"/>
          <c:order val="0"/>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'Progress bar'!$B$2:$C$2</c15:sqref>
                  </c15:fullRef>
                </c:ext>
              </c:extLst>
              <c:f>'Progress bar'!$C$2</c:f>
              <c:numCache>
                <c:formatCode>General</c:formatCode>
                <c:ptCount val="1"/>
              </c:numCache>
            </c:numRef>
          </c:cat>
          <c:val>
            <c:numRef>
              <c:extLst>
                <c:ext xmlns:c15="http://schemas.microsoft.com/office/drawing/2012/chart" uri="{02D57815-91ED-43cb-92C2-25804820EDAC}">
                  <c15:fullRef>
                    <c15:sqref>'Progress bar'!$B$3:$C$3</c15:sqref>
                  </c15:fullRef>
                </c:ext>
              </c:extLst>
              <c:f>'Progress bar'!$C$3</c:f>
              <c:numCache>
                <c:formatCode>0.0</c:formatCode>
                <c:ptCount val="1"/>
                <c:pt idx="0">
                  <c:v>73.844004999999996</c:v>
                </c:pt>
              </c:numCache>
            </c:numRef>
          </c:val>
          <c:extLst>
            <c:ext xmlns:c16="http://schemas.microsoft.com/office/drawing/2014/chart" uri="{C3380CC4-5D6E-409C-BE32-E72D297353CC}">
              <c16:uniqueId val="{00000000-8F3B-48AE-82CE-ABB769E3840A}"/>
            </c:ext>
          </c:extLst>
        </c:ser>
        <c:ser>
          <c:idx val="1"/>
          <c:order val="1"/>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'Progress bar'!$B$2:$C$2</c15:sqref>
                  </c15:fullRef>
                </c:ext>
              </c:extLst>
              <c:f>'Progress bar'!$C$2</c:f>
              <c:numCache>
                <c:formatCode>General</c:formatCode>
                <c:ptCount val="1"/>
              </c:numCache>
            </c:numRef>
          </c:cat>
          <c:val>
            <c:numRef>
              <c:extLst>
                <c:ext xmlns:c15="http://schemas.microsoft.com/office/drawing/2012/chart" uri="{02D57815-91ED-43cb-92C2-25804820EDAC}">
                  <c15:fullRef>
                    <c15:sqref>'Progress bar'!$B$4:$C$4</c15:sqref>
                  </c15:fullRef>
                </c:ext>
              </c:extLst>
              <c:f>'Progress bar'!$C$4</c:f>
              <c:numCache>
                <c:formatCode>0.0</c:formatCode>
                <c:ptCount val="1"/>
                <c:pt idx="0">
                  <c:v>-23.844004999999996</c:v>
                </c:pt>
              </c:numCache>
            </c:numRef>
          </c:val>
          <c:extLst>
            <c:ext xmlns:c16="http://schemas.microsoft.com/office/drawing/2014/chart" uri="{C3380CC4-5D6E-409C-BE32-E72D297353CC}">
              <c16:uniqueId val="{00000001-8F3B-48AE-82CE-ABB769E3840A}"/>
            </c:ext>
          </c:extLst>
        </c:ser>
        <c:dLbls>
          <c:showLegendKey val="0"/>
          <c:showVal val="0"/>
          <c:showCatName val="0"/>
          <c:showSerName val="0"/>
          <c:showPercent val="0"/>
          <c:showBubbleSize val="0"/>
        </c:dLbls>
        <c:gapWidth val="150"/>
        <c:overlap val="100"/>
        <c:axId val="1612583695"/>
        <c:axId val="1612586575"/>
      </c:barChart>
      <c:catAx>
        <c:axId val="1612583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86575"/>
        <c:crosses val="autoZero"/>
        <c:auto val="1"/>
        <c:lblAlgn val="ctr"/>
        <c:lblOffset val="100"/>
        <c:noMultiLvlLbl val="0"/>
      </c:catAx>
      <c:valAx>
        <c:axId val="1612586575"/>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8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Count</a:t>
            </a:r>
            <a:r>
              <a:rPr lang="en-GB" baseline="0"/>
              <a:t> by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percentStacked"/>
        <c:varyColors val="0"/>
        <c:ser>
          <c:idx val="0"/>
          <c:order val="0"/>
          <c:tx>
            <c:strRef>
              <c:f>'Progress bar'!$B$44</c:f>
              <c:strCache>
                <c:ptCount val="1"/>
                <c:pt idx="0">
                  <c:v>1. Projects, annual</c:v>
                </c:pt>
              </c:strCache>
            </c:strRef>
          </c:tx>
          <c:spPr>
            <a:solidFill>
              <a:schemeClr val="accent1"/>
            </a:solidFill>
            <a:ln>
              <a:noFill/>
            </a:ln>
            <a:effectLst/>
          </c:spPr>
          <c:invertIfNegative val="0"/>
          <c:cat>
            <c:numRef>
              <c:f>'Progress bar'!$C$43</c:f>
              <c:numCache>
                <c:formatCode>General</c:formatCode>
                <c:ptCount val="1"/>
              </c:numCache>
            </c:numRef>
          </c:cat>
          <c:val>
            <c:numRef>
              <c:f>'Progress bar'!$C$44</c:f>
              <c:numCache>
                <c:formatCode>General</c:formatCode>
                <c:ptCount val="1"/>
                <c:pt idx="0">
                  <c:v>71</c:v>
                </c:pt>
              </c:numCache>
            </c:numRef>
          </c:val>
          <c:extLst>
            <c:ext xmlns:c16="http://schemas.microsoft.com/office/drawing/2014/chart" uri="{C3380CC4-5D6E-409C-BE32-E72D297353CC}">
              <c16:uniqueId val="{00000000-4764-4D03-A3F9-CA6A9B9ACDBE}"/>
            </c:ext>
          </c:extLst>
        </c:ser>
        <c:ser>
          <c:idx val="1"/>
          <c:order val="1"/>
          <c:tx>
            <c:strRef>
              <c:f>'Progress bar'!$B$45</c:f>
              <c:strCache>
                <c:ptCount val="1"/>
                <c:pt idx="0">
                  <c:v>2. Applications + big projects, annual</c:v>
                </c:pt>
              </c:strCache>
            </c:strRef>
          </c:tx>
          <c:spPr>
            <a:solidFill>
              <a:schemeClr val="accent2"/>
            </a:solidFill>
            <a:ln>
              <a:noFill/>
            </a:ln>
            <a:effectLst/>
          </c:spPr>
          <c:invertIfNegative val="0"/>
          <c:cat>
            <c:numRef>
              <c:f>'Progress bar'!$C$43</c:f>
              <c:numCache>
                <c:formatCode>General</c:formatCode>
                <c:ptCount val="1"/>
              </c:numCache>
            </c:numRef>
          </c:cat>
          <c:val>
            <c:numRef>
              <c:f>'Progress bar'!$C$45</c:f>
              <c:numCache>
                <c:formatCode>General</c:formatCode>
                <c:ptCount val="1"/>
                <c:pt idx="0">
                  <c:v>5</c:v>
                </c:pt>
              </c:numCache>
            </c:numRef>
          </c:val>
          <c:extLst>
            <c:ext xmlns:c16="http://schemas.microsoft.com/office/drawing/2014/chart" uri="{C3380CC4-5D6E-409C-BE32-E72D297353CC}">
              <c16:uniqueId val="{00000001-4764-4D03-A3F9-CA6A9B9ACDBE}"/>
            </c:ext>
          </c:extLst>
        </c:ser>
        <c:ser>
          <c:idx val="2"/>
          <c:order val="2"/>
          <c:tx>
            <c:strRef>
              <c:f>'Progress bar'!$B$46</c:f>
              <c:strCache>
                <c:ptCount val="1"/>
                <c:pt idx="0">
                  <c:v>3. Applications, annual</c:v>
                </c:pt>
              </c:strCache>
            </c:strRef>
          </c:tx>
          <c:spPr>
            <a:solidFill>
              <a:schemeClr val="accent3"/>
            </a:solidFill>
            <a:ln>
              <a:noFill/>
            </a:ln>
            <a:effectLst/>
          </c:spPr>
          <c:invertIfNegative val="0"/>
          <c:cat>
            <c:numRef>
              <c:f>'Progress bar'!$C$43</c:f>
              <c:numCache>
                <c:formatCode>General</c:formatCode>
                <c:ptCount val="1"/>
              </c:numCache>
            </c:numRef>
          </c:cat>
          <c:val>
            <c:numRef>
              <c:f>'Progress bar'!$C$46</c:f>
              <c:numCache>
                <c:formatCode>General</c:formatCode>
                <c:ptCount val="1"/>
                <c:pt idx="0">
                  <c:v>9</c:v>
                </c:pt>
              </c:numCache>
            </c:numRef>
          </c:val>
          <c:extLst>
            <c:ext xmlns:c16="http://schemas.microsoft.com/office/drawing/2014/chart" uri="{C3380CC4-5D6E-409C-BE32-E72D297353CC}">
              <c16:uniqueId val="{00000002-4764-4D03-A3F9-CA6A9B9ACDBE}"/>
            </c:ext>
          </c:extLst>
        </c:ser>
        <c:ser>
          <c:idx val="3"/>
          <c:order val="3"/>
          <c:tx>
            <c:strRef>
              <c:f>'Progress bar'!$B$47</c:f>
              <c:strCache>
                <c:ptCount val="1"/>
                <c:pt idx="0">
                  <c:v>4. Projects, multi-year cost</c:v>
                </c:pt>
              </c:strCache>
            </c:strRef>
          </c:tx>
          <c:spPr>
            <a:solidFill>
              <a:schemeClr val="accent4"/>
            </a:solidFill>
            <a:ln>
              <a:noFill/>
            </a:ln>
            <a:effectLst/>
          </c:spPr>
          <c:invertIfNegative val="0"/>
          <c:cat>
            <c:numRef>
              <c:f>'Progress bar'!$C$43</c:f>
              <c:numCache>
                <c:formatCode>General</c:formatCode>
                <c:ptCount val="1"/>
              </c:numCache>
            </c:numRef>
          </c:cat>
          <c:val>
            <c:numRef>
              <c:f>'Progress bar'!$C$47</c:f>
              <c:numCache>
                <c:formatCode>General</c:formatCode>
                <c:ptCount val="1"/>
                <c:pt idx="0">
                  <c:v>13</c:v>
                </c:pt>
              </c:numCache>
            </c:numRef>
          </c:val>
          <c:extLst>
            <c:ext xmlns:c16="http://schemas.microsoft.com/office/drawing/2014/chart" uri="{C3380CC4-5D6E-409C-BE32-E72D297353CC}">
              <c16:uniqueId val="{00000003-4764-4D03-A3F9-CA6A9B9ACDBE}"/>
            </c:ext>
          </c:extLst>
        </c:ser>
        <c:ser>
          <c:idx val="4"/>
          <c:order val="4"/>
          <c:tx>
            <c:strRef>
              <c:f>'Progress bar'!$B$48</c:f>
              <c:strCache>
                <c:ptCount val="1"/>
                <c:pt idx="0">
                  <c:v>5. Applications, multi-year cost</c:v>
                </c:pt>
              </c:strCache>
            </c:strRef>
          </c:tx>
          <c:spPr>
            <a:solidFill>
              <a:schemeClr val="accent5"/>
            </a:solidFill>
            <a:ln>
              <a:noFill/>
            </a:ln>
            <a:effectLst/>
          </c:spPr>
          <c:invertIfNegative val="0"/>
          <c:cat>
            <c:numRef>
              <c:f>'Progress bar'!$C$43</c:f>
              <c:numCache>
                <c:formatCode>General</c:formatCode>
                <c:ptCount val="1"/>
              </c:numCache>
            </c:numRef>
          </c:cat>
          <c:val>
            <c:numRef>
              <c:f>'Progress bar'!$C$48</c:f>
              <c:numCache>
                <c:formatCode>General</c:formatCode>
                <c:ptCount val="1"/>
                <c:pt idx="0">
                  <c:v>4</c:v>
                </c:pt>
              </c:numCache>
            </c:numRef>
          </c:val>
          <c:extLst>
            <c:ext xmlns:c16="http://schemas.microsoft.com/office/drawing/2014/chart" uri="{C3380CC4-5D6E-409C-BE32-E72D297353CC}">
              <c16:uniqueId val="{00000004-4764-4D03-A3F9-CA6A9B9ACDBE}"/>
            </c:ext>
          </c:extLst>
        </c:ser>
        <c:ser>
          <c:idx val="5"/>
          <c:order val="5"/>
          <c:tx>
            <c:strRef>
              <c:f>'Progress bar'!$B$49</c:f>
              <c:strCache>
                <c:ptCount val="1"/>
                <c:pt idx="0">
                  <c:v>6. Project list only</c:v>
                </c:pt>
              </c:strCache>
            </c:strRef>
          </c:tx>
          <c:spPr>
            <a:solidFill>
              <a:schemeClr val="accent6"/>
            </a:solidFill>
            <a:ln>
              <a:noFill/>
            </a:ln>
            <a:effectLst/>
          </c:spPr>
          <c:invertIfNegative val="0"/>
          <c:cat>
            <c:numRef>
              <c:f>'Progress bar'!$C$43</c:f>
              <c:numCache>
                <c:formatCode>General</c:formatCode>
                <c:ptCount val="1"/>
              </c:numCache>
            </c:numRef>
          </c:cat>
          <c:val>
            <c:numRef>
              <c:f>'Progress bar'!$C$49</c:f>
              <c:numCache>
                <c:formatCode>General</c:formatCode>
                <c:ptCount val="1"/>
                <c:pt idx="0">
                  <c:v>0</c:v>
                </c:pt>
              </c:numCache>
            </c:numRef>
          </c:val>
          <c:extLst>
            <c:ext xmlns:c16="http://schemas.microsoft.com/office/drawing/2014/chart" uri="{C3380CC4-5D6E-409C-BE32-E72D297353CC}">
              <c16:uniqueId val="{00000005-4764-4D03-A3F9-CA6A9B9ACDBE}"/>
            </c:ext>
          </c:extLst>
        </c:ser>
        <c:ser>
          <c:idx val="6"/>
          <c:order val="6"/>
          <c:tx>
            <c:strRef>
              <c:f>'Progress bar'!$B$50</c:f>
              <c:strCache>
                <c:ptCount val="1"/>
                <c:pt idx="0">
                  <c:v>7. Top level spending, annual</c:v>
                </c:pt>
              </c:strCache>
            </c:strRef>
          </c:tx>
          <c:spPr>
            <a:solidFill>
              <a:schemeClr val="accent1">
                <a:lumMod val="60000"/>
              </a:schemeClr>
            </a:solidFill>
            <a:ln>
              <a:noFill/>
            </a:ln>
            <a:effectLst/>
          </c:spPr>
          <c:invertIfNegative val="0"/>
          <c:cat>
            <c:numRef>
              <c:f>'Progress bar'!$C$43</c:f>
              <c:numCache>
                <c:formatCode>General</c:formatCode>
                <c:ptCount val="1"/>
              </c:numCache>
            </c:numRef>
          </c:cat>
          <c:val>
            <c:numRef>
              <c:f>'Progress bar'!$C$50</c:f>
              <c:numCache>
                <c:formatCode>General</c:formatCode>
                <c:ptCount val="1"/>
                <c:pt idx="0">
                  <c:v>1</c:v>
                </c:pt>
              </c:numCache>
            </c:numRef>
          </c:val>
          <c:extLst>
            <c:ext xmlns:c16="http://schemas.microsoft.com/office/drawing/2014/chart" uri="{C3380CC4-5D6E-409C-BE32-E72D297353CC}">
              <c16:uniqueId val="{00000006-4764-4D03-A3F9-CA6A9B9ACDBE}"/>
            </c:ext>
          </c:extLst>
        </c:ser>
        <c:ser>
          <c:idx val="7"/>
          <c:order val="7"/>
          <c:tx>
            <c:strRef>
              <c:f>'Progress bar'!$B$51</c:f>
              <c:strCache>
                <c:ptCount val="1"/>
                <c:pt idx="0">
                  <c:v>To go</c:v>
                </c:pt>
              </c:strCache>
            </c:strRef>
          </c:tx>
          <c:spPr>
            <a:solidFill>
              <a:schemeClr val="accent2">
                <a:lumMod val="60000"/>
              </a:schemeClr>
            </a:solidFill>
            <a:ln>
              <a:noFill/>
            </a:ln>
            <a:effectLst/>
          </c:spPr>
          <c:invertIfNegative val="0"/>
          <c:cat>
            <c:numRef>
              <c:f>'Progress bar'!$C$43</c:f>
              <c:numCache>
                <c:formatCode>General</c:formatCode>
                <c:ptCount val="1"/>
              </c:numCache>
            </c:numRef>
          </c:cat>
          <c:val>
            <c:numRef>
              <c:f>'Progress bar'!$C$51</c:f>
              <c:numCache>
                <c:formatCode>General</c:formatCode>
                <c:ptCount val="1"/>
              </c:numCache>
            </c:numRef>
          </c:val>
          <c:extLst>
            <c:ext xmlns:c16="http://schemas.microsoft.com/office/drawing/2014/chart" uri="{C3380CC4-5D6E-409C-BE32-E72D297353CC}">
              <c16:uniqueId val="{00000007-4764-4D03-A3F9-CA6A9B9ACDBE}"/>
            </c:ext>
          </c:extLst>
        </c:ser>
        <c:dLbls>
          <c:showLegendKey val="0"/>
          <c:showVal val="0"/>
          <c:showCatName val="0"/>
          <c:showSerName val="0"/>
          <c:showPercent val="0"/>
          <c:showBubbleSize val="0"/>
        </c:dLbls>
        <c:gapWidth val="150"/>
        <c:overlap val="100"/>
        <c:axId val="613452143"/>
        <c:axId val="57724351"/>
      </c:barChart>
      <c:catAx>
        <c:axId val="613452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24351"/>
        <c:crosses val="autoZero"/>
        <c:auto val="1"/>
        <c:lblAlgn val="ctr"/>
        <c:lblOffset val="100"/>
        <c:noMultiLvlLbl val="0"/>
      </c:catAx>
      <c:valAx>
        <c:axId val="5772435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452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Population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'Progress bar'!$B$17</c:f>
              <c:strCache>
                <c:ptCount val="1"/>
                <c:pt idx="0">
                  <c:v>1. Projects, annual</c:v>
                </c:pt>
              </c:strCache>
            </c:strRef>
          </c:tx>
          <c:spPr>
            <a:solidFill>
              <a:schemeClr val="accent1"/>
            </a:solidFill>
            <a:ln>
              <a:noFill/>
            </a:ln>
            <a:effectLst/>
          </c:spPr>
          <c:invertIfNegative val="0"/>
          <c:val>
            <c:numRef>
              <c:f>'Progress bar'!$C$17</c:f>
              <c:numCache>
                <c:formatCode>General</c:formatCode>
                <c:ptCount val="1"/>
                <c:pt idx="0">
                  <c:v>28388833</c:v>
                </c:pt>
              </c:numCache>
            </c:numRef>
          </c:val>
          <c:extLst>
            <c:ext xmlns:c16="http://schemas.microsoft.com/office/drawing/2014/chart" uri="{C3380CC4-5D6E-409C-BE32-E72D297353CC}">
              <c16:uniqueId val="{00000000-D56B-4AA1-94AD-79AE34E80230}"/>
            </c:ext>
          </c:extLst>
        </c:ser>
        <c:ser>
          <c:idx val="1"/>
          <c:order val="1"/>
          <c:tx>
            <c:strRef>
              <c:f>'Progress bar'!$B$18</c:f>
              <c:strCache>
                <c:ptCount val="1"/>
                <c:pt idx="0">
                  <c:v>2. Applications + big projects, annual</c:v>
                </c:pt>
              </c:strCache>
            </c:strRef>
          </c:tx>
          <c:spPr>
            <a:solidFill>
              <a:schemeClr val="accent2"/>
            </a:solidFill>
            <a:ln>
              <a:noFill/>
            </a:ln>
            <a:effectLst/>
          </c:spPr>
          <c:invertIfNegative val="0"/>
          <c:val>
            <c:numRef>
              <c:f>'Progress bar'!$C$18</c:f>
              <c:numCache>
                <c:formatCode>General</c:formatCode>
                <c:ptCount val="1"/>
                <c:pt idx="0">
                  <c:v>3472878</c:v>
                </c:pt>
              </c:numCache>
            </c:numRef>
          </c:val>
          <c:extLst>
            <c:ext xmlns:c16="http://schemas.microsoft.com/office/drawing/2014/chart" uri="{C3380CC4-5D6E-409C-BE32-E72D297353CC}">
              <c16:uniqueId val="{00000001-D56B-4AA1-94AD-79AE34E80230}"/>
            </c:ext>
          </c:extLst>
        </c:ser>
        <c:ser>
          <c:idx val="2"/>
          <c:order val="2"/>
          <c:tx>
            <c:strRef>
              <c:f>'Progress bar'!$B$19</c:f>
              <c:strCache>
                <c:ptCount val="1"/>
                <c:pt idx="0">
                  <c:v>3. Applications, annual</c:v>
                </c:pt>
              </c:strCache>
            </c:strRef>
          </c:tx>
          <c:spPr>
            <a:solidFill>
              <a:schemeClr val="accent3"/>
            </a:solidFill>
            <a:ln>
              <a:noFill/>
            </a:ln>
            <a:effectLst/>
          </c:spPr>
          <c:invertIfNegative val="0"/>
          <c:val>
            <c:numRef>
              <c:f>'Progress bar'!$C$19</c:f>
              <c:numCache>
                <c:formatCode>General</c:formatCode>
                <c:ptCount val="1"/>
                <c:pt idx="0">
                  <c:v>2731459</c:v>
                </c:pt>
              </c:numCache>
            </c:numRef>
          </c:val>
          <c:extLst>
            <c:ext xmlns:c16="http://schemas.microsoft.com/office/drawing/2014/chart" uri="{C3380CC4-5D6E-409C-BE32-E72D297353CC}">
              <c16:uniqueId val="{00000002-D56B-4AA1-94AD-79AE34E80230}"/>
            </c:ext>
          </c:extLst>
        </c:ser>
        <c:ser>
          <c:idx val="3"/>
          <c:order val="3"/>
          <c:tx>
            <c:strRef>
              <c:f>'Progress bar'!$B$20</c:f>
              <c:strCache>
                <c:ptCount val="1"/>
                <c:pt idx="0">
                  <c:v>4. Projects, multi-year cost</c:v>
                </c:pt>
              </c:strCache>
            </c:strRef>
          </c:tx>
          <c:spPr>
            <a:solidFill>
              <a:schemeClr val="accent4"/>
            </a:solidFill>
            <a:ln>
              <a:noFill/>
            </a:ln>
            <a:effectLst/>
          </c:spPr>
          <c:invertIfNegative val="0"/>
          <c:val>
            <c:numRef>
              <c:f>'Progress bar'!$C$20</c:f>
              <c:numCache>
                <c:formatCode>General</c:formatCode>
                <c:ptCount val="1"/>
                <c:pt idx="0">
                  <c:v>22577339</c:v>
                </c:pt>
              </c:numCache>
            </c:numRef>
          </c:val>
          <c:extLst>
            <c:ext xmlns:c16="http://schemas.microsoft.com/office/drawing/2014/chart" uri="{C3380CC4-5D6E-409C-BE32-E72D297353CC}">
              <c16:uniqueId val="{00000003-D56B-4AA1-94AD-79AE34E80230}"/>
            </c:ext>
          </c:extLst>
        </c:ser>
        <c:ser>
          <c:idx val="4"/>
          <c:order val="4"/>
          <c:tx>
            <c:strRef>
              <c:f>'Progress bar'!$B$21</c:f>
              <c:strCache>
                <c:ptCount val="1"/>
                <c:pt idx="0">
                  <c:v>5. Applications, multi-year cost</c:v>
                </c:pt>
              </c:strCache>
            </c:strRef>
          </c:tx>
          <c:spPr>
            <a:solidFill>
              <a:schemeClr val="accent5"/>
            </a:solidFill>
            <a:ln>
              <a:noFill/>
            </a:ln>
            <a:effectLst/>
          </c:spPr>
          <c:invertIfNegative val="0"/>
          <c:val>
            <c:numRef>
              <c:f>'Progress bar'!$C$21</c:f>
              <c:numCache>
                <c:formatCode>General</c:formatCode>
                <c:ptCount val="1"/>
                <c:pt idx="0">
                  <c:v>3750497</c:v>
                </c:pt>
              </c:numCache>
            </c:numRef>
          </c:val>
          <c:extLst>
            <c:ext xmlns:c16="http://schemas.microsoft.com/office/drawing/2014/chart" uri="{C3380CC4-5D6E-409C-BE32-E72D297353CC}">
              <c16:uniqueId val="{00000004-D56B-4AA1-94AD-79AE34E80230}"/>
            </c:ext>
          </c:extLst>
        </c:ser>
        <c:ser>
          <c:idx val="5"/>
          <c:order val="5"/>
          <c:tx>
            <c:strRef>
              <c:f>'Progress bar'!$B$22</c:f>
              <c:strCache>
                <c:ptCount val="1"/>
                <c:pt idx="0">
                  <c:v>6. Project list only</c:v>
                </c:pt>
              </c:strCache>
            </c:strRef>
          </c:tx>
          <c:spPr>
            <a:solidFill>
              <a:schemeClr val="accent6"/>
            </a:solidFill>
            <a:ln>
              <a:noFill/>
            </a:ln>
            <a:effectLst/>
          </c:spPr>
          <c:invertIfNegative val="0"/>
          <c:val>
            <c:numRef>
              <c:f>'Progress bar'!$C$22</c:f>
              <c:numCache>
                <c:formatCode>General</c:formatCode>
                <c:ptCount val="1"/>
                <c:pt idx="0">
                  <c:v>0</c:v>
                </c:pt>
              </c:numCache>
            </c:numRef>
          </c:val>
          <c:extLst>
            <c:ext xmlns:c16="http://schemas.microsoft.com/office/drawing/2014/chart" uri="{C3380CC4-5D6E-409C-BE32-E72D297353CC}">
              <c16:uniqueId val="{00000005-D56B-4AA1-94AD-79AE34E80230}"/>
            </c:ext>
          </c:extLst>
        </c:ser>
        <c:ser>
          <c:idx val="6"/>
          <c:order val="6"/>
          <c:tx>
            <c:strRef>
              <c:f>'Progress bar'!$B$23</c:f>
              <c:strCache>
                <c:ptCount val="1"/>
                <c:pt idx="0">
                  <c:v>7. Top level spending, annual</c:v>
                </c:pt>
              </c:strCache>
            </c:strRef>
          </c:tx>
          <c:spPr>
            <a:solidFill>
              <a:schemeClr val="accent1">
                <a:lumMod val="60000"/>
              </a:schemeClr>
            </a:solidFill>
            <a:ln>
              <a:noFill/>
            </a:ln>
            <a:effectLst/>
          </c:spPr>
          <c:invertIfNegative val="0"/>
          <c:val>
            <c:numRef>
              <c:f>'Progress bar'!$C$23</c:f>
              <c:numCache>
                <c:formatCode>General</c:formatCode>
                <c:ptCount val="1"/>
                <c:pt idx="0">
                  <c:v>1200000</c:v>
                </c:pt>
              </c:numCache>
            </c:numRef>
          </c:val>
          <c:extLst>
            <c:ext xmlns:c16="http://schemas.microsoft.com/office/drawing/2014/chart" uri="{C3380CC4-5D6E-409C-BE32-E72D297353CC}">
              <c16:uniqueId val="{00000006-D56B-4AA1-94AD-79AE34E80230}"/>
            </c:ext>
          </c:extLst>
        </c:ser>
        <c:ser>
          <c:idx val="7"/>
          <c:order val="7"/>
          <c:tx>
            <c:strRef>
              <c:f>'Progress bar'!$B$24</c:f>
              <c:strCache>
                <c:ptCount val="1"/>
                <c:pt idx="0">
                  <c:v>To go</c:v>
                </c:pt>
              </c:strCache>
            </c:strRef>
          </c:tx>
          <c:spPr>
            <a:solidFill>
              <a:schemeClr val="accent2">
                <a:lumMod val="60000"/>
              </a:schemeClr>
            </a:solidFill>
            <a:ln>
              <a:noFill/>
            </a:ln>
            <a:effectLst/>
          </c:spPr>
          <c:invertIfNegative val="0"/>
          <c:val>
            <c:numRef>
              <c:f>'Progress bar'!$C$24</c:f>
              <c:numCache>
                <c:formatCode>General</c:formatCode>
                <c:ptCount val="1"/>
                <c:pt idx="0">
                  <c:v>-10921006</c:v>
                </c:pt>
              </c:numCache>
            </c:numRef>
          </c:val>
          <c:extLst>
            <c:ext xmlns:c16="http://schemas.microsoft.com/office/drawing/2014/chart" uri="{C3380CC4-5D6E-409C-BE32-E72D297353CC}">
              <c16:uniqueId val="{00000007-D56B-4AA1-94AD-79AE34E80230}"/>
            </c:ext>
          </c:extLst>
        </c:ser>
        <c:dLbls>
          <c:showLegendKey val="0"/>
          <c:showVal val="0"/>
          <c:showCatName val="0"/>
          <c:showSerName val="0"/>
          <c:showPercent val="0"/>
          <c:showBubbleSize val="0"/>
        </c:dLbls>
        <c:gapWidth val="150"/>
        <c:overlap val="100"/>
        <c:axId val="1515065631"/>
        <c:axId val="1515067551"/>
      </c:barChart>
      <c:catAx>
        <c:axId val="151506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067551"/>
        <c:crosses val="autoZero"/>
        <c:auto val="1"/>
        <c:lblAlgn val="ctr"/>
        <c:lblOffset val="100"/>
        <c:noMultiLvlLbl val="0"/>
      </c:catAx>
      <c:valAx>
        <c:axId val="15150675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065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Count of utilities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'Progress bar'!$B$34</c:f>
              <c:strCache>
                <c:ptCount val="1"/>
                <c:pt idx="0">
                  <c:v>Collected</c:v>
                </c:pt>
              </c:strCache>
            </c:strRef>
          </c:tx>
          <c:spPr>
            <a:solidFill>
              <a:srgbClr val="92D050"/>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5B-4DE2-BF72-BC4D76A260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'Progress bar'!$C$34</c:f>
              <c:numCache>
                <c:formatCode>General</c:formatCode>
                <c:ptCount val="1"/>
                <c:pt idx="0">
                  <c:v>122</c:v>
                </c:pt>
              </c:numCache>
            </c:numRef>
          </c:val>
          <c:extLst>
            <c:ext xmlns:c16="http://schemas.microsoft.com/office/drawing/2014/chart" uri="{C3380CC4-5D6E-409C-BE32-E72D297353CC}">
              <c16:uniqueId val="{00000000-F92C-4FA7-B6BD-A4666C6F43DE}"/>
            </c:ext>
          </c:extLst>
        </c:ser>
        <c:ser>
          <c:idx val="1"/>
          <c:order val="1"/>
          <c:tx>
            <c:strRef>
              <c:f>'Progress bar'!$B$35</c:f>
              <c:strCache>
                <c:ptCount val="1"/>
                <c:pt idx="0">
                  <c:v>To go</c:v>
                </c:pt>
              </c:strCache>
            </c:strRef>
          </c:tx>
          <c:spPr>
            <a:solidFill>
              <a:schemeClr val="accent2"/>
            </a:solidFill>
            <a:ln>
              <a:noFill/>
            </a:ln>
            <a:effectLst/>
          </c:spPr>
          <c:invertIfNegative val="0"/>
          <c:val>
            <c:numRef>
              <c:f>'Progress bar'!$C$35</c:f>
              <c:numCache>
                <c:formatCode>General</c:formatCode>
                <c:ptCount val="1"/>
                <c:pt idx="0">
                  <c:v>128</c:v>
                </c:pt>
              </c:numCache>
            </c:numRef>
          </c:val>
          <c:extLst>
            <c:ext xmlns:c16="http://schemas.microsoft.com/office/drawing/2014/chart" uri="{C3380CC4-5D6E-409C-BE32-E72D297353CC}">
              <c16:uniqueId val="{00000001-F92C-4FA7-B6BD-A4666C6F43DE}"/>
            </c:ext>
          </c:extLst>
        </c:ser>
        <c:dLbls>
          <c:showLegendKey val="0"/>
          <c:showVal val="0"/>
          <c:showCatName val="0"/>
          <c:showSerName val="0"/>
          <c:showPercent val="0"/>
          <c:showBubbleSize val="0"/>
        </c:dLbls>
        <c:gapWidth val="150"/>
        <c:overlap val="100"/>
        <c:axId val="756231775"/>
        <c:axId val="756232255"/>
      </c:barChart>
      <c:catAx>
        <c:axId val="75623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232255"/>
        <c:crosses val="autoZero"/>
        <c:auto val="1"/>
        <c:lblAlgn val="ctr"/>
        <c:lblOffset val="100"/>
        <c:noMultiLvlLbl val="0"/>
      </c:catAx>
      <c:valAx>
        <c:axId val="756232255"/>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231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95250</xdr:colOff>
      <xdr:row>0</xdr:row>
      <xdr:rowOff>1</xdr:rowOff>
    </xdr:from>
    <xdr:to>
      <xdr:col>14</xdr:col>
      <xdr:colOff>19050</xdr:colOff>
      <xdr:row>13</xdr:row>
      <xdr:rowOff>27914</xdr:rowOff>
    </xdr:to>
    <xdr:graphicFrame macro="">
      <xdr:nvGraphicFramePr>
        <xdr:cNvPr id="29" name="Chart 1">
          <a:extLst>
            <a:ext uri="{FF2B5EF4-FFF2-40B4-BE49-F238E27FC236}">
              <a16:creationId xmlns:a16="http://schemas.microsoft.com/office/drawing/2014/main" id="{E3C6DC29-C210-5402-B6F3-275D0BC9A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375326</xdr:colOff>
      <xdr:row>46</xdr:row>
      <xdr:rowOff>153806</xdr:rowOff>
    </xdr:from>
    <xdr:to>
      <xdr:col>14</xdr:col>
      <xdr:colOff>334051</xdr:colOff>
      <xdr:row>60</xdr:row>
      <xdr:rowOff>29981</xdr:rowOff>
    </xdr:to>
    <xdr:graphicFrame macro="">
      <xdr:nvGraphicFramePr>
        <xdr:cNvPr id="4" name="Chart 3">
          <a:extLst>
            <a:ext uri="{FF2B5EF4-FFF2-40B4-BE49-F238E27FC236}">
              <a16:creationId xmlns:a16="http://schemas.microsoft.com/office/drawing/2014/main" id="{8088DAFA-78B8-6A70-0B2B-865114A18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42315</xdr:colOff>
      <xdr:row>14</xdr:row>
      <xdr:rowOff>142354</xdr:rowOff>
    </xdr:from>
    <xdr:to>
      <xdr:col>14</xdr:col>
      <xdr:colOff>185190</xdr:colOff>
      <xdr:row>29</xdr:row>
      <xdr:rowOff>123305</xdr:rowOff>
    </xdr:to>
    <xdr:graphicFrame macro="">
      <xdr:nvGraphicFramePr>
        <xdr:cNvPr id="5" name="Chart 4">
          <a:extLst>
            <a:ext uri="{FF2B5EF4-FFF2-40B4-BE49-F238E27FC236}">
              <a16:creationId xmlns:a16="http://schemas.microsoft.com/office/drawing/2014/main" id="{3A135201-43F1-0C2C-7D43-8B2C6753D2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71827</xdr:colOff>
      <xdr:row>31</xdr:row>
      <xdr:rowOff>33727</xdr:rowOff>
    </xdr:from>
    <xdr:to>
      <xdr:col>16</xdr:col>
      <xdr:colOff>114508</xdr:colOff>
      <xdr:row>45</xdr:row>
      <xdr:rowOff>93689</xdr:rowOff>
    </xdr:to>
    <xdr:graphicFrame macro="">
      <xdr:nvGraphicFramePr>
        <xdr:cNvPr id="19" name="Chart 5">
          <a:extLst>
            <a:ext uri="{FF2B5EF4-FFF2-40B4-BE49-F238E27FC236}">
              <a16:creationId xmlns:a16="http://schemas.microsoft.com/office/drawing/2014/main" id="{D575F9C8-C95F-90A5-1A23-4D73C7FD2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idan Zeng" id="{700A6D8D-0DBD-4D88-8472-4BE91E79589A}" userId="S::sidan.zeng@globalwaterintel.com::f3d9bb25-a605-4c30-affb-46f27c94cd6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O277" dT="2025-12-19T14:56:47.73" personId="{700A6D8D-0DBD-4D88-8472-4BE91E79589A}" id="{DFF48C9F-3C9A-4F4A-B57D-42AFF6083832}">
    <text xml:space="preserve">population ESTIMATION 
</text>
  </threadedComment>
  <threadedComment ref="Q277" dT="2025-12-19T14:56:47.73" personId="{700A6D8D-0DBD-4D88-8472-4BE91E79589A}" id="{32B56735-0046-4117-A9EC-EAFAB23D59C5}">
    <text xml:space="preserve">population ESTIMATION 
</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oslo.kommune.no/politikk/budsjett-regnskap-og-rapportering/budsjett-2025/dokumentoversikt/" TargetMode="External"/><Relationship Id="rId21" Type="http://schemas.openxmlformats.org/officeDocument/2006/relationships/hyperlink" Target="http://www.mpwik.com.pl/" TargetMode="External"/><Relationship Id="rId42" Type="http://schemas.openxmlformats.org/officeDocument/2006/relationships/hyperlink" Target="https://aguasdoporto.pt/informacao-legal/instrumentos-de-gestao-previsional" TargetMode="External"/><Relationship Id="rId47" Type="http://schemas.openxmlformats.org/officeDocument/2006/relationships/hyperlink" Target="https://buergerinfo.stadt.lueneburg.de/public/vo020?0--anlagenHeaderPanel-attachmentsList-0-attachment-link&amp;VOLFDNR=1000298&amp;refresh=false" TargetMode="External"/><Relationship Id="rId63" Type="http://schemas.openxmlformats.org/officeDocument/2006/relationships/hyperlink" Target="https://www.atersir.it/sites/default/files/2024-06/CLRA_2_2024_POI_2024-29_HERA_ATO7-combinato.pdf" TargetMode="External"/><Relationship Id="rId68" Type="http://schemas.openxmlformats.org/officeDocument/2006/relationships/hyperlink" Target="https://ris.krefeld.de/vorgang/?__=UGhVM0hpd2NXNFdFcExjZU72xksX1kJ9yapPIKs1pP8" TargetMode="External"/><Relationship Id="rId84" Type="http://schemas.openxmlformats.org/officeDocument/2006/relationships/vmlDrawing" Target="../drawings/vmlDrawing1.vml"/><Relationship Id="rId16" Type="http://schemas.openxmlformats.org/officeDocument/2006/relationships/hyperlink" Target="http://www.swk.de/privatkunden/wasser/trinkwasser.html" TargetMode="External"/><Relationship Id="rId11" Type="http://schemas.openxmlformats.org/officeDocument/2006/relationships/hyperlink" Target="https://ctx1.stadt-brandenburg.de/bi/___tmp/tmp/45081036/GFFnDgNRSfV2viArMw6QlfPH5KqzCcOO5r6AKh9Y/rHXZvESZ/46-Anlagen/01/ABK2020-StadtBrandenburganderHavel.pdf" TargetMode="External"/><Relationship Id="rId32" Type="http://schemas.openxmlformats.org/officeDocument/2006/relationships/hyperlink" Target="http://www.ato3torinese.it/site2015/pianificazione/interventi/allegatoB2-POS2024-2035.pdf" TargetMode="External"/><Relationship Id="rId37" Type="http://schemas.openxmlformats.org/officeDocument/2006/relationships/hyperlink" Target="https://www.smas-sintra.pt/wp-content/uploads/2024/12/gop2025smas-sintra.pdf" TargetMode="External"/><Relationship Id="rId53" Type="http://schemas.openxmlformats.org/officeDocument/2006/relationships/hyperlink" Target="https://garbsen.gremien.info/pdf-viewer?name=V2lydHNjaGFmdHNwbGFuIDIwMjYgZGVyIFN0YWR0ZW50d+Rzc2VydW5nIEdhcmJzZW4=&amp;watermark=0&amp;generated=18-12-2025&amp;document=aHR0cHM6Ly9nYXJic2VuLmdyZW1pZW4uaW5mby9hcGkucGhwP2RvY3VtZW50X3R5cGVfaWQ9MTMmZG9jdW1lbnRfcmVsYXRpb25faWQ9MjAyNTI2MTAxMDAyNDYlN0MyMDI1MTEyNzA3MjE1MC0wLnBkZiU3QyZzdWJtaXNzaW9uX2F0dGFjaG1lbnRfaWQ9MjAyNTI2MTAxMDAyNDYlN0MyMDI1MTEyNzA3MjE1MC0wLnBkZiU3QyZpZD02OSZqc29uPTEmcGxhdGZvcm09d2ViJnN5c3RlbT1yaXMmYWdlbmRhX2l0ZW1faWQ9MjAyNS02Ny03MnwyMDI1MjYxMDEwMDI0NnwxJmRvY3VtZW50YWJsZV9pZD0yMDI1MjYxMDEwMDI0NnwyMDI1MTEyNzA3MjE1MC0wLnBkZnw=" TargetMode="External"/><Relationship Id="rId58" Type="http://schemas.openxmlformats.org/officeDocument/2006/relationships/hyperlink" Target="https://minden.ratsinfomanagement.net/sdnetrim/UGhVM0hpd2NXNFdFcExjZSIQwghpIMXvYFpQ1b6yeEv-FSK3_9KTZF5EVNOFuIxg/Wirtschaftsplanentwurf_2026.pdf" TargetMode="External"/><Relationship Id="rId74" Type="http://schemas.openxmlformats.org/officeDocument/2006/relationships/hyperlink" Target="https://www.langenhagen.sitzung-online.de/public/wicket/resource/org.apache.wicket.Application/doc2411594.pdf" TargetMode="External"/><Relationship Id="rId79" Type="http://schemas.openxmlformats.org/officeDocument/2006/relationships/hyperlink" Target="https://aplicacions.economia.gencat.cat/wpres/2024/03_projecte.htm?utm_source=chatgpt.com" TargetMode="External"/><Relationship Id="rId5" Type="http://schemas.openxmlformats.org/officeDocument/2006/relationships/hyperlink" Target="https://www.aguasdotejoatlantico.adp.pt/" TargetMode="External"/><Relationship Id="rId19" Type="http://schemas.openxmlformats.org/officeDocument/2006/relationships/hyperlink" Target="https://www.stadt-zuerich.ch/" TargetMode="External"/><Relationship Id="rId14" Type="http://schemas.openxmlformats.org/officeDocument/2006/relationships/hyperlink" Target="http://www.smatorino.it/" TargetMode="External"/><Relationship Id="rId22" Type="http://schemas.openxmlformats.org/officeDocument/2006/relationships/hyperlink" Target="https://bi.schwaebisch-gmuend.de/to0050.asp?__ktonr=59662" TargetMode="External"/><Relationship Id="rId27" Type="http://schemas.openxmlformats.org/officeDocument/2006/relationships/hyperlink" Target="https://www.moa.gov.cy/moa/wdd/WDD.nsf/All/9C95FC3F1264EADAC2258B3B003D6654/$file/%CE%95%CE%B8%CE%BD%CE%B9%CE%BA%CF%8C%20%CE%95%CF%80%CE%B5%CE%BD%CE%B4%CF%85%CF%84%CE%B9%CE%BA%CF%8C%20%CE%A0%CE%BB%CE%AC%CE%BD%CE%BF%20%CE%A5%CE%B4%CE%AC%CF%84%CF%89%CE%BD_%CE%A4%CE%95%CE%9B%CE%99%CE%9A%CE%9F%20-%20%CE%99%CE%B1%CE%BD%CE%BF%CF%85%CE%AC%CF%81%CE%B9%CE%BF%CF%82%202025.pdf" TargetMode="External"/><Relationship Id="rId30" Type="http://schemas.openxmlformats.org/officeDocument/2006/relationships/hyperlink" Target="https://www.epsar.gva.es/informacion-institucional-organizativa-y-de-planificacion-0?utm_source=chatgpt.com" TargetMode="External"/><Relationship Id="rId35" Type="http://schemas.openxmlformats.org/officeDocument/2006/relationships/hyperlink" Target="https://bip.katowice.eu/Lists/Zarzadzenia/Attachments/14507/3784-2024a.pdf?utm_source=chatgpt.com" TargetMode="External"/><Relationship Id="rId43" Type="http://schemas.openxmlformats.org/officeDocument/2006/relationships/hyperlink" Target="https://www.smas-sintra.pt/wp-content/uploads/2024/12/gop2025smas-sintra.pdf" TargetMode="External"/><Relationship Id="rId48" Type="http://schemas.openxmlformats.org/officeDocument/2006/relationships/hyperlink" Target="https://condivisioni.atocittametropolitanadimilano.it/index.php/s/jqTcHc6HbJzMGHJ?openfile=true%20%5bOpen%20the%20following%20folders:%20Allegati%20alla%20Delibera%20n.%204%20-%2027.09.2024.zip%20%3e%20ALLEGATO%20A%20-%20Del%20CdC%20n.%204%20-%2030.09.2024%20%3e%20Allegato%20R%20-%20Piano%20degli%20Interventi%20DEP%20MB%5d" TargetMode="External"/><Relationship Id="rId56" Type="http://schemas.openxmlformats.org/officeDocument/2006/relationships/hyperlink" Target="https://ratsinformation.stadt-koeln.de/suchen01.asp" TargetMode="External"/><Relationship Id="rId64" Type="http://schemas.openxmlformats.org/officeDocument/2006/relationships/hyperlink" Target="https://atersir.it/sites/default/files/2024-06/CLFC_6_2024_POI_2024-29_HERA_ATO_8-combinato_0.pdf" TargetMode="External"/><Relationship Id="rId69" Type="http://schemas.openxmlformats.org/officeDocument/2006/relationships/hyperlink" Target="https://www.gruppocap.it/" TargetMode="External"/><Relationship Id="rId77" Type="http://schemas.openxmlformats.org/officeDocument/2006/relationships/hyperlink" Target="https://aplicacions.economia.gencat.cat/wpres/AppPHP/2024/pdf/VOL_P_AIR.pdf" TargetMode="External"/><Relationship Id="rId8" Type="http://schemas.openxmlformats.org/officeDocument/2006/relationships/hyperlink" Target="https://aguasdoporto.pt/informacao-legal/instrumentos-de-gestao-previsional" TargetMode="External"/><Relationship Id="rId51" Type="http://schemas.openxmlformats.org/officeDocument/2006/relationships/hyperlink" Target="https://risi.muenchen.de/risi/sitzungsvorlage/detail/9222524%20%5bfor%20finance%20plan%202025-2029%5d" TargetMode="External"/><Relationship Id="rId72" Type="http://schemas.openxmlformats.org/officeDocument/2006/relationships/hyperlink" Target="https://condivisioni.atocittametropolitanadimilano.it/index.php/s/jqTcHc6HbJzMGHJ?openfile=true%20%5bOpen%20the%20following%20folders:%20Allegati%20alla%20Delibera%20n.%204%20-%2027.09.2024.zip%20%3e%20ALLEGATO%20A%20-%20Del%20CdC%20n.%204%20-%2030.09.2024%20%3e%20Allegato%20R%20-%20Piano%20degli%20Interventi%20DEP%20MB" TargetMode="External"/><Relationship Id="rId80" Type="http://schemas.openxmlformats.org/officeDocument/2006/relationships/hyperlink" Target="https://gremieninfo.emden.de/bi/to0050.asp?__ktonr=89759" TargetMode="External"/><Relationship Id="rId85" Type="http://schemas.openxmlformats.org/officeDocument/2006/relationships/comments" Target="../comments1.xml"/><Relationship Id="rId3" Type="http://schemas.openxmlformats.org/officeDocument/2006/relationships/hyperlink" Target="https://www.agv.nl/" TargetMode="External"/><Relationship Id="rId12" Type="http://schemas.openxmlformats.org/officeDocument/2006/relationships/hyperlink" Target="http://www.abwasseraalen.de/" TargetMode="External"/><Relationship Id="rId17" Type="http://schemas.openxmlformats.org/officeDocument/2006/relationships/hyperlink" Target="https://www.gdanskiewodociagi.pl/" TargetMode="External"/><Relationship Id="rId25" Type="http://schemas.openxmlformats.org/officeDocument/2006/relationships/hyperlink" Target="https://www.oslo.kommune.no/getfile.php/13520895-1727256846/Tjenester%20og%20tilbud/Politikk%20og%20administrasjon/Budsjett%2C%20regnskap%20og%20rapportering/Budsjett%202025/Budsjettforslag%202025/Vedlegg%201%20-%20Byr&#229;dets%20forslag%20til%20budsjett%202025%20og%20&#248;konomiplan%202025-2028.pdf" TargetMode="External"/><Relationship Id="rId33" Type="http://schemas.openxmlformats.org/officeDocument/2006/relationships/hyperlink" Target="https://condivisioni.atocittametropolitanadimilano.it/index.php/s/jqTcHc6HbJzMGHJ?openfile=true%20%5bOpen%20the%20following%20folders:%20Allegati%20alla%20Delibera%20n.%204%20-%2027.09.2024.zip%20%3e%20ALLEGATO%20A%20-%20Del%20CdC%20n.%204%20-%2030.09.2024%20%3e%20Allegato%20R%20-%20Piano%20degli%20Interventi%20DEP%20MB" TargetMode="External"/><Relationship Id="rId38" Type="http://schemas.openxmlformats.org/officeDocument/2006/relationships/hyperlink" Target="https://bip.katowice.eu/Lists/Zarzadzenia/Attachments/14507/3784-2024a.pdf?utm_source=chatgpt.com" TargetMode="External"/><Relationship Id="rId46" Type="http://schemas.openxmlformats.org/officeDocument/2006/relationships/hyperlink" Target="https://ratsinfo.offenburg.de/buergerinfo/getfile.php?id=68949&amp;type=do" TargetMode="External"/><Relationship Id="rId59" Type="http://schemas.openxmlformats.org/officeDocument/2006/relationships/hyperlink" Target="https://bi.schwaebisch-gmuend.de/to0050.asp?__ktonr=59662" TargetMode="External"/><Relationship Id="rId67" Type="http://schemas.openxmlformats.org/officeDocument/2006/relationships/hyperlink" Target="https://www.atersir.it/sites/default/files/2024-06/Delibera_POI_2024-2029_HERAFE-combinato_0.pdf" TargetMode="External"/><Relationship Id="rId20" Type="http://schemas.openxmlformats.org/officeDocument/2006/relationships/hyperlink" Target="https://wodociagi.katowice.pl/?utm_source=chatgpt.com" TargetMode="External"/><Relationship Id="rId41" Type="http://schemas.openxmlformats.org/officeDocument/2006/relationships/hyperlink" Target="https://www.bip.krakow.pl/?dok_id=167&amp;sub_dok_id=167&amp;sub=uchwala&amp;query=id%3D28636%26typ%3Du" TargetMode="External"/><Relationship Id="rId54" Type="http://schemas.openxmlformats.org/officeDocument/2006/relationships/hyperlink" Target="https://gladbeck.gremien.info/meeting/1688" TargetMode="External"/><Relationship Id="rId62" Type="http://schemas.openxmlformats.org/officeDocument/2006/relationships/hyperlink" Target="https://www.wupperverband.de/suchergebnisse" TargetMode="External"/><Relationship Id="rId70" Type="http://schemas.openxmlformats.org/officeDocument/2006/relationships/hyperlink" Target="https://www.dresden.de/de/rathaus/aktuelles/haushalt/dokumente.php" TargetMode="External"/><Relationship Id="rId75" Type="http://schemas.openxmlformats.org/officeDocument/2006/relationships/hyperlink" Target="https://rat.eschweiler.de/bi/getfile.php?id=86809&amp;type=do%20%5bcontains%20project%20descriptions%20in%20more%20detail%5d" TargetMode="External"/><Relationship Id="rId83" Type="http://schemas.openxmlformats.org/officeDocument/2006/relationships/printerSettings" Target="../printerSettings/printerSettings1.bin"/><Relationship Id="rId1" Type="http://schemas.openxmlformats.org/officeDocument/2006/relationships/hyperlink" Target="http://www.pforzheim.de/umwelt-natur/abwasser.html" TargetMode="External"/><Relationship Id="rId6" Type="http://schemas.openxmlformats.org/officeDocument/2006/relationships/hyperlink" Target="https://www.aquaporservicos.pt/" TargetMode="External"/><Relationship Id="rId15" Type="http://schemas.openxmlformats.org/officeDocument/2006/relationships/hyperlink" Target="../../../../../../:w:/s/contentteam/IQA-PlNBFdAdQYZ3YD6d-9sIAXKOvkn1e8sOtmpBdiIulSA?e=F2G3Lq" TargetMode="External"/><Relationship Id="rId23" Type="http://schemas.openxmlformats.org/officeDocument/2006/relationships/hyperlink" Target="https://www.dinslaken.de/C12576A4003702FE/html/B08F1CED5AF1C938C12576A4004B6185?opendocument" TargetMode="External"/><Relationship Id="rId28" Type="http://schemas.openxmlformats.org/officeDocument/2006/relationships/hyperlink" Target="https://www.moa.gov.cy/moa/wdd/WDD.nsf/All/9C95FC3F1264EADAC2258B3B003D6654/$file/%CE%95%CE%B8%CE%BD%CE%B9%CE%BA%CF%8C%20%CE%95%CF%80%CE%B5%CE%BD%CE%B4%CF%85%CF%84%CE%B9%CE%BA%CF%8C%20%CE%A0%CE%BB%CE%AC%CE%BD%CE%BF%20%CE%A5%CE%B4%CE%AC%CF%84%CF%89%CE%BD_%CE%A4%CE%95%CE%9B%CE%99%CE%9A%CE%9F%20-%20%CE%99%CE%B1%CE%BD%CE%BF%CF%85%CE%AC%CF%81%CE%B9%CE%BF%CF%82%202025.pdf" TargetMode="External"/><Relationship Id="rId36" Type="http://schemas.openxmlformats.org/officeDocument/2006/relationships/hyperlink" Target="http://www.ato3torinese.it/site2015/pianificazione/interventi/allegatoB2-POS2024-2035.pdf" TargetMode="External"/><Relationship Id="rId49" Type="http://schemas.openxmlformats.org/officeDocument/2006/relationships/hyperlink" Target="https://www.consorciodeaguas.eus/quienes-somos/transparencia/economica/presupuestos/?utm" TargetMode="External"/><Relationship Id="rId57" Type="http://schemas.openxmlformats.org/officeDocument/2006/relationships/hyperlink" Target="https://minden.ratsinfomanagement.net/tops/?__=UGhVM0hpd2NXNFdFcExjZa5XoCSxjmZk3nJz5atzHJU" TargetMode="External"/><Relationship Id="rId10" Type="http://schemas.openxmlformats.org/officeDocument/2006/relationships/hyperlink" Target="https://www.aguasdevalencia.es/" TargetMode="External"/><Relationship Id="rId31" Type="http://schemas.openxmlformats.org/officeDocument/2006/relationships/hyperlink" Target="https://www.aguasdotejoatlantico.adp.pt/sites/aguasdotejoatlantico.adp.pt/files/paginas_base/s_empresa/financeira/plano_de_atividades_e_orcamento_pao_2025.pdf" TargetMode="External"/><Relationship Id="rId44" Type="http://schemas.openxmlformats.org/officeDocument/2006/relationships/hyperlink" Target="https://bip.katowice.eu/Lists/Zarzadzenia/Attachments/14507/3784-2024a.pdf?utm_source=chatgpt.com" TargetMode="External"/><Relationship Id="rId52" Type="http://schemas.openxmlformats.org/officeDocument/2006/relationships/hyperlink" Target="https://www.rijnland.net/over-rijnland/bestuur/planning-en-control/meerjarenperspectief-programmabegroting/?utm_" TargetMode="External"/><Relationship Id="rId60" Type="http://schemas.openxmlformats.org/officeDocument/2006/relationships/hyperlink" Target="https://repository.officiele-overheidspublicaties.nl/externebijlagen/exb-2024-40005/1/bijlage/exb-2024-40005.pdf?utm_" TargetMode="External"/><Relationship Id="rId65" Type="http://schemas.openxmlformats.org/officeDocument/2006/relationships/hyperlink" Target="https://amministrazionetrasparente.atersir.it/sites/atersir/files/atti-documenti/Delibera_POI_2024-2029_HERAMO-combinato.pdf" TargetMode="External"/><Relationship Id="rId73" Type="http://schemas.openxmlformats.org/officeDocument/2006/relationships/hyperlink" Target="https://www.moa.gov.cy/moa/wdd/wdd.nsf/index_en/index_en?opendocument" TargetMode="External"/><Relationship Id="rId78" Type="http://schemas.openxmlformats.org/officeDocument/2006/relationships/hyperlink" Target="https://www.autoritaidrica.puglia.it/aip/zf/index.php/atti-amministrativi/delibere/dettaglio/atto/G9XpnMkTRPT0-A" TargetMode="External"/><Relationship Id="rId81" Type="http://schemas.openxmlformats.org/officeDocument/2006/relationships/hyperlink" Target="https://www.acquebresciane.it/" TargetMode="External"/><Relationship Id="rId86" Type="http://schemas.microsoft.com/office/2017/10/relationships/threadedComment" Target="../threadedComments/threadedComment1.xml"/><Relationship Id="rId4" Type="http://schemas.openxmlformats.org/officeDocument/2006/relationships/hyperlink" Target="https://www.waternet.nl/siteassets/ons-water/omgevingsprogramma-riolering-2022-2027.pdf" TargetMode="External"/><Relationship Id="rId9" Type="http://schemas.openxmlformats.org/officeDocument/2006/relationships/hyperlink" Target="http://www.ruesselsheim.de/Abwasserverband.html" TargetMode="External"/><Relationship Id="rId13" Type="http://schemas.openxmlformats.org/officeDocument/2006/relationships/hyperlink" Target="http://www.acquepotabilispa.it/" TargetMode="External"/><Relationship Id="rId18" Type="http://schemas.openxmlformats.org/officeDocument/2006/relationships/hyperlink" Target="http://www.pewik.gdynia.pl/" TargetMode="External"/><Relationship Id="rId39" Type="http://schemas.openxmlformats.org/officeDocument/2006/relationships/hyperlink" Target="https://allris.pforzheim.de/vo020?4--anlagenHeaderPanel-attachmentsList-3-attachment-link&amp;VOLFDNR=1005672&amp;refresh=false" TargetMode="External"/><Relationship Id="rId34" Type="http://schemas.openxmlformats.org/officeDocument/2006/relationships/hyperlink" Target="https://aguasdoporto.pt/informacao-legal/instrumentos-de-gestao-previsional" TargetMode="External"/><Relationship Id="rId50" Type="http://schemas.openxmlformats.org/officeDocument/2006/relationships/hyperlink" Target="https://allris.stuttgart.de/vo020?3--anlagenHeaderPanel-attachmentsList-6-attachment-link&amp;VOLFDNR=2652&amp;refresh=false" TargetMode="External"/><Relationship Id="rId55" Type="http://schemas.openxmlformats.org/officeDocument/2006/relationships/hyperlink" Target="https://friedrichshafen-sitzungsdienst.komm.one/bi/getfile.asp?id=226238&amp;type=do" TargetMode="External"/><Relationship Id="rId76" Type="http://schemas.openxmlformats.org/officeDocument/2006/relationships/hyperlink" Target="http://web.gencat.cat/" TargetMode="External"/><Relationship Id="rId7" Type="http://schemas.openxmlformats.org/officeDocument/2006/relationships/hyperlink" Target="https://www.aceaato2.a-acqua.it/content/dam/acea-ato2/pdf/it/societ%C3%A0-trasparente/08_Relazione%20di%20accompagnamento%20PdI%2024-29_post%20istruttoria%20ARERA%20DEF.pdf" TargetMode="External"/><Relationship Id="rId71" Type="http://schemas.openxmlformats.org/officeDocument/2006/relationships/hyperlink" Target="https://deliberations.toulouse.fr/data/archive/20190708_DELIBERATION_DEL-19-0202.pdf" TargetMode="External"/><Relationship Id="rId2" Type="http://schemas.openxmlformats.org/officeDocument/2006/relationships/hyperlink" Target="http://www.ks-keb.de/inhalt/aufgaben.html" TargetMode="External"/><Relationship Id="rId29" Type="http://schemas.openxmlformats.org/officeDocument/2006/relationships/hyperlink" Target="https://ratsinfo.kassel.de/sdnet4/sdnetrim/UGhVM0hpd2NXNFdFcExjZY0kOI0Yn99gOJpnOim8QMsVOLbqOvPqyolnuTbGXOLX/Wirtschaftsplan.pdf" TargetMode="External"/><Relationship Id="rId24" Type="http://schemas.openxmlformats.org/officeDocument/2006/relationships/hyperlink" Target="https://ampmetropole.fr/wp-content/uploads/2026/01/2025_2.0_11_RPQS-2024-eau-et-assainissement_13NOV_web_final.pdf" TargetMode="External"/><Relationship Id="rId40" Type="http://schemas.openxmlformats.org/officeDocument/2006/relationships/hyperlink" Target="https://allris.pforzheim.de/vo020?0--anlagenHeaderPanel-attachmentsList-3-attachment-link&amp;VOLFDNR=1005672&amp;refresh=false" TargetMode="External"/><Relationship Id="rId45" Type="http://schemas.openxmlformats.org/officeDocument/2006/relationships/hyperlink" Target="https://allris.pforzheim.de/vo020?0--anlagenHeaderPanel-attachmentsList-3-attachment-link&amp;VOLFDNR=1005672&amp;refresh=false" TargetMode="External"/><Relationship Id="rId66" Type="http://schemas.openxmlformats.org/officeDocument/2006/relationships/hyperlink" Target="https://www.atersir.it/sites/default/files/2024-06/Delibera_POI_2024-2029_HERABO-combinato_0.pdf" TargetMode="External"/><Relationship Id="rId61" Type="http://schemas.openxmlformats.org/officeDocument/2006/relationships/hyperlink" Target="https://ratsinfo.zwickau.de/bi/suchen01.php" TargetMode="External"/><Relationship Id="rId82" Type="http://schemas.openxmlformats.org/officeDocument/2006/relationships/hyperlink" Target="https://www.eyath.gr/wp-content/uploads/2025/10/Eyath_Financial_Results_1st_half_2025.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10B59-4091-4AB2-ABE3-14B9533F29F0}">
  <sheetPr codeName="Sheet1" filterMode="1"/>
  <dimension ref="A1:AO4780"/>
  <sheetViews>
    <sheetView tabSelected="1" topLeftCell="G1" zoomScale="59" workbookViewId="0">
      <pane ySplit="1" topLeftCell="A2" activePane="bottomLeft" state="frozen"/>
      <selection pane="bottomLeft" activeCell="P1" sqref="P1"/>
    </sheetView>
  </sheetViews>
  <sheetFormatPr defaultColWidth="8.7265625" defaultRowHeight="17.149999999999999" customHeight="1"/>
  <cols>
    <col min="1" max="2" width="8.7265625" style="2"/>
    <col min="3" max="7" width="49" style="2" customWidth="1"/>
    <col min="8" max="8" width="26.54296875" style="2" customWidth="1"/>
    <col min="9" max="9" width="31.453125" style="2" customWidth="1"/>
    <col min="10" max="10" width="18.453125" style="2" customWidth="1"/>
    <col min="11" max="11" width="12.26953125" style="2" customWidth="1"/>
    <col min="12" max="13" width="8.7265625" style="2"/>
    <col min="14" max="14" width="10.54296875" style="2" bestFit="1" customWidth="1"/>
    <col min="15" max="15" width="14.1796875" style="2" customWidth="1"/>
    <col min="16" max="16" width="10.54296875" style="2" bestFit="1" customWidth="1"/>
    <col min="17" max="20" width="8.81640625" style="2" bestFit="1" customWidth="1"/>
    <col min="21" max="21" width="54.453125" style="2" customWidth="1"/>
    <col min="22" max="22" width="8.7265625" style="2"/>
    <col min="23" max="23" width="11.453125" style="2" customWidth="1"/>
    <col min="24" max="24" width="8.7265625" style="2"/>
    <col min="25" max="25" width="10.81640625" style="2" bestFit="1" customWidth="1"/>
    <col min="26" max="26" width="11.26953125" style="2" customWidth="1"/>
    <col min="27" max="27" width="29.1796875" style="2" customWidth="1"/>
    <col min="28" max="16384" width="8.7265625" style="2"/>
  </cols>
  <sheetData>
    <row r="1" spans="1:36" s="3" customFormat="1" ht="54.65" customHeight="1">
      <c r="A1" s="13" t="s">
        <v>0</v>
      </c>
      <c r="B1" s="13" t="s">
        <v>1</v>
      </c>
      <c r="C1" s="13" t="s">
        <v>2</v>
      </c>
      <c r="D1" s="155" t="s">
        <v>3</v>
      </c>
      <c r="E1" s="155" t="s">
        <v>4</v>
      </c>
      <c r="F1" s="149" t="s">
        <v>5</v>
      </c>
      <c r="G1" s="149" t="s">
        <v>6</v>
      </c>
      <c r="H1" s="155" t="s">
        <v>7</v>
      </c>
      <c r="I1" s="13" t="s">
        <v>8</v>
      </c>
      <c r="J1" s="155" t="s">
        <v>9</v>
      </c>
      <c r="K1" s="13" t="s">
        <v>10</v>
      </c>
      <c r="L1" s="13" t="s">
        <v>11</v>
      </c>
      <c r="M1" s="13" t="s">
        <v>12</v>
      </c>
      <c r="N1" s="13" t="s">
        <v>13</v>
      </c>
      <c r="O1" s="13" t="s">
        <v>14</v>
      </c>
      <c r="P1" s="13" t="s">
        <v>15</v>
      </c>
      <c r="Q1" s="13" t="s">
        <v>16</v>
      </c>
      <c r="R1" s="13" t="s">
        <v>17</v>
      </c>
      <c r="S1" s="13" t="s">
        <v>18</v>
      </c>
      <c r="T1" s="13" t="s">
        <v>19</v>
      </c>
      <c r="U1" s="13" t="s">
        <v>20</v>
      </c>
      <c r="V1" s="4" t="s">
        <v>21</v>
      </c>
      <c r="W1" s="4" t="s">
        <v>22</v>
      </c>
      <c r="X1" s="4" t="s">
        <v>23</v>
      </c>
      <c r="Y1" s="4" t="s">
        <v>24</v>
      </c>
      <c r="Z1" s="4" t="s">
        <v>25</v>
      </c>
      <c r="AA1" s="4" t="s">
        <v>26</v>
      </c>
      <c r="AB1" s="4" t="s">
        <v>27</v>
      </c>
      <c r="AC1" s="9" t="s">
        <v>28</v>
      </c>
      <c r="AD1" s="9" t="s">
        <v>29</v>
      </c>
      <c r="AE1" s="9" t="s">
        <v>30</v>
      </c>
      <c r="AF1" s="9" t="s">
        <v>31</v>
      </c>
      <c r="AG1" s="9" t="s">
        <v>32</v>
      </c>
      <c r="AH1" s="9" t="s">
        <v>33</v>
      </c>
      <c r="AI1" s="9" t="s">
        <v>34</v>
      </c>
      <c r="AJ1" s="9" t="s">
        <v>35</v>
      </c>
    </row>
    <row r="2" spans="1:36" ht="17.149999999999999" customHeight="1">
      <c r="A2" s="14" t="s">
        <v>36</v>
      </c>
      <c r="B2" s="14" t="s">
        <v>37</v>
      </c>
      <c r="C2" s="56" t="s">
        <v>38</v>
      </c>
      <c r="D2" s="144" t="s">
        <v>38</v>
      </c>
      <c r="E2" s="144" t="s">
        <v>38</v>
      </c>
      <c r="F2" s="144" t="s">
        <v>39</v>
      </c>
      <c r="G2" s="61" t="s">
        <v>40</v>
      </c>
      <c r="H2" s="14" t="s">
        <v>41</v>
      </c>
      <c r="I2" s="14" t="s">
        <v>42</v>
      </c>
      <c r="J2" s="14" t="s">
        <v>43</v>
      </c>
      <c r="K2" s="14" t="s">
        <v>44</v>
      </c>
      <c r="L2" s="14" t="s">
        <v>45</v>
      </c>
      <c r="M2" s="14" t="s">
        <v>46</v>
      </c>
      <c r="N2" s="14" t="s">
        <v>46</v>
      </c>
      <c r="O2" s="14" t="s">
        <v>46</v>
      </c>
      <c r="P2" s="15">
        <v>79697</v>
      </c>
      <c r="Q2" s="16">
        <v>2024</v>
      </c>
      <c r="R2" s="14" t="s">
        <v>46</v>
      </c>
      <c r="S2" s="14">
        <v>1</v>
      </c>
      <c r="T2" s="14">
        <v>1</v>
      </c>
      <c r="U2" s="14" t="s">
        <v>47</v>
      </c>
      <c r="V2" s="6" t="s">
        <v>40</v>
      </c>
      <c r="W2" s="6" t="s">
        <v>48</v>
      </c>
      <c r="X2" s="33" t="s">
        <v>40</v>
      </c>
      <c r="Y2" s="33"/>
      <c r="Z2" s="6" t="s">
        <v>49</v>
      </c>
      <c r="AA2" s="5" t="s">
        <v>50</v>
      </c>
      <c r="AB2" s="6" t="s">
        <v>51</v>
      </c>
      <c r="AC2" s="28" t="s">
        <v>52</v>
      </c>
      <c r="AD2" s="6" t="s">
        <v>40</v>
      </c>
      <c r="AE2" s="2">
        <v>1</v>
      </c>
      <c r="AF2" t="s">
        <v>53</v>
      </c>
      <c r="AG2" s="2" t="s">
        <v>54</v>
      </c>
      <c r="AH2" s="2" t="s">
        <v>55</v>
      </c>
      <c r="AI2" s="2" t="s">
        <v>56</v>
      </c>
      <c r="AJ2" s="2" t="s">
        <v>57</v>
      </c>
    </row>
    <row r="3" spans="1:36" ht="17.149999999999999" customHeight="1">
      <c r="A3" s="14" t="s">
        <v>58</v>
      </c>
      <c r="B3" s="14" t="s">
        <v>37</v>
      </c>
      <c r="C3" s="56" t="s">
        <v>59</v>
      </c>
      <c r="D3" s="144" t="s">
        <v>60</v>
      </c>
      <c r="E3" s="144" t="s">
        <v>61</v>
      </c>
      <c r="F3" s="17" t="s">
        <v>62</v>
      </c>
      <c r="G3" s="61" t="s">
        <v>40</v>
      </c>
      <c r="H3" s="14" t="s">
        <v>41</v>
      </c>
      <c r="I3" s="14" t="s">
        <v>63</v>
      </c>
      <c r="J3" s="14" t="s">
        <v>64</v>
      </c>
      <c r="K3" s="14" t="s">
        <v>65</v>
      </c>
      <c r="L3" s="14" t="s">
        <v>45</v>
      </c>
      <c r="M3" s="14" t="s">
        <v>46</v>
      </c>
      <c r="N3" s="14" t="s">
        <v>46</v>
      </c>
      <c r="O3" s="14" t="s">
        <v>46</v>
      </c>
      <c r="P3" s="15">
        <v>79633</v>
      </c>
      <c r="Q3" s="16">
        <v>2025</v>
      </c>
      <c r="R3" s="14" t="s">
        <v>46</v>
      </c>
      <c r="S3" s="14">
        <v>1</v>
      </c>
      <c r="T3" s="14">
        <v>1</v>
      </c>
      <c r="U3" s="14" t="s">
        <v>66</v>
      </c>
      <c r="V3" s="6" t="s">
        <v>40</v>
      </c>
      <c r="W3" s="6" t="s">
        <v>67</v>
      </c>
      <c r="X3" s="33" t="s">
        <v>40</v>
      </c>
      <c r="Y3" s="33"/>
      <c r="Z3" s="6" t="s">
        <v>68</v>
      </c>
      <c r="AA3" s="5" t="s">
        <v>69</v>
      </c>
      <c r="AB3" s="6" t="s">
        <v>70</v>
      </c>
      <c r="AC3" s="5" t="s">
        <v>69</v>
      </c>
      <c r="AD3" s="6" t="s">
        <v>40</v>
      </c>
      <c r="AE3" s="2">
        <v>1</v>
      </c>
      <c r="AF3" t="s">
        <v>53</v>
      </c>
      <c r="AG3" s="2" t="s">
        <v>71</v>
      </c>
      <c r="AJ3" s="2" t="s">
        <v>57</v>
      </c>
    </row>
    <row r="4" spans="1:36" ht="17.149999999999999" customHeight="1">
      <c r="A4" s="14" t="s">
        <v>72</v>
      </c>
      <c r="B4" s="14" t="s">
        <v>37</v>
      </c>
      <c r="C4" s="56" t="s">
        <v>73</v>
      </c>
      <c r="D4" s="17" t="s">
        <v>74</v>
      </c>
      <c r="E4" s="17" t="s">
        <v>74</v>
      </c>
      <c r="F4" s="17" t="s">
        <v>62</v>
      </c>
      <c r="G4" s="61"/>
      <c r="H4" s="14" t="s">
        <v>41</v>
      </c>
      <c r="I4" s="14" t="s">
        <v>42</v>
      </c>
      <c r="J4" s="14" t="s">
        <v>75</v>
      </c>
      <c r="K4" s="14" t="s">
        <v>76</v>
      </c>
      <c r="L4" s="14" t="s">
        <v>45</v>
      </c>
      <c r="M4" s="14" t="s">
        <v>46</v>
      </c>
      <c r="N4" s="14" t="s">
        <v>46</v>
      </c>
      <c r="O4" s="14" t="s">
        <v>46</v>
      </c>
      <c r="P4" s="20">
        <v>106999</v>
      </c>
      <c r="Q4" s="16">
        <v>2025</v>
      </c>
      <c r="R4" s="14" t="s">
        <v>46</v>
      </c>
      <c r="S4" s="14">
        <v>1</v>
      </c>
      <c r="T4" s="14">
        <v>1</v>
      </c>
      <c r="U4" s="14" t="s">
        <v>77</v>
      </c>
      <c r="V4" s="6" t="s">
        <v>40</v>
      </c>
      <c r="W4" s="6" t="s">
        <v>78</v>
      </c>
      <c r="X4" s="6" t="s">
        <v>40</v>
      </c>
      <c r="Y4" s="6"/>
      <c r="Z4" s="6" t="s">
        <v>79</v>
      </c>
      <c r="AA4" s="6" t="s">
        <v>80</v>
      </c>
      <c r="AB4" s="6" t="s">
        <v>81</v>
      </c>
      <c r="AC4" s="6" t="s">
        <v>82</v>
      </c>
      <c r="AD4" s="6" t="s">
        <v>40</v>
      </c>
      <c r="AE4" s="2">
        <v>1</v>
      </c>
      <c r="AF4" t="s">
        <v>53</v>
      </c>
      <c r="AJ4" s="2" t="s">
        <v>57</v>
      </c>
    </row>
    <row r="5" spans="1:36" s="44" customFormat="1" ht="17.149999999999999" hidden="1" customHeight="1">
      <c r="A5" s="21" t="s">
        <v>83</v>
      </c>
      <c r="B5" s="21"/>
      <c r="C5" s="58" t="s">
        <v>84</v>
      </c>
      <c r="D5" s="61"/>
      <c r="E5" s="61"/>
      <c r="F5" s="61"/>
      <c r="G5" s="61"/>
      <c r="H5" s="21" t="s">
        <v>41</v>
      </c>
      <c r="I5" s="21" t="s">
        <v>63</v>
      </c>
      <c r="J5" s="21" t="s">
        <v>85</v>
      </c>
      <c r="K5" s="21" t="s">
        <v>86</v>
      </c>
      <c r="L5" s="21" t="s">
        <v>45</v>
      </c>
      <c r="M5" s="21" t="s">
        <v>46</v>
      </c>
      <c r="N5" s="21" t="s">
        <v>46</v>
      </c>
      <c r="O5" s="21" t="s">
        <v>46</v>
      </c>
      <c r="P5" s="21" t="s">
        <v>87</v>
      </c>
      <c r="Q5" s="21">
        <v>2025</v>
      </c>
      <c r="R5" s="21" t="s">
        <v>46</v>
      </c>
      <c r="S5" s="21">
        <v>1</v>
      </c>
      <c r="T5" s="21">
        <v>1</v>
      </c>
      <c r="U5" s="21" t="s">
        <v>88</v>
      </c>
      <c r="V5" s="22"/>
      <c r="W5" s="22"/>
      <c r="X5" s="22"/>
      <c r="Y5" s="22"/>
      <c r="Z5" s="22"/>
      <c r="AA5" s="22"/>
      <c r="AB5" s="22"/>
      <c r="AC5" s="22"/>
      <c r="AD5" s="22"/>
    </row>
    <row r="6" spans="1:36" ht="17.149999999999999" hidden="1" customHeight="1">
      <c r="A6" s="17" t="s">
        <v>89</v>
      </c>
      <c r="B6" s="17"/>
      <c r="C6" s="61" t="s">
        <v>90</v>
      </c>
      <c r="D6" s="61"/>
      <c r="E6" s="61"/>
      <c r="F6" s="61"/>
      <c r="G6" s="61"/>
      <c r="H6" s="17" t="s">
        <v>41</v>
      </c>
      <c r="I6" s="17" t="s">
        <v>42</v>
      </c>
      <c r="J6" s="17" t="s">
        <v>91</v>
      </c>
      <c r="K6" s="17" t="s">
        <v>92</v>
      </c>
      <c r="L6" s="17" t="s">
        <v>45</v>
      </c>
      <c r="M6" s="17" t="s">
        <v>46</v>
      </c>
      <c r="N6" s="17" t="s">
        <v>46</v>
      </c>
      <c r="O6" s="17" t="s">
        <v>46</v>
      </c>
      <c r="P6" s="16" t="s">
        <v>93</v>
      </c>
      <c r="Q6" s="16">
        <v>2022</v>
      </c>
      <c r="R6" s="17" t="s">
        <v>46</v>
      </c>
      <c r="S6" s="17">
        <v>1</v>
      </c>
      <c r="T6" s="17">
        <v>1</v>
      </c>
      <c r="U6" s="17" t="s">
        <v>94</v>
      </c>
      <c r="V6" s="18"/>
      <c r="W6" s="18"/>
      <c r="X6" s="18"/>
      <c r="Y6" s="18"/>
      <c r="Z6" s="18"/>
      <c r="AA6" s="18"/>
      <c r="AB6" s="18"/>
      <c r="AC6" s="18"/>
      <c r="AD6" s="18"/>
    </row>
    <row r="7" spans="1:36" ht="17.149999999999999" hidden="1" customHeight="1">
      <c r="A7" s="24" t="s">
        <v>95</v>
      </c>
      <c r="B7" s="24" t="s">
        <v>37</v>
      </c>
      <c r="C7" s="62" t="s">
        <v>96</v>
      </c>
      <c r="D7" s="61"/>
      <c r="E7" s="61"/>
      <c r="F7" s="61"/>
      <c r="G7" s="61"/>
      <c r="H7" s="24" t="s">
        <v>41</v>
      </c>
      <c r="I7" s="24" t="s">
        <v>63</v>
      </c>
      <c r="J7" s="24" t="s">
        <v>97</v>
      </c>
      <c r="K7" s="24" t="s">
        <v>98</v>
      </c>
      <c r="L7" s="24" t="s">
        <v>45</v>
      </c>
      <c r="M7" s="24" t="s">
        <v>46</v>
      </c>
      <c r="N7" s="24" t="s">
        <v>46</v>
      </c>
      <c r="O7" s="24" t="s">
        <v>46</v>
      </c>
      <c r="P7" s="16" t="s">
        <v>99</v>
      </c>
      <c r="Q7" s="16">
        <v>2025</v>
      </c>
      <c r="R7" s="24" t="s">
        <v>46</v>
      </c>
      <c r="S7" s="24">
        <v>1</v>
      </c>
      <c r="T7" s="24">
        <v>1</v>
      </c>
      <c r="U7" s="24" t="s">
        <v>100</v>
      </c>
      <c r="V7" s="25" t="s">
        <v>101</v>
      </c>
      <c r="W7" s="25" t="s">
        <v>102</v>
      </c>
      <c r="X7" s="26" t="s">
        <v>103</v>
      </c>
      <c r="Y7" s="26"/>
      <c r="Z7" s="25" t="s">
        <v>104</v>
      </c>
      <c r="AA7" s="25" t="s">
        <v>105</v>
      </c>
      <c r="AB7" s="75" t="s">
        <v>106</v>
      </c>
      <c r="AC7" s="25" t="s">
        <v>107</v>
      </c>
      <c r="AD7" s="25"/>
      <c r="AE7" s="2">
        <v>1</v>
      </c>
      <c r="AF7" t="s">
        <v>53</v>
      </c>
      <c r="AG7" s="2" t="s">
        <v>71</v>
      </c>
    </row>
    <row r="8" spans="1:36" ht="17.149999999999999" hidden="1" customHeight="1">
      <c r="A8" s="1" t="s">
        <v>108</v>
      </c>
      <c r="B8" s="1"/>
      <c r="C8" s="1" t="s">
        <v>109</v>
      </c>
      <c r="D8" s="1"/>
      <c r="E8" s="1"/>
      <c r="F8" s="1"/>
      <c r="G8" s="1"/>
      <c r="H8" s="1" t="s">
        <v>110</v>
      </c>
      <c r="I8" s="1" t="s">
        <v>46</v>
      </c>
      <c r="J8" s="1" t="s">
        <v>46</v>
      </c>
      <c r="K8" s="1" t="s">
        <v>111</v>
      </c>
      <c r="L8" s="1" t="s">
        <v>112</v>
      </c>
      <c r="M8" s="1" t="s">
        <v>46</v>
      </c>
      <c r="N8" s="1" t="s">
        <v>46</v>
      </c>
      <c r="O8" s="1" t="s">
        <v>46</v>
      </c>
      <c r="P8" s="1" t="s">
        <v>46</v>
      </c>
      <c r="Q8" s="1" t="s">
        <v>46</v>
      </c>
      <c r="R8" s="1" t="s">
        <v>46</v>
      </c>
      <c r="S8" s="1">
        <v>1</v>
      </c>
      <c r="T8" s="1" t="s">
        <v>46</v>
      </c>
      <c r="U8" s="1" t="s">
        <v>113</v>
      </c>
    </row>
    <row r="9" spans="1:36" ht="17.149999999999999" hidden="1" customHeight="1">
      <c r="A9" s="1" t="s">
        <v>114</v>
      </c>
      <c r="B9" s="1"/>
      <c r="C9" s="1" t="s">
        <v>115</v>
      </c>
      <c r="D9" s="1"/>
      <c r="E9" s="1"/>
      <c r="F9" s="1"/>
      <c r="G9" s="1"/>
      <c r="H9" s="1" t="s">
        <v>110</v>
      </c>
      <c r="I9" s="1" t="s">
        <v>46</v>
      </c>
      <c r="J9" s="1" t="s">
        <v>116</v>
      </c>
      <c r="K9" s="1" t="s">
        <v>117</v>
      </c>
      <c r="L9" s="1" t="s">
        <v>118</v>
      </c>
      <c r="M9" s="1" t="s">
        <v>119</v>
      </c>
      <c r="N9" s="1" t="s">
        <v>46</v>
      </c>
      <c r="O9" s="1" t="s">
        <v>46</v>
      </c>
      <c r="P9" s="1" t="s">
        <v>46</v>
      </c>
      <c r="Q9" s="1" t="s">
        <v>46</v>
      </c>
      <c r="R9" s="1" t="s">
        <v>46</v>
      </c>
      <c r="S9" s="1">
        <v>1</v>
      </c>
      <c r="T9" s="1">
        <v>1</v>
      </c>
      <c r="U9" s="1" t="s">
        <v>120</v>
      </c>
    </row>
    <row r="10" spans="1:36" ht="17.149999999999999" hidden="1" customHeight="1">
      <c r="A10" s="1" t="s">
        <v>121</v>
      </c>
      <c r="B10" s="1"/>
      <c r="C10" s="1" t="s">
        <v>122</v>
      </c>
      <c r="D10" s="1"/>
      <c r="E10" s="1"/>
      <c r="F10" s="1"/>
      <c r="G10" s="1"/>
      <c r="H10" s="1" t="s">
        <v>110</v>
      </c>
      <c r="I10" s="1" t="s">
        <v>46</v>
      </c>
      <c r="J10" s="1" t="s">
        <v>123</v>
      </c>
      <c r="K10" s="1" t="s">
        <v>124</v>
      </c>
      <c r="L10" s="1" t="s">
        <v>45</v>
      </c>
      <c r="M10" s="1" t="s">
        <v>46</v>
      </c>
      <c r="N10" s="1" t="s">
        <v>46</v>
      </c>
      <c r="O10" s="1" t="s">
        <v>46</v>
      </c>
      <c r="P10" s="1" t="s">
        <v>46</v>
      </c>
      <c r="Q10" s="1" t="s">
        <v>46</v>
      </c>
      <c r="R10" s="1" t="s">
        <v>46</v>
      </c>
      <c r="S10" s="1">
        <v>1</v>
      </c>
      <c r="T10" s="1">
        <v>1</v>
      </c>
      <c r="U10" s="1" t="s">
        <v>125</v>
      </c>
    </row>
    <row r="11" spans="1:36" ht="17.149999999999999" hidden="1" customHeight="1">
      <c r="A11" s="1" t="s">
        <v>126</v>
      </c>
      <c r="B11" s="1"/>
      <c r="C11" s="1" t="s">
        <v>127</v>
      </c>
      <c r="D11" s="1"/>
      <c r="E11" s="1"/>
      <c r="F11" s="1"/>
      <c r="G11" s="1"/>
      <c r="H11" s="1" t="s">
        <v>128</v>
      </c>
      <c r="I11" s="1" t="s">
        <v>46</v>
      </c>
      <c r="J11" s="1" t="s">
        <v>46</v>
      </c>
      <c r="K11" s="1" t="s">
        <v>129</v>
      </c>
      <c r="L11" s="1" t="s">
        <v>118</v>
      </c>
      <c r="M11" s="1" t="s">
        <v>46</v>
      </c>
      <c r="N11" s="1" t="s">
        <v>46</v>
      </c>
      <c r="O11" s="1" t="s">
        <v>46</v>
      </c>
      <c r="P11" s="1" t="s">
        <v>46</v>
      </c>
      <c r="Q11" s="1" t="s">
        <v>46</v>
      </c>
      <c r="R11" s="1" t="s">
        <v>46</v>
      </c>
      <c r="S11" s="1">
        <v>1</v>
      </c>
      <c r="T11" s="1">
        <v>1</v>
      </c>
      <c r="U11" s="1" t="s">
        <v>130</v>
      </c>
    </row>
    <row r="12" spans="1:36" s="42" customFormat="1" ht="17.149999999999999" customHeight="1">
      <c r="A12" s="14" t="s">
        <v>131</v>
      </c>
      <c r="B12" s="14" t="s">
        <v>37</v>
      </c>
      <c r="C12" s="163" t="s">
        <v>132</v>
      </c>
      <c r="D12" s="164" t="s">
        <v>133</v>
      </c>
      <c r="E12" s="164" t="s">
        <v>134</v>
      </c>
      <c r="F12" s="164" t="s">
        <v>62</v>
      </c>
      <c r="G12" s="164" t="s">
        <v>57</v>
      </c>
      <c r="H12" s="14" t="s">
        <v>41</v>
      </c>
      <c r="I12" s="14" t="s">
        <v>135</v>
      </c>
      <c r="J12" s="14" t="s">
        <v>136</v>
      </c>
      <c r="K12" s="14" t="s">
        <v>137</v>
      </c>
      <c r="L12" s="14" t="s">
        <v>45</v>
      </c>
      <c r="M12" s="14" t="s">
        <v>46</v>
      </c>
      <c r="N12" s="14" t="s">
        <v>46</v>
      </c>
      <c r="O12" s="14" t="s">
        <v>46</v>
      </c>
      <c r="P12" s="14" t="s">
        <v>46</v>
      </c>
      <c r="Q12" s="14" t="s">
        <v>46</v>
      </c>
      <c r="R12" s="14" t="s">
        <v>46</v>
      </c>
      <c r="S12" s="14">
        <v>1</v>
      </c>
      <c r="T12" s="14">
        <v>1</v>
      </c>
      <c r="U12" s="12" t="s">
        <v>138</v>
      </c>
      <c r="V12" s="6" t="s">
        <v>40</v>
      </c>
      <c r="W12" s="6" t="s">
        <v>139</v>
      </c>
      <c r="X12" s="33" t="s">
        <v>40</v>
      </c>
      <c r="Y12" s="33" t="s">
        <v>140</v>
      </c>
      <c r="Z12" s="6" t="s">
        <v>141</v>
      </c>
      <c r="AA12" s="5" t="s">
        <v>142</v>
      </c>
      <c r="AB12" s="6" t="s">
        <v>143</v>
      </c>
      <c r="AC12" s="6" t="s">
        <v>144</v>
      </c>
      <c r="AD12" s="6" t="s">
        <v>40</v>
      </c>
      <c r="AE12" s="42">
        <v>1</v>
      </c>
      <c r="AF12" s="42" t="s">
        <v>53</v>
      </c>
      <c r="AG12" s="42" t="s">
        <v>145</v>
      </c>
    </row>
    <row r="13" spans="1:36" ht="17.149999999999999" hidden="1" customHeight="1">
      <c r="A13" s="17" t="s">
        <v>146</v>
      </c>
      <c r="B13" s="17"/>
      <c r="C13" s="59" t="s">
        <v>147</v>
      </c>
      <c r="D13" s="154"/>
      <c r="E13" s="59"/>
      <c r="F13" s="59"/>
      <c r="G13" s="59"/>
      <c r="H13" s="17" t="s">
        <v>41</v>
      </c>
      <c r="I13" s="17" t="s">
        <v>148</v>
      </c>
      <c r="J13" s="17" t="s">
        <v>149</v>
      </c>
      <c r="K13" s="17" t="s">
        <v>150</v>
      </c>
      <c r="L13" s="17" t="s">
        <v>151</v>
      </c>
      <c r="M13" s="17" t="s">
        <v>152</v>
      </c>
      <c r="N13" s="17" t="s">
        <v>46</v>
      </c>
      <c r="O13" s="17" t="s">
        <v>46</v>
      </c>
      <c r="P13" s="17" t="s">
        <v>46</v>
      </c>
      <c r="Q13" s="17" t="s">
        <v>46</v>
      </c>
      <c r="R13" s="17" t="s">
        <v>46</v>
      </c>
      <c r="S13" s="17">
        <v>1</v>
      </c>
      <c r="T13" s="17">
        <v>1</v>
      </c>
      <c r="U13" s="17" t="s">
        <v>153</v>
      </c>
      <c r="V13" s="18"/>
      <c r="W13" s="18"/>
      <c r="X13" s="19"/>
      <c r="Y13" s="19"/>
      <c r="Z13" s="18"/>
      <c r="AA13" s="18"/>
      <c r="AB13" s="18"/>
      <c r="AC13" s="31"/>
      <c r="AD13" s="31"/>
    </row>
    <row r="14" spans="1:36" ht="17.149999999999999" hidden="1" customHeight="1">
      <c r="A14" s="17" t="s">
        <v>154</v>
      </c>
      <c r="B14" s="17"/>
      <c r="C14" s="61" t="s">
        <v>155</v>
      </c>
      <c r="D14" s="61"/>
      <c r="E14" s="61"/>
      <c r="F14" s="61"/>
      <c r="G14" s="61"/>
      <c r="H14" s="17" t="s">
        <v>41</v>
      </c>
      <c r="I14" s="17" t="s">
        <v>148</v>
      </c>
      <c r="J14" s="17" t="s">
        <v>156</v>
      </c>
      <c r="K14" s="17" t="s">
        <v>157</v>
      </c>
      <c r="L14" s="17" t="s">
        <v>45</v>
      </c>
      <c r="M14" s="17" t="s">
        <v>46</v>
      </c>
      <c r="N14" s="17" t="s">
        <v>46</v>
      </c>
      <c r="O14" s="17" t="s">
        <v>46</v>
      </c>
      <c r="P14" s="17" t="s">
        <v>46</v>
      </c>
      <c r="Q14" s="17" t="s">
        <v>46</v>
      </c>
      <c r="R14" s="17" t="s">
        <v>46</v>
      </c>
      <c r="S14" s="17">
        <v>1</v>
      </c>
      <c r="T14" s="17">
        <v>1</v>
      </c>
      <c r="U14" s="17" t="s">
        <v>158</v>
      </c>
      <c r="V14" s="18" t="s">
        <v>159</v>
      </c>
      <c r="W14" s="18"/>
      <c r="X14" s="18"/>
      <c r="Y14" s="18"/>
      <c r="Z14" s="18"/>
      <c r="AA14" s="45"/>
      <c r="AB14" s="18"/>
      <c r="AC14" s="18"/>
      <c r="AD14" s="18"/>
    </row>
    <row r="15" spans="1:36" ht="17.149999999999999" hidden="1" customHeight="1">
      <c r="A15" s="17" t="s">
        <v>160</v>
      </c>
      <c r="B15" s="17"/>
      <c r="C15" s="61" t="s">
        <v>161</v>
      </c>
      <c r="D15" s="61"/>
      <c r="E15" s="61"/>
      <c r="F15" s="61"/>
      <c r="G15" s="61"/>
      <c r="H15" s="17" t="s">
        <v>41</v>
      </c>
      <c r="I15" s="17" t="s">
        <v>42</v>
      </c>
      <c r="J15" s="17" t="s">
        <v>162</v>
      </c>
      <c r="K15" s="17" t="s">
        <v>163</v>
      </c>
      <c r="L15" s="17" t="s">
        <v>45</v>
      </c>
      <c r="M15" s="17" t="s">
        <v>46</v>
      </c>
      <c r="N15" s="17" t="s">
        <v>46</v>
      </c>
      <c r="O15" s="17" t="s">
        <v>46</v>
      </c>
      <c r="P15" s="17">
        <f ca="1">P15</f>
        <v>0</v>
      </c>
      <c r="Q15" s="17" t="s">
        <v>46</v>
      </c>
      <c r="R15" s="17" t="s">
        <v>46</v>
      </c>
      <c r="S15" s="17">
        <v>1</v>
      </c>
      <c r="T15" s="17">
        <v>1</v>
      </c>
      <c r="U15" s="17" t="s">
        <v>164</v>
      </c>
      <c r="V15" s="18"/>
      <c r="W15" s="18"/>
      <c r="X15" s="18"/>
      <c r="Y15" s="18"/>
      <c r="Z15" s="18"/>
      <c r="AA15" s="18"/>
      <c r="AB15" s="18"/>
      <c r="AC15" s="18" t="s">
        <v>165</v>
      </c>
      <c r="AD15" s="18"/>
    </row>
    <row r="16" spans="1:36" ht="17.149999999999999" hidden="1" customHeight="1">
      <c r="A16" s="1" t="s">
        <v>166</v>
      </c>
      <c r="B16" s="1" t="s">
        <v>167</v>
      </c>
      <c r="C16" s="1" t="s">
        <v>168</v>
      </c>
      <c r="D16" s="1"/>
      <c r="E16" s="1"/>
      <c r="F16" s="1"/>
      <c r="G16" s="1"/>
      <c r="H16" s="1" t="s">
        <v>110</v>
      </c>
      <c r="I16" s="1" t="s">
        <v>169</v>
      </c>
      <c r="J16" s="1" t="s">
        <v>170</v>
      </c>
      <c r="K16" s="1" t="s">
        <v>171</v>
      </c>
      <c r="L16" s="1" t="s">
        <v>118</v>
      </c>
      <c r="M16" s="1" t="s">
        <v>172</v>
      </c>
      <c r="N16" s="1">
        <v>700000</v>
      </c>
      <c r="O16" s="1">
        <v>2015</v>
      </c>
      <c r="P16" s="1" t="s">
        <v>46</v>
      </c>
      <c r="Q16" s="1" t="s">
        <v>46</v>
      </c>
      <c r="R16" s="1" t="s">
        <v>46</v>
      </c>
      <c r="S16" s="1">
        <v>1</v>
      </c>
      <c r="T16" s="1">
        <v>1</v>
      </c>
      <c r="U16" s="57" t="s">
        <v>173</v>
      </c>
    </row>
    <row r="17" spans="1:41" ht="17.149999999999999" hidden="1" customHeight="1">
      <c r="A17" s="1" t="s">
        <v>174</v>
      </c>
      <c r="B17" s="1" t="s">
        <v>175</v>
      </c>
      <c r="C17" s="72" t="s">
        <v>176</v>
      </c>
      <c r="D17" s="72"/>
      <c r="E17" s="72"/>
      <c r="F17" s="72"/>
      <c r="G17" s="72"/>
      <c r="H17" s="1" t="s">
        <v>177</v>
      </c>
      <c r="I17" s="1" t="s">
        <v>178</v>
      </c>
      <c r="J17" s="1" t="s">
        <v>179</v>
      </c>
      <c r="K17" s="1" t="s">
        <v>180</v>
      </c>
      <c r="L17" s="1" t="s">
        <v>45</v>
      </c>
      <c r="M17" s="1" t="s">
        <v>46</v>
      </c>
      <c r="N17" s="1" t="s">
        <v>46</v>
      </c>
      <c r="O17" s="1" t="s">
        <v>46</v>
      </c>
      <c r="P17" s="1" t="s">
        <v>46</v>
      </c>
      <c r="Q17" s="1" t="s">
        <v>46</v>
      </c>
      <c r="R17" s="1">
        <v>1</v>
      </c>
      <c r="S17" s="1" t="s">
        <v>46</v>
      </c>
      <c r="T17" s="1" t="s">
        <v>46</v>
      </c>
      <c r="U17" s="34" t="s">
        <v>181</v>
      </c>
      <c r="V17" s="2" t="s">
        <v>40</v>
      </c>
      <c r="W17" s="2" t="s">
        <v>182</v>
      </c>
      <c r="Y17" s="142">
        <v>46083</v>
      </c>
      <c r="Z17" s="2" t="s">
        <v>183</v>
      </c>
      <c r="AA17" s="11" t="s">
        <v>184</v>
      </c>
      <c r="AC17" s="11" t="s">
        <v>185</v>
      </c>
      <c r="AF17" s="2" t="s">
        <v>53</v>
      </c>
    </row>
    <row r="18" spans="1:41" ht="17.149999999999999" customHeight="1">
      <c r="A18" s="14" t="s">
        <v>186</v>
      </c>
      <c r="B18" s="14" t="s">
        <v>37</v>
      </c>
      <c r="C18" s="56" t="s">
        <v>187</v>
      </c>
      <c r="D18" s="144" t="s">
        <v>188</v>
      </c>
      <c r="E18" s="144" t="s">
        <v>189</v>
      </c>
      <c r="F18" s="17" t="s">
        <v>62</v>
      </c>
      <c r="G18" s="61" t="s">
        <v>40</v>
      </c>
      <c r="H18" s="14" t="s">
        <v>41</v>
      </c>
      <c r="I18" s="14" t="s">
        <v>135</v>
      </c>
      <c r="J18" s="14" t="s">
        <v>190</v>
      </c>
      <c r="K18" s="14" t="s">
        <v>191</v>
      </c>
      <c r="L18" s="14" t="s">
        <v>45</v>
      </c>
      <c r="M18" s="14" t="s">
        <v>46</v>
      </c>
      <c r="N18" s="14" t="s">
        <v>46</v>
      </c>
      <c r="O18" s="14" t="s">
        <v>46</v>
      </c>
      <c r="P18" s="16">
        <v>90000</v>
      </c>
      <c r="Q18" s="16">
        <v>2025</v>
      </c>
      <c r="R18" s="14" t="s">
        <v>46</v>
      </c>
      <c r="S18" s="14">
        <v>1</v>
      </c>
      <c r="T18" s="14">
        <v>1</v>
      </c>
      <c r="U18" s="14" t="s">
        <v>192</v>
      </c>
      <c r="V18" s="6" t="s">
        <v>40</v>
      </c>
      <c r="W18" s="6" t="s">
        <v>67</v>
      </c>
      <c r="X18" s="33" t="s">
        <v>40</v>
      </c>
      <c r="Y18" s="33"/>
      <c r="Z18" s="6" t="s">
        <v>193</v>
      </c>
      <c r="AA18" s="6" t="s">
        <v>194</v>
      </c>
      <c r="AB18" s="6" t="s">
        <v>195</v>
      </c>
      <c r="AC18" s="6" t="s">
        <v>196</v>
      </c>
      <c r="AD18" s="6" t="s">
        <v>40</v>
      </c>
      <c r="AE18" s="2">
        <v>1</v>
      </c>
      <c r="AF18" t="s">
        <v>53</v>
      </c>
      <c r="AG18" s="2" t="s">
        <v>197</v>
      </c>
      <c r="AJ18" s="2" t="s">
        <v>57</v>
      </c>
    </row>
    <row r="19" spans="1:41" ht="17.149999999999999" hidden="1" customHeight="1">
      <c r="A19" s="1" t="s">
        <v>198</v>
      </c>
      <c r="B19" s="1"/>
      <c r="C19" s="1" t="s">
        <v>199</v>
      </c>
      <c r="D19" s="1"/>
      <c r="E19" s="1"/>
      <c r="F19" s="1"/>
      <c r="G19" s="1"/>
      <c r="H19" s="1" t="s">
        <v>177</v>
      </c>
      <c r="I19" s="1" t="s">
        <v>46</v>
      </c>
      <c r="J19" s="1" t="s">
        <v>46</v>
      </c>
      <c r="K19" s="1" t="s">
        <v>200</v>
      </c>
      <c r="L19" s="1" t="s">
        <v>118</v>
      </c>
      <c r="M19" s="1" t="s">
        <v>46</v>
      </c>
      <c r="N19" s="1" t="s">
        <v>46</v>
      </c>
      <c r="O19" s="1" t="s">
        <v>46</v>
      </c>
      <c r="P19" s="1" t="s">
        <v>46</v>
      </c>
      <c r="Q19" s="1" t="s">
        <v>46</v>
      </c>
      <c r="R19" s="1" t="s">
        <v>46</v>
      </c>
      <c r="S19" s="1">
        <v>1</v>
      </c>
      <c r="T19" s="1" t="s">
        <v>46</v>
      </c>
      <c r="U19" s="1" t="s">
        <v>201</v>
      </c>
    </row>
    <row r="20" spans="1:41" ht="17.149999999999999" hidden="1" customHeight="1">
      <c r="A20" s="1" t="s">
        <v>202</v>
      </c>
      <c r="B20" s="1"/>
      <c r="C20" s="1" t="s">
        <v>203</v>
      </c>
      <c r="D20" s="1"/>
      <c r="E20" s="1"/>
      <c r="F20" s="1"/>
      <c r="G20" s="1"/>
      <c r="H20" s="1" t="s">
        <v>177</v>
      </c>
      <c r="I20" s="1" t="s">
        <v>46</v>
      </c>
      <c r="J20" s="1" t="s">
        <v>46</v>
      </c>
      <c r="K20" s="1" t="s">
        <v>204</v>
      </c>
      <c r="L20" s="1" t="s">
        <v>118</v>
      </c>
      <c r="M20" s="1" t="s">
        <v>46</v>
      </c>
      <c r="N20" s="1" t="s">
        <v>46</v>
      </c>
      <c r="O20" s="1" t="s">
        <v>46</v>
      </c>
      <c r="P20" s="1" t="s">
        <v>46</v>
      </c>
      <c r="Q20" s="1" t="s">
        <v>46</v>
      </c>
      <c r="R20" s="1" t="s">
        <v>46</v>
      </c>
      <c r="S20" s="1">
        <v>1</v>
      </c>
      <c r="T20" s="1" t="s">
        <v>46</v>
      </c>
      <c r="U20" s="1" t="s">
        <v>205</v>
      </c>
    </row>
    <row r="21" spans="1:41" ht="17.149999999999999" hidden="1" customHeight="1">
      <c r="A21" s="1" t="s">
        <v>206</v>
      </c>
      <c r="B21" s="1"/>
      <c r="C21" s="1" t="s">
        <v>207</v>
      </c>
      <c r="D21" s="1"/>
      <c r="E21" s="1"/>
      <c r="F21" s="1"/>
      <c r="G21" s="1"/>
      <c r="H21" s="1" t="s">
        <v>177</v>
      </c>
      <c r="I21" s="1" t="s">
        <v>46</v>
      </c>
      <c r="J21" s="1" t="s">
        <v>46</v>
      </c>
      <c r="K21" s="1" t="s">
        <v>208</v>
      </c>
      <c r="L21" s="1" t="s">
        <v>118</v>
      </c>
      <c r="M21" s="1" t="s">
        <v>46</v>
      </c>
      <c r="N21" s="1" t="s">
        <v>46</v>
      </c>
      <c r="O21" s="1" t="s">
        <v>46</v>
      </c>
      <c r="P21" s="1" t="s">
        <v>46</v>
      </c>
      <c r="Q21" s="1" t="s">
        <v>46</v>
      </c>
      <c r="R21" s="1" t="s">
        <v>46</v>
      </c>
      <c r="S21" s="1">
        <v>1</v>
      </c>
      <c r="T21" s="1" t="s">
        <v>46</v>
      </c>
      <c r="U21" s="1" t="s">
        <v>209</v>
      </c>
    </row>
    <row r="22" spans="1:41" ht="17.149999999999999" hidden="1" customHeight="1">
      <c r="A22" s="1" t="s">
        <v>210</v>
      </c>
      <c r="B22" s="1"/>
      <c r="C22" s="1" t="s">
        <v>211</v>
      </c>
      <c r="D22" s="1"/>
      <c r="E22" s="1"/>
      <c r="F22" s="1"/>
      <c r="G22" s="1"/>
      <c r="H22" s="1" t="s">
        <v>128</v>
      </c>
      <c r="I22" s="1" t="s">
        <v>46</v>
      </c>
      <c r="J22" s="1" t="s">
        <v>212</v>
      </c>
      <c r="K22" s="1" t="s">
        <v>213</v>
      </c>
      <c r="L22" s="1" t="s">
        <v>45</v>
      </c>
      <c r="M22" s="1" t="s">
        <v>46</v>
      </c>
      <c r="N22" s="1" t="s">
        <v>46</v>
      </c>
      <c r="O22" s="1" t="s">
        <v>46</v>
      </c>
      <c r="P22" s="1" t="s">
        <v>46</v>
      </c>
      <c r="Q22" s="1" t="s">
        <v>46</v>
      </c>
      <c r="R22" s="1" t="s">
        <v>46</v>
      </c>
      <c r="S22" s="1">
        <v>1</v>
      </c>
      <c r="T22" s="1" t="s">
        <v>46</v>
      </c>
      <c r="U22" s="1" t="s">
        <v>214</v>
      </c>
    </row>
    <row r="23" spans="1:41" ht="17.149999999999999" hidden="1" customHeight="1">
      <c r="A23" s="1" t="s">
        <v>215</v>
      </c>
      <c r="B23" s="1"/>
      <c r="C23" s="1" t="s">
        <v>216</v>
      </c>
      <c r="D23" s="1"/>
      <c r="E23" s="1"/>
      <c r="F23" s="1"/>
      <c r="G23" s="1"/>
      <c r="H23" s="1" t="s">
        <v>177</v>
      </c>
      <c r="I23" s="1" t="s">
        <v>178</v>
      </c>
      <c r="J23" s="1" t="s">
        <v>217</v>
      </c>
      <c r="K23" s="1" t="s">
        <v>218</v>
      </c>
      <c r="L23" s="1" t="s">
        <v>118</v>
      </c>
      <c r="M23" s="1" t="s">
        <v>219</v>
      </c>
      <c r="N23" s="1">
        <v>61708</v>
      </c>
      <c r="O23" s="1">
        <v>2018</v>
      </c>
      <c r="P23" s="1" t="s">
        <v>46</v>
      </c>
      <c r="Q23" s="1" t="s">
        <v>46</v>
      </c>
      <c r="R23" s="1" t="s">
        <v>46</v>
      </c>
      <c r="S23" s="1">
        <v>1</v>
      </c>
      <c r="T23" s="1" t="s">
        <v>46</v>
      </c>
      <c r="U23" s="1" t="s">
        <v>220</v>
      </c>
    </row>
    <row r="24" spans="1:41" ht="17.149999999999999" hidden="1" customHeight="1">
      <c r="A24" s="1" t="s">
        <v>221</v>
      </c>
      <c r="B24" s="1"/>
      <c r="C24" s="1" t="s">
        <v>222</v>
      </c>
      <c r="D24" s="1"/>
      <c r="E24" s="1"/>
      <c r="F24" s="1"/>
      <c r="G24" s="1"/>
      <c r="H24" s="1" t="s">
        <v>177</v>
      </c>
      <c r="I24" s="1" t="s">
        <v>46</v>
      </c>
      <c r="J24" s="1" t="s">
        <v>46</v>
      </c>
      <c r="K24" s="1" t="s">
        <v>223</v>
      </c>
      <c r="L24" s="1" t="s">
        <v>118</v>
      </c>
      <c r="M24" s="1" t="s">
        <v>46</v>
      </c>
      <c r="N24" s="1" t="s">
        <v>46</v>
      </c>
      <c r="O24" s="1" t="s">
        <v>46</v>
      </c>
      <c r="P24" s="1" t="s">
        <v>46</v>
      </c>
      <c r="Q24" s="1" t="s">
        <v>46</v>
      </c>
      <c r="R24" s="1" t="s">
        <v>46</v>
      </c>
      <c r="S24" s="1">
        <v>1</v>
      </c>
      <c r="T24" s="1" t="s">
        <v>46</v>
      </c>
      <c r="U24" s="1" t="s">
        <v>224</v>
      </c>
    </row>
    <row r="25" spans="1:41" ht="17.149999999999999" hidden="1" customHeight="1">
      <c r="A25" s="1" t="s">
        <v>225</v>
      </c>
      <c r="B25" s="1"/>
      <c r="C25" s="1" t="s">
        <v>226</v>
      </c>
      <c r="D25" s="1"/>
      <c r="E25" s="1"/>
      <c r="F25" s="1"/>
      <c r="G25" s="1"/>
      <c r="H25" s="1" t="s">
        <v>177</v>
      </c>
      <c r="I25" s="1" t="s">
        <v>178</v>
      </c>
      <c r="J25" s="1" t="s">
        <v>227</v>
      </c>
      <c r="K25" s="1" t="s">
        <v>228</v>
      </c>
      <c r="L25" s="1" t="s">
        <v>45</v>
      </c>
      <c r="M25" s="1" t="s">
        <v>46</v>
      </c>
      <c r="N25" s="1" t="s">
        <v>46</v>
      </c>
      <c r="O25" s="1" t="s">
        <v>46</v>
      </c>
      <c r="P25" s="1" t="s">
        <v>46</v>
      </c>
      <c r="Q25" s="1" t="s">
        <v>46</v>
      </c>
      <c r="R25" s="1" t="s">
        <v>46</v>
      </c>
      <c r="S25" s="1">
        <v>1</v>
      </c>
      <c r="T25" s="1">
        <v>1</v>
      </c>
      <c r="U25" s="1" t="s">
        <v>229</v>
      </c>
    </row>
    <row r="26" spans="1:41" ht="17.149999999999999" hidden="1" customHeight="1">
      <c r="A26" s="1" t="s">
        <v>230</v>
      </c>
      <c r="B26" s="1"/>
      <c r="C26" s="1" t="s">
        <v>231</v>
      </c>
      <c r="D26" s="1"/>
      <c r="E26" s="1"/>
      <c r="F26" s="1"/>
      <c r="G26" s="1"/>
      <c r="H26" s="1" t="s">
        <v>177</v>
      </c>
      <c r="I26" s="1" t="s">
        <v>46</v>
      </c>
      <c r="J26" s="1" t="s">
        <v>46</v>
      </c>
      <c r="K26" s="1" t="s">
        <v>232</v>
      </c>
      <c r="L26" s="1" t="s">
        <v>118</v>
      </c>
      <c r="M26" s="1" t="s">
        <v>46</v>
      </c>
      <c r="N26" s="1" t="s">
        <v>46</v>
      </c>
      <c r="O26" s="1" t="s">
        <v>46</v>
      </c>
      <c r="P26" s="1" t="s">
        <v>46</v>
      </c>
      <c r="Q26" s="1" t="s">
        <v>46</v>
      </c>
      <c r="R26" s="1" t="s">
        <v>46</v>
      </c>
      <c r="S26" s="1">
        <v>1</v>
      </c>
      <c r="T26" s="1" t="s">
        <v>46</v>
      </c>
      <c r="U26" s="1" t="s">
        <v>233</v>
      </c>
    </row>
    <row r="27" spans="1:41" s="39" customFormat="1" ht="17.149999999999999" hidden="1" customHeight="1">
      <c r="A27" s="1" t="s">
        <v>234</v>
      </c>
      <c r="B27" s="1"/>
      <c r="C27" s="1" t="s">
        <v>235</v>
      </c>
      <c r="D27" s="1"/>
      <c r="E27" s="1"/>
      <c r="F27" s="1"/>
      <c r="G27" s="1"/>
      <c r="H27" s="1" t="s">
        <v>177</v>
      </c>
      <c r="I27" s="1" t="s">
        <v>236</v>
      </c>
      <c r="J27" s="1" t="s">
        <v>237</v>
      </c>
      <c r="K27" s="1" t="s">
        <v>238</v>
      </c>
      <c r="L27" s="1" t="s">
        <v>118</v>
      </c>
      <c r="M27" s="1" t="s">
        <v>239</v>
      </c>
      <c r="N27" s="1">
        <v>228675</v>
      </c>
      <c r="O27" s="1">
        <v>2019</v>
      </c>
      <c r="P27" s="1" t="s">
        <v>46</v>
      </c>
      <c r="Q27" s="1" t="s">
        <v>46</v>
      </c>
      <c r="R27" s="1" t="s">
        <v>46</v>
      </c>
      <c r="S27" s="1">
        <v>1</v>
      </c>
      <c r="T27" s="1">
        <v>1</v>
      </c>
      <c r="U27" s="1" t="s">
        <v>240</v>
      </c>
      <c r="V27" s="2"/>
      <c r="W27" s="2"/>
      <c r="X27" s="2"/>
      <c r="Y27" s="2"/>
      <c r="Z27" s="2"/>
      <c r="AA27" s="2"/>
      <c r="AB27" s="2"/>
      <c r="AC27" s="2"/>
      <c r="AD27" s="2"/>
      <c r="AE27" s="2"/>
      <c r="AF27" s="2"/>
      <c r="AG27" s="2"/>
      <c r="AH27" s="2"/>
      <c r="AI27" s="2"/>
      <c r="AJ27" s="2"/>
    </row>
    <row r="28" spans="1:41" ht="17.149999999999999" hidden="1" customHeight="1">
      <c r="A28" s="1" t="s">
        <v>241</v>
      </c>
      <c r="B28" s="1" t="s">
        <v>167</v>
      </c>
      <c r="C28" s="1" t="s">
        <v>242</v>
      </c>
      <c r="D28" s="1"/>
      <c r="E28" s="1"/>
      <c r="F28" s="1"/>
      <c r="G28" s="1"/>
      <c r="H28" s="1" t="s">
        <v>110</v>
      </c>
      <c r="I28" s="1" t="s">
        <v>243</v>
      </c>
      <c r="J28" s="1" t="s">
        <v>244</v>
      </c>
      <c r="K28" s="1" t="s">
        <v>245</v>
      </c>
      <c r="L28" s="1" t="s">
        <v>45</v>
      </c>
      <c r="M28" s="1" t="s">
        <v>46</v>
      </c>
      <c r="N28" s="1">
        <v>530000</v>
      </c>
      <c r="O28" s="1">
        <v>2019</v>
      </c>
      <c r="P28" s="1" t="s">
        <v>46</v>
      </c>
      <c r="Q28" s="1" t="s">
        <v>46</v>
      </c>
      <c r="R28" s="1" t="s">
        <v>46</v>
      </c>
      <c r="S28" s="1">
        <v>1</v>
      </c>
      <c r="T28" s="1" t="s">
        <v>46</v>
      </c>
      <c r="U28" s="34" t="s">
        <v>246</v>
      </c>
    </row>
    <row r="29" spans="1:41" s="44" customFormat="1" ht="17.149999999999999" hidden="1" customHeight="1">
      <c r="A29" s="141" t="s">
        <v>247</v>
      </c>
      <c r="B29" s="141"/>
      <c r="C29" s="141" t="s">
        <v>248</v>
      </c>
      <c r="D29" s="1"/>
      <c r="E29" s="1"/>
      <c r="F29" s="1"/>
      <c r="G29" s="1"/>
      <c r="H29" s="141" t="s">
        <v>249</v>
      </c>
      <c r="I29" s="141" t="s">
        <v>250</v>
      </c>
      <c r="J29" s="141" t="s">
        <v>251</v>
      </c>
      <c r="K29" s="141" t="s">
        <v>252</v>
      </c>
      <c r="L29" s="141" t="s">
        <v>45</v>
      </c>
      <c r="M29" s="141" t="s">
        <v>46</v>
      </c>
      <c r="N29" s="141" t="s">
        <v>46</v>
      </c>
      <c r="O29" s="141" t="s">
        <v>46</v>
      </c>
      <c r="P29" s="141">
        <v>533802</v>
      </c>
      <c r="Q29" s="141">
        <v>2018</v>
      </c>
      <c r="R29" s="141">
        <v>1</v>
      </c>
      <c r="S29" s="141" t="s">
        <v>46</v>
      </c>
      <c r="T29" s="141">
        <v>1</v>
      </c>
      <c r="U29" s="141" t="s">
        <v>253</v>
      </c>
      <c r="V29" s="44" t="s">
        <v>254</v>
      </c>
      <c r="AA29" s="44" t="s">
        <v>255</v>
      </c>
    </row>
    <row r="30" spans="1:41" s="117" customFormat="1" ht="17.149999999999999" hidden="1" customHeight="1">
      <c r="A30" s="1" t="s">
        <v>256</v>
      </c>
      <c r="B30" s="1" t="s">
        <v>167</v>
      </c>
      <c r="C30" s="1" t="s">
        <v>257</v>
      </c>
      <c r="D30" s="1"/>
      <c r="E30" s="1"/>
      <c r="F30" s="1"/>
      <c r="G30" s="1"/>
      <c r="H30" s="1" t="s">
        <v>110</v>
      </c>
      <c r="I30" s="1" t="s">
        <v>243</v>
      </c>
      <c r="J30" s="1" t="s">
        <v>258</v>
      </c>
      <c r="K30" s="1" t="s">
        <v>259</v>
      </c>
      <c r="L30" s="1" t="s">
        <v>45</v>
      </c>
      <c r="M30" s="1" t="s">
        <v>46</v>
      </c>
      <c r="N30" s="1">
        <v>480142</v>
      </c>
      <c r="O30" s="1">
        <v>2019</v>
      </c>
      <c r="P30" s="1" t="s">
        <v>46</v>
      </c>
      <c r="Q30" s="1" t="s">
        <v>46</v>
      </c>
      <c r="R30" s="1" t="s">
        <v>46</v>
      </c>
      <c r="S30" s="1">
        <v>1</v>
      </c>
      <c r="T30" s="1" t="s">
        <v>46</v>
      </c>
      <c r="U30" s="1" t="s">
        <v>260</v>
      </c>
      <c r="V30" s="2"/>
      <c r="W30" s="2"/>
      <c r="X30" s="2"/>
      <c r="Y30" s="2"/>
      <c r="Z30" s="2"/>
      <c r="AA30" s="2"/>
      <c r="AB30" s="2"/>
      <c r="AC30" s="2"/>
      <c r="AD30" s="2"/>
      <c r="AE30" s="2"/>
      <c r="AF30" s="2"/>
      <c r="AG30" s="2"/>
      <c r="AH30" s="2"/>
      <c r="AI30" s="2"/>
      <c r="AJ30" s="2"/>
    </row>
    <row r="31" spans="1:41" s="118" customFormat="1" ht="17.149999999999999" hidden="1" customHeight="1">
      <c r="A31" s="141" t="s">
        <v>261</v>
      </c>
      <c r="B31" s="141"/>
      <c r="C31" s="141" t="s">
        <v>262</v>
      </c>
      <c r="D31" s="1"/>
      <c r="E31" s="1"/>
      <c r="F31" s="1"/>
      <c r="G31" s="1"/>
      <c r="H31" s="141" t="s">
        <v>249</v>
      </c>
      <c r="I31" s="141" t="s">
        <v>250</v>
      </c>
      <c r="J31" s="141" t="s">
        <v>263</v>
      </c>
      <c r="K31" s="141" t="s">
        <v>264</v>
      </c>
      <c r="L31" s="141" t="s">
        <v>45</v>
      </c>
      <c r="M31" s="141" t="s">
        <v>46</v>
      </c>
      <c r="N31" s="141" t="s">
        <v>46</v>
      </c>
      <c r="O31" s="141" t="s">
        <v>46</v>
      </c>
      <c r="P31" s="141">
        <v>527363</v>
      </c>
      <c r="Q31" s="141">
        <v>2018</v>
      </c>
      <c r="R31" s="141">
        <v>1</v>
      </c>
      <c r="S31" s="141" t="s">
        <v>46</v>
      </c>
      <c r="T31" s="141">
        <v>1</v>
      </c>
      <c r="U31" s="141" t="s">
        <v>265</v>
      </c>
      <c r="V31" s="44"/>
      <c r="W31" s="44"/>
      <c r="X31" s="44"/>
      <c r="Y31" s="44"/>
      <c r="Z31" s="44"/>
      <c r="AA31" s="44"/>
      <c r="AB31" s="44"/>
      <c r="AC31" s="44"/>
      <c r="AD31" s="44"/>
      <c r="AE31" s="44"/>
      <c r="AF31" s="44"/>
      <c r="AG31" s="44"/>
      <c r="AH31" s="44"/>
      <c r="AI31" s="44"/>
      <c r="AJ31" s="44"/>
      <c r="AK31" s="44"/>
      <c r="AL31" s="44"/>
      <c r="AM31" s="44"/>
      <c r="AN31" s="44"/>
      <c r="AO31" s="44"/>
    </row>
    <row r="32" spans="1:41" s="42" customFormat="1" ht="17.149999999999999" hidden="1" customHeight="1">
      <c r="A32" s="1" t="s">
        <v>266</v>
      </c>
      <c r="B32" s="1"/>
      <c r="C32" s="1" t="s">
        <v>267</v>
      </c>
      <c r="D32" s="1"/>
      <c r="E32" s="1"/>
      <c r="F32" s="1"/>
      <c r="G32" s="1"/>
      <c r="H32" s="1" t="s">
        <v>268</v>
      </c>
      <c r="I32" s="1" t="s">
        <v>269</v>
      </c>
      <c r="J32" s="1" t="s">
        <v>270</v>
      </c>
      <c r="K32" s="1" t="s">
        <v>271</v>
      </c>
      <c r="L32" s="1" t="s">
        <v>45</v>
      </c>
      <c r="M32" s="1" t="s">
        <v>46</v>
      </c>
      <c r="N32" s="1" t="s">
        <v>46</v>
      </c>
      <c r="O32" s="1" t="s">
        <v>46</v>
      </c>
      <c r="P32" s="1" t="s">
        <v>46</v>
      </c>
      <c r="Q32" s="1" t="s">
        <v>46</v>
      </c>
      <c r="R32" s="1" t="s">
        <v>46</v>
      </c>
      <c r="S32" s="1">
        <v>1</v>
      </c>
      <c r="T32" s="1" t="s">
        <v>46</v>
      </c>
      <c r="U32" s="1" t="s">
        <v>272</v>
      </c>
      <c r="V32" s="2"/>
      <c r="W32" s="2"/>
      <c r="X32" s="2"/>
      <c r="Y32" s="2"/>
      <c r="Z32" s="2"/>
      <c r="AA32" s="2"/>
      <c r="AB32" s="2"/>
      <c r="AC32" s="2"/>
      <c r="AD32" s="2"/>
      <c r="AE32" s="2"/>
      <c r="AF32" s="2"/>
      <c r="AG32" s="2"/>
      <c r="AH32" s="2"/>
      <c r="AI32" s="2"/>
      <c r="AJ32" s="2"/>
    </row>
    <row r="33" spans="1:36" ht="17.149999999999999" hidden="1" customHeight="1">
      <c r="A33" s="1" t="s">
        <v>273</v>
      </c>
      <c r="B33" s="1"/>
      <c r="C33" s="1" t="s">
        <v>274</v>
      </c>
      <c r="D33" s="1"/>
      <c r="E33" s="1"/>
      <c r="F33" s="1"/>
      <c r="G33" s="1"/>
      <c r="H33" s="1" t="s">
        <v>128</v>
      </c>
      <c r="I33" s="1" t="s">
        <v>46</v>
      </c>
      <c r="J33" s="1" t="s">
        <v>46</v>
      </c>
      <c r="K33" s="1" t="s">
        <v>275</v>
      </c>
      <c r="L33" s="1" t="s">
        <v>118</v>
      </c>
      <c r="M33" s="1" t="s">
        <v>46</v>
      </c>
      <c r="N33" s="1">
        <v>29192</v>
      </c>
      <c r="O33" s="1">
        <v>2020</v>
      </c>
      <c r="P33" s="1" t="s">
        <v>46</v>
      </c>
      <c r="Q33" s="1" t="s">
        <v>46</v>
      </c>
      <c r="R33" s="1" t="s">
        <v>46</v>
      </c>
      <c r="S33" s="1">
        <v>1</v>
      </c>
      <c r="T33" s="1" t="s">
        <v>46</v>
      </c>
      <c r="U33" s="1" t="s">
        <v>276</v>
      </c>
    </row>
    <row r="34" spans="1:36" ht="17.149999999999999" hidden="1" customHeight="1">
      <c r="A34" s="1" t="s">
        <v>277</v>
      </c>
      <c r="B34" s="1"/>
      <c r="C34" s="1" t="s">
        <v>278</v>
      </c>
      <c r="D34" s="1"/>
      <c r="E34" s="1"/>
      <c r="F34" s="1"/>
      <c r="G34" s="1"/>
      <c r="H34" s="1" t="s">
        <v>177</v>
      </c>
      <c r="I34" s="1" t="s">
        <v>46</v>
      </c>
      <c r="J34" s="1" t="s">
        <v>46</v>
      </c>
      <c r="K34" s="1" t="s">
        <v>279</v>
      </c>
      <c r="L34" s="1" t="s">
        <v>118</v>
      </c>
      <c r="M34" s="1" t="s">
        <v>46</v>
      </c>
      <c r="N34" s="1" t="s">
        <v>46</v>
      </c>
      <c r="O34" s="1" t="s">
        <v>46</v>
      </c>
      <c r="P34" s="1" t="s">
        <v>46</v>
      </c>
      <c r="Q34" s="1" t="s">
        <v>46</v>
      </c>
      <c r="R34" s="1" t="s">
        <v>46</v>
      </c>
      <c r="S34" s="1">
        <v>1</v>
      </c>
      <c r="T34" s="1" t="s">
        <v>46</v>
      </c>
      <c r="U34" s="1" t="s">
        <v>280</v>
      </c>
    </row>
    <row r="35" spans="1:36" ht="17.149999999999999" hidden="1" customHeight="1">
      <c r="A35" s="1" t="s">
        <v>281</v>
      </c>
      <c r="B35" s="1"/>
      <c r="C35" s="1" t="s">
        <v>282</v>
      </c>
      <c r="D35" s="1"/>
      <c r="E35" s="1"/>
      <c r="F35" s="1"/>
      <c r="G35" s="1"/>
      <c r="H35" s="1" t="s">
        <v>128</v>
      </c>
      <c r="I35" s="1" t="s">
        <v>283</v>
      </c>
      <c r="J35" s="1" t="s">
        <v>283</v>
      </c>
      <c r="K35" s="1" t="s">
        <v>284</v>
      </c>
      <c r="L35" s="1" t="s">
        <v>46</v>
      </c>
      <c r="M35" s="1" t="s">
        <v>46</v>
      </c>
      <c r="N35" s="1" t="s">
        <v>46</v>
      </c>
      <c r="O35" s="1" t="s">
        <v>46</v>
      </c>
      <c r="P35" s="1" t="s">
        <v>46</v>
      </c>
      <c r="Q35" s="1" t="s">
        <v>46</v>
      </c>
      <c r="R35" s="1" t="s">
        <v>46</v>
      </c>
      <c r="S35" s="1">
        <v>1</v>
      </c>
      <c r="T35" s="1" t="s">
        <v>46</v>
      </c>
      <c r="U35" s="34" t="s">
        <v>285</v>
      </c>
      <c r="V35" s="2" t="s">
        <v>286</v>
      </c>
    </row>
    <row r="36" spans="1:36" ht="17.149999999999999" hidden="1" customHeight="1">
      <c r="A36" s="1" t="s">
        <v>287</v>
      </c>
      <c r="B36" s="1"/>
      <c r="C36" s="1" t="s">
        <v>288</v>
      </c>
      <c r="D36" s="1"/>
      <c r="E36" s="1"/>
      <c r="F36" s="1"/>
      <c r="G36" s="1"/>
      <c r="H36" s="1" t="s">
        <v>177</v>
      </c>
      <c r="I36" s="1" t="s">
        <v>46</v>
      </c>
      <c r="J36" s="1" t="s">
        <v>289</v>
      </c>
      <c r="K36" s="1" t="s">
        <v>290</v>
      </c>
      <c r="L36" s="1" t="s">
        <v>45</v>
      </c>
      <c r="M36" s="1" t="s">
        <v>46</v>
      </c>
      <c r="N36" s="1" t="s">
        <v>46</v>
      </c>
      <c r="O36" s="1" t="s">
        <v>46</v>
      </c>
      <c r="P36" s="1" t="s">
        <v>46</v>
      </c>
      <c r="Q36" s="1" t="s">
        <v>46</v>
      </c>
      <c r="R36" s="1" t="s">
        <v>46</v>
      </c>
      <c r="S36" s="1">
        <v>1</v>
      </c>
      <c r="T36" s="1" t="s">
        <v>46</v>
      </c>
      <c r="U36" s="1" t="s">
        <v>291</v>
      </c>
    </row>
    <row r="37" spans="1:36" ht="17.149999999999999" hidden="1" customHeight="1">
      <c r="A37" s="1" t="s">
        <v>292</v>
      </c>
      <c r="B37" s="1"/>
      <c r="C37" s="1" t="s">
        <v>293</v>
      </c>
      <c r="D37" s="1"/>
      <c r="E37" s="1"/>
      <c r="F37" s="1"/>
      <c r="G37" s="1"/>
      <c r="H37" s="1" t="s">
        <v>177</v>
      </c>
      <c r="I37" s="1" t="s">
        <v>294</v>
      </c>
      <c r="J37" s="1" t="s">
        <v>295</v>
      </c>
      <c r="K37" s="1" t="s">
        <v>296</v>
      </c>
      <c r="L37" s="1" t="s">
        <v>45</v>
      </c>
      <c r="M37" s="1" t="s">
        <v>46</v>
      </c>
      <c r="N37" s="1">
        <v>53000</v>
      </c>
      <c r="O37" s="1">
        <v>2015</v>
      </c>
      <c r="P37" s="1" t="s">
        <v>46</v>
      </c>
      <c r="Q37" s="1" t="s">
        <v>46</v>
      </c>
      <c r="R37" s="1" t="s">
        <v>46</v>
      </c>
      <c r="S37" s="1">
        <v>1</v>
      </c>
      <c r="T37" s="1">
        <v>1</v>
      </c>
      <c r="U37" s="1" t="s">
        <v>297</v>
      </c>
    </row>
    <row r="38" spans="1:36" ht="17.149999999999999" hidden="1" customHeight="1">
      <c r="A38" s="1" t="s">
        <v>298</v>
      </c>
      <c r="B38" s="1" t="s">
        <v>167</v>
      </c>
      <c r="C38" s="1" t="s">
        <v>299</v>
      </c>
      <c r="D38" s="1"/>
      <c r="E38" s="1"/>
      <c r="F38" s="1"/>
      <c r="G38" s="1"/>
      <c r="H38" s="1" t="s">
        <v>110</v>
      </c>
      <c r="I38" s="1" t="s">
        <v>300</v>
      </c>
      <c r="J38" s="1" t="s">
        <v>301</v>
      </c>
      <c r="K38" s="1" t="s">
        <v>302</v>
      </c>
      <c r="L38" s="1" t="s">
        <v>118</v>
      </c>
      <c r="M38" s="1" t="s">
        <v>303</v>
      </c>
      <c r="N38" s="1">
        <v>350214</v>
      </c>
      <c r="O38" s="1">
        <v>2019</v>
      </c>
      <c r="P38" s="1" t="s">
        <v>46</v>
      </c>
      <c r="Q38" s="1" t="s">
        <v>46</v>
      </c>
      <c r="R38" s="1" t="s">
        <v>46</v>
      </c>
      <c r="S38" s="1">
        <v>1</v>
      </c>
      <c r="T38" s="1">
        <v>1</v>
      </c>
      <c r="U38" s="1" t="s">
        <v>304</v>
      </c>
    </row>
    <row r="39" spans="1:36" ht="17.149999999999999" hidden="1" customHeight="1">
      <c r="A39" s="1" t="s">
        <v>305</v>
      </c>
      <c r="B39" s="1" t="s">
        <v>167</v>
      </c>
      <c r="C39" s="1" t="s">
        <v>306</v>
      </c>
      <c r="D39" s="1"/>
      <c r="E39" s="1"/>
      <c r="F39" s="1"/>
      <c r="G39" s="1"/>
      <c r="H39" s="1" t="s">
        <v>110</v>
      </c>
      <c r="I39" s="1" t="s">
        <v>307</v>
      </c>
      <c r="J39" s="1" t="s">
        <v>308</v>
      </c>
      <c r="K39" s="1" t="s">
        <v>309</v>
      </c>
      <c r="L39" s="1" t="s">
        <v>45</v>
      </c>
      <c r="M39" s="1" t="s">
        <v>46</v>
      </c>
      <c r="N39" s="1">
        <v>340000</v>
      </c>
      <c r="O39" s="1">
        <v>2017</v>
      </c>
      <c r="P39" s="1" t="s">
        <v>46</v>
      </c>
      <c r="Q39" s="1" t="s">
        <v>46</v>
      </c>
      <c r="R39" s="1" t="s">
        <v>46</v>
      </c>
      <c r="S39" s="1">
        <v>1</v>
      </c>
      <c r="T39" s="1">
        <v>1</v>
      </c>
      <c r="U39" s="1" t="s">
        <v>310</v>
      </c>
    </row>
    <row r="40" spans="1:36" ht="17.149999999999999" hidden="1" customHeight="1">
      <c r="A40" s="1" t="s">
        <v>311</v>
      </c>
      <c r="B40" s="1"/>
      <c r="C40" s="1" t="s">
        <v>312</v>
      </c>
      <c r="D40" s="1"/>
      <c r="E40" s="1"/>
      <c r="F40" s="1"/>
      <c r="G40" s="1"/>
      <c r="H40" s="1" t="s">
        <v>313</v>
      </c>
      <c r="I40" s="1" t="s">
        <v>314</v>
      </c>
      <c r="J40" s="1" t="s">
        <v>314</v>
      </c>
      <c r="K40" s="1" t="s">
        <v>315</v>
      </c>
      <c r="L40" s="1" t="s">
        <v>45</v>
      </c>
      <c r="M40" s="1" t="s">
        <v>46</v>
      </c>
      <c r="N40" s="1">
        <v>190000</v>
      </c>
      <c r="O40" s="1">
        <v>2019</v>
      </c>
      <c r="P40" s="1" t="s">
        <v>46</v>
      </c>
      <c r="Q40" s="1" t="s">
        <v>46</v>
      </c>
      <c r="R40" s="1">
        <v>1</v>
      </c>
      <c r="S40" s="1">
        <v>1</v>
      </c>
      <c r="T40" s="1">
        <v>1</v>
      </c>
      <c r="U40" s="1" t="s">
        <v>316</v>
      </c>
    </row>
    <row r="41" spans="1:36" s="42" customFormat="1" ht="17.149999999999999" customHeight="1">
      <c r="A41" s="14" t="s">
        <v>317</v>
      </c>
      <c r="B41" s="14" t="s">
        <v>37</v>
      </c>
      <c r="C41" s="14" t="s">
        <v>318</v>
      </c>
      <c r="D41" s="17" t="s">
        <v>318</v>
      </c>
      <c r="E41" s="17" t="s">
        <v>319</v>
      </c>
      <c r="F41" s="17" t="s">
        <v>62</v>
      </c>
      <c r="G41" s="17" t="s">
        <v>40</v>
      </c>
      <c r="H41" s="14" t="s">
        <v>41</v>
      </c>
      <c r="I41" s="14" t="s">
        <v>63</v>
      </c>
      <c r="J41" s="14" t="s">
        <v>320</v>
      </c>
      <c r="K41" s="14" t="s">
        <v>321</v>
      </c>
      <c r="L41" s="14" t="s">
        <v>45</v>
      </c>
      <c r="M41" s="14" t="s">
        <v>46</v>
      </c>
      <c r="N41" s="14" t="s">
        <v>46</v>
      </c>
      <c r="O41" s="14" t="s">
        <v>46</v>
      </c>
      <c r="P41" s="14" t="s">
        <v>46</v>
      </c>
      <c r="Q41" s="14" t="s">
        <v>46</v>
      </c>
      <c r="R41" s="14"/>
      <c r="S41" s="14">
        <v>1</v>
      </c>
      <c r="T41" s="14">
        <v>1</v>
      </c>
      <c r="U41" s="14" t="s">
        <v>322</v>
      </c>
      <c r="V41" s="6" t="s">
        <v>40</v>
      </c>
      <c r="W41" s="6" t="s">
        <v>323</v>
      </c>
      <c r="X41" s="6" t="s">
        <v>40</v>
      </c>
      <c r="Y41" s="6" t="s">
        <v>324</v>
      </c>
      <c r="Z41" s="6" t="s">
        <v>325</v>
      </c>
      <c r="AA41" s="6"/>
      <c r="AB41" s="76" t="s">
        <v>326</v>
      </c>
      <c r="AC41" s="6"/>
      <c r="AD41" s="6" t="s">
        <v>40</v>
      </c>
      <c r="AE41" s="42">
        <v>4</v>
      </c>
      <c r="AF41" s="42" t="s">
        <v>53</v>
      </c>
      <c r="AI41" s="5" t="s">
        <v>327</v>
      </c>
      <c r="AJ41" s="42" t="s">
        <v>57</v>
      </c>
    </row>
    <row r="42" spans="1:36" s="123" customFormat="1" ht="17.149999999999999" hidden="1" customHeight="1">
      <c r="A42" s="1" t="s">
        <v>328</v>
      </c>
      <c r="B42" s="1"/>
      <c r="C42" s="1" t="s">
        <v>329</v>
      </c>
      <c r="D42" s="1"/>
      <c r="E42" s="1"/>
      <c r="F42" s="1"/>
      <c r="G42" s="1"/>
      <c r="H42" s="1" t="s">
        <v>128</v>
      </c>
      <c r="I42" s="1" t="s">
        <v>46</v>
      </c>
      <c r="J42" s="1" t="s">
        <v>46</v>
      </c>
      <c r="K42" s="1" t="s">
        <v>330</v>
      </c>
      <c r="L42" s="1" t="s">
        <v>118</v>
      </c>
      <c r="M42" s="1" t="s">
        <v>46</v>
      </c>
      <c r="N42" s="1" t="s">
        <v>46</v>
      </c>
      <c r="O42" s="1" t="s">
        <v>46</v>
      </c>
      <c r="P42" s="1" t="s">
        <v>46</v>
      </c>
      <c r="Q42" s="1" t="s">
        <v>46</v>
      </c>
      <c r="R42" s="1" t="s">
        <v>46</v>
      </c>
      <c r="S42" s="1">
        <v>1</v>
      </c>
      <c r="T42" s="1" t="s">
        <v>46</v>
      </c>
      <c r="U42" s="1" t="s">
        <v>331</v>
      </c>
      <c r="V42" s="2"/>
      <c r="W42" s="2"/>
      <c r="X42" s="2"/>
      <c r="Y42" s="2"/>
      <c r="Z42" s="2"/>
      <c r="AA42" s="2"/>
      <c r="AB42" s="2"/>
      <c r="AC42" s="2"/>
      <c r="AD42" s="2"/>
      <c r="AE42" s="2"/>
      <c r="AF42" s="2"/>
      <c r="AG42" s="2"/>
      <c r="AH42" s="2"/>
      <c r="AI42" s="2"/>
      <c r="AJ42" s="2"/>
    </row>
    <row r="43" spans="1:36" ht="17.149999999999999" hidden="1" customHeight="1">
      <c r="A43" s="1" t="s">
        <v>332</v>
      </c>
      <c r="B43" s="1"/>
      <c r="C43" s="1" t="s">
        <v>333</v>
      </c>
      <c r="D43" s="1"/>
      <c r="E43" s="1"/>
      <c r="F43" s="1"/>
      <c r="G43" s="1"/>
      <c r="H43" s="1" t="s">
        <v>334</v>
      </c>
      <c r="I43" s="1" t="s">
        <v>46</v>
      </c>
      <c r="J43" s="1" t="s">
        <v>335</v>
      </c>
      <c r="K43" s="1" t="s">
        <v>336</v>
      </c>
      <c r="L43" s="1" t="s">
        <v>45</v>
      </c>
      <c r="M43" s="1" t="s">
        <v>46</v>
      </c>
      <c r="N43" s="1">
        <v>79913</v>
      </c>
      <c r="O43" s="1">
        <v>2015</v>
      </c>
      <c r="P43" s="1" t="s">
        <v>46</v>
      </c>
      <c r="Q43" s="1" t="s">
        <v>46</v>
      </c>
      <c r="R43" s="1" t="s">
        <v>46</v>
      </c>
      <c r="S43" s="1">
        <v>1</v>
      </c>
      <c r="T43" s="1" t="s">
        <v>46</v>
      </c>
      <c r="U43" s="1" t="s">
        <v>337</v>
      </c>
    </row>
    <row r="44" spans="1:36" ht="17.149999999999999" hidden="1" customHeight="1">
      <c r="A44" s="1" t="s">
        <v>338</v>
      </c>
      <c r="B44" s="1"/>
      <c r="C44" s="1" t="s">
        <v>339</v>
      </c>
      <c r="D44" s="1"/>
      <c r="E44" s="1"/>
      <c r="F44" s="1"/>
      <c r="G44" s="1"/>
      <c r="H44" s="1" t="s">
        <v>110</v>
      </c>
      <c r="I44" s="1" t="s">
        <v>46</v>
      </c>
      <c r="J44" s="1" t="s">
        <v>340</v>
      </c>
      <c r="K44" s="1" t="s">
        <v>341</v>
      </c>
      <c r="L44" s="1" t="s">
        <v>45</v>
      </c>
      <c r="M44" s="1" t="s">
        <v>46</v>
      </c>
      <c r="N44" s="1">
        <v>253000</v>
      </c>
      <c r="O44" s="1">
        <v>2019</v>
      </c>
      <c r="P44" s="1" t="s">
        <v>46</v>
      </c>
      <c r="Q44" s="1" t="s">
        <v>46</v>
      </c>
      <c r="R44" s="1" t="s">
        <v>46</v>
      </c>
      <c r="S44" s="1">
        <v>1</v>
      </c>
      <c r="T44" s="1">
        <v>1</v>
      </c>
      <c r="U44" s="1" t="s">
        <v>342</v>
      </c>
    </row>
    <row r="45" spans="1:36" ht="17.149999999999999" hidden="1" customHeight="1">
      <c r="A45" s="1" t="s">
        <v>343</v>
      </c>
      <c r="B45" s="1"/>
      <c r="C45" s="1" t="s">
        <v>344</v>
      </c>
      <c r="D45" s="1"/>
      <c r="E45" s="1"/>
      <c r="F45" s="1"/>
      <c r="G45" s="1"/>
      <c r="H45" s="1" t="s">
        <v>177</v>
      </c>
      <c r="I45" s="1" t="s">
        <v>345</v>
      </c>
      <c r="J45" s="1" t="s">
        <v>346</v>
      </c>
      <c r="K45" s="1" t="s">
        <v>347</v>
      </c>
      <c r="L45" s="1" t="s">
        <v>151</v>
      </c>
      <c r="M45" s="1" t="s">
        <v>46</v>
      </c>
      <c r="N45" s="1" t="s">
        <v>46</v>
      </c>
      <c r="O45" s="1" t="s">
        <v>46</v>
      </c>
      <c r="P45" s="1" t="s">
        <v>46</v>
      </c>
      <c r="Q45" s="1" t="s">
        <v>46</v>
      </c>
      <c r="R45" s="1" t="s">
        <v>46</v>
      </c>
      <c r="S45" s="1">
        <v>1</v>
      </c>
      <c r="T45" s="1" t="s">
        <v>46</v>
      </c>
      <c r="U45" s="1" t="s">
        <v>348</v>
      </c>
    </row>
    <row r="46" spans="1:36" ht="17.149999999999999" hidden="1" customHeight="1">
      <c r="A46" s="14" t="s">
        <v>349</v>
      </c>
      <c r="B46" s="14" t="s">
        <v>37</v>
      </c>
      <c r="C46" s="14" t="s">
        <v>350</v>
      </c>
      <c r="D46" s="17"/>
      <c r="E46" s="17"/>
      <c r="F46" s="17"/>
      <c r="G46" s="17"/>
      <c r="H46" s="14" t="s">
        <v>41</v>
      </c>
      <c r="I46" s="14" t="s">
        <v>63</v>
      </c>
      <c r="J46" s="14" t="s">
        <v>351</v>
      </c>
      <c r="K46" s="14" t="s">
        <v>352</v>
      </c>
      <c r="L46" s="14" t="s">
        <v>45</v>
      </c>
      <c r="M46" s="14" t="s">
        <v>46</v>
      </c>
      <c r="N46" s="14" t="s">
        <v>46</v>
      </c>
      <c r="O46" s="14" t="s">
        <v>46</v>
      </c>
      <c r="P46" s="14" t="s">
        <v>46</v>
      </c>
      <c r="Q46" s="14" t="s">
        <v>46</v>
      </c>
      <c r="R46" s="14" t="s">
        <v>46</v>
      </c>
      <c r="S46" s="14">
        <v>1</v>
      </c>
      <c r="T46" s="14">
        <v>1</v>
      </c>
      <c r="U46" s="14" t="s">
        <v>353</v>
      </c>
      <c r="V46" s="6" t="s">
        <v>354</v>
      </c>
      <c r="W46" s="6"/>
      <c r="X46" s="8" t="s">
        <v>103</v>
      </c>
      <c r="Y46" s="8"/>
      <c r="Z46" s="6" t="s">
        <v>355</v>
      </c>
      <c r="AA46" s="6"/>
      <c r="AB46" s="76" t="s">
        <v>356</v>
      </c>
      <c r="AC46" s="6"/>
      <c r="AD46" s="6"/>
      <c r="AG46" s="2" t="s">
        <v>145</v>
      </c>
    </row>
    <row r="47" spans="1:36" ht="17.149999999999999" hidden="1" customHeight="1">
      <c r="A47" s="1" t="s">
        <v>357</v>
      </c>
      <c r="B47" s="1"/>
      <c r="C47" s="1" t="s">
        <v>358</v>
      </c>
      <c r="D47" s="1"/>
      <c r="E47" s="1"/>
      <c r="F47" s="1"/>
      <c r="G47" s="1"/>
      <c r="H47" s="1" t="s">
        <v>110</v>
      </c>
      <c r="I47" s="1" t="s">
        <v>46</v>
      </c>
      <c r="J47" s="1" t="s">
        <v>359</v>
      </c>
      <c r="K47" s="1" t="s">
        <v>360</v>
      </c>
      <c r="L47" s="1" t="s">
        <v>45</v>
      </c>
      <c r="M47" s="1" t="s">
        <v>46</v>
      </c>
      <c r="N47" s="1">
        <v>161345</v>
      </c>
      <c r="O47" s="1">
        <v>2015</v>
      </c>
      <c r="P47" s="1" t="s">
        <v>46</v>
      </c>
      <c r="Q47" s="1" t="s">
        <v>46</v>
      </c>
      <c r="R47" s="1" t="s">
        <v>46</v>
      </c>
      <c r="S47" s="1">
        <v>1</v>
      </c>
      <c r="T47" s="1">
        <v>1</v>
      </c>
      <c r="U47" s="1" t="s">
        <v>361</v>
      </c>
    </row>
    <row r="48" spans="1:36" ht="17.149999999999999" hidden="1" customHeight="1">
      <c r="A48" s="1" t="s">
        <v>362</v>
      </c>
      <c r="B48" s="1"/>
      <c r="C48" s="1" t="s">
        <v>363</v>
      </c>
      <c r="D48" s="1"/>
      <c r="E48" s="1"/>
      <c r="F48" s="1"/>
      <c r="G48" s="1"/>
      <c r="H48" s="1" t="s">
        <v>334</v>
      </c>
      <c r="I48" s="1" t="s">
        <v>46</v>
      </c>
      <c r="J48" s="1" t="s">
        <v>364</v>
      </c>
      <c r="K48" s="1" t="s">
        <v>365</v>
      </c>
      <c r="L48" s="1" t="s">
        <v>45</v>
      </c>
      <c r="M48" s="1" t="s">
        <v>46</v>
      </c>
      <c r="N48" s="1">
        <v>123000</v>
      </c>
      <c r="O48" s="1">
        <v>2015</v>
      </c>
      <c r="P48" s="1" t="s">
        <v>46</v>
      </c>
      <c r="Q48" s="1" t="s">
        <v>46</v>
      </c>
      <c r="R48" s="1" t="s">
        <v>46</v>
      </c>
      <c r="S48" s="1">
        <v>1</v>
      </c>
      <c r="T48" s="1" t="s">
        <v>46</v>
      </c>
      <c r="U48" s="1" t="s">
        <v>366</v>
      </c>
    </row>
    <row r="49" spans="1:33" ht="17.149999999999999" hidden="1" customHeight="1">
      <c r="A49" s="1" t="s">
        <v>367</v>
      </c>
      <c r="B49" s="1"/>
      <c r="C49" s="1" t="s">
        <v>368</v>
      </c>
      <c r="D49" s="1"/>
      <c r="E49" s="1"/>
      <c r="F49" s="1"/>
      <c r="G49" s="1"/>
      <c r="H49" s="1" t="s">
        <v>334</v>
      </c>
      <c r="I49" s="1" t="s">
        <v>46</v>
      </c>
      <c r="J49" s="1" t="s">
        <v>364</v>
      </c>
      <c r="K49" s="1" t="s">
        <v>369</v>
      </c>
      <c r="L49" s="1" t="s">
        <v>45</v>
      </c>
      <c r="M49" s="1" t="s">
        <v>46</v>
      </c>
      <c r="N49" s="1">
        <v>307075</v>
      </c>
      <c r="O49" s="1">
        <v>2015</v>
      </c>
      <c r="P49" s="1" t="s">
        <v>46</v>
      </c>
      <c r="Q49" s="1" t="s">
        <v>46</v>
      </c>
      <c r="R49" s="1" t="s">
        <v>46</v>
      </c>
      <c r="S49" s="1">
        <v>1</v>
      </c>
      <c r="T49" s="1" t="s">
        <v>46</v>
      </c>
      <c r="U49" s="1" t="s">
        <v>370</v>
      </c>
    </row>
    <row r="50" spans="1:33" ht="17.149999999999999" hidden="1" customHeight="1">
      <c r="A50" s="1" t="s">
        <v>371</v>
      </c>
      <c r="B50" s="1"/>
      <c r="C50" s="1" t="s">
        <v>372</v>
      </c>
      <c r="D50" s="1"/>
      <c r="E50" s="1"/>
      <c r="F50" s="1"/>
      <c r="G50" s="1"/>
      <c r="H50" s="1" t="s">
        <v>313</v>
      </c>
      <c r="I50" s="1" t="s">
        <v>373</v>
      </c>
      <c r="J50" s="1" t="s">
        <v>373</v>
      </c>
      <c r="K50" s="1" t="s">
        <v>374</v>
      </c>
      <c r="L50" s="1" t="s">
        <v>45</v>
      </c>
      <c r="M50" s="1" t="s">
        <v>46</v>
      </c>
      <c r="N50" s="1" t="s">
        <v>46</v>
      </c>
      <c r="O50" s="1" t="s">
        <v>46</v>
      </c>
      <c r="P50" s="1" t="s">
        <v>46</v>
      </c>
      <c r="Q50" s="1" t="s">
        <v>46</v>
      </c>
      <c r="R50" s="1">
        <v>1</v>
      </c>
      <c r="S50" s="1">
        <v>1</v>
      </c>
      <c r="T50" s="1">
        <v>1</v>
      </c>
      <c r="U50" s="1" t="s">
        <v>375</v>
      </c>
    </row>
    <row r="51" spans="1:33" ht="17.149999999999999" hidden="1" customHeight="1">
      <c r="A51" s="1" t="s">
        <v>376</v>
      </c>
      <c r="B51" s="1"/>
      <c r="C51" s="1" t="s">
        <v>377</v>
      </c>
      <c r="D51" s="1"/>
      <c r="E51" s="1"/>
      <c r="F51" s="1"/>
      <c r="G51" s="1"/>
      <c r="H51" s="1" t="s">
        <v>334</v>
      </c>
      <c r="I51" s="1" t="s">
        <v>46</v>
      </c>
      <c r="J51" s="1" t="s">
        <v>378</v>
      </c>
      <c r="K51" s="1" t="s">
        <v>379</v>
      </c>
      <c r="L51" s="1" t="s">
        <v>45</v>
      </c>
      <c r="M51" s="1" t="s">
        <v>46</v>
      </c>
      <c r="N51" s="1">
        <v>136579</v>
      </c>
      <c r="O51" s="1">
        <v>2015</v>
      </c>
      <c r="P51" s="1" t="s">
        <v>46</v>
      </c>
      <c r="Q51" s="1" t="s">
        <v>46</v>
      </c>
      <c r="R51" s="1" t="s">
        <v>46</v>
      </c>
      <c r="S51" s="1">
        <v>1</v>
      </c>
      <c r="T51" s="1" t="s">
        <v>46</v>
      </c>
      <c r="U51" s="1" t="s">
        <v>380</v>
      </c>
    </row>
    <row r="52" spans="1:33" ht="17.149999999999999" hidden="1" customHeight="1">
      <c r="A52" s="1" t="s">
        <v>381</v>
      </c>
      <c r="B52" s="1"/>
      <c r="C52" s="1" t="s">
        <v>382</v>
      </c>
      <c r="D52" s="1"/>
      <c r="E52" s="1"/>
      <c r="F52" s="1"/>
      <c r="G52" s="1"/>
      <c r="H52" s="1" t="s">
        <v>334</v>
      </c>
      <c r="I52" s="1" t="s">
        <v>46</v>
      </c>
      <c r="J52" s="1" t="s">
        <v>383</v>
      </c>
      <c r="K52" s="1" t="s">
        <v>384</v>
      </c>
      <c r="L52" s="1" t="s">
        <v>45</v>
      </c>
      <c r="M52" s="1" t="s">
        <v>46</v>
      </c>
      <c r="N52" s="1">
        <v>220670</v>
      </c>
      <c r="O52" s="1">
        <v>2015</v>
      </c>
      <c r="P52" s="1" t="s">
        <v>46</v>
      </c>
      <c r="Q52" s="1" t="s">
        <v>46</v>
      </c>
      <c r="R52" s="1" t="s">
        <v>46</v>
      </c>
      <c r="S52" s="1">
        <v>1</v>
      </c>
      <c r="T52" s="1" t="s">
        <v>46</v>
      </c>
      <c r="U52" s="1" t="s">
        <v>385</v>
      </c>
    </row>
    <row r="53" spans="1:33" ht="17.149999999999999" hidden="1" customHeight="1">
      <c r="A53" s="1" t="s">
        <v>386</v>
      </c>
      <c r="B53" s="1"/>
      <c r="C53" s="1" t="s">
        <v>387</v>
      </c>
      <c r="D53" s="1"/>
      <c r="E53" s="1"/>
      <c r="F53" s="1"/>
      <c r="G53" s="1"/>
      <c r="H53" s="1" t="s">
        <v>177</v>
      </c>
      <c r="I53" s="1" t="s">
        <v>46</v>
      </c>
      <c r="J53" s="1" t="s">
        <v>46</v>
      </c>
      <c r="K53" s="1" t="s">
        <v>388</v>
      </c>
      <c r="L53" s="1" t="s">
        <v>118</v>
      </c>
      <c r="M53" s="1" t="s">
        <v>46</v>
      </c>
      <c r="N53" s="1" t="s">
        <v>46</v>
      </c>
      <c r="O53" s="1" t="s">
        <v>46</v>
      </c>
      <c r="P53" s="1" t="s">
        <v>46</v>
      </c>
      <c r="Q53" s="1" t="s">
        <v>46</v>
      </c>
      <c r="R53" s="1" t="s">
        <v>46</v>
      </c>
      <c r="S53" s="1">
        <v>1</v>
      </c>
      <c r="T53" s="1" t="s">
        <v>46</v>
      </c>
      <c r="U53" s="1" t="s">
        <v>389</v>
      </c>
    </row>
    <row r="54" spans="1:33" ht="17.149999999999999" hidden="1" customHeight="1">
      <c r="A54" s="1" t="s">
        <v>390</v>
      </c>
      <c r="B54" s="1"/>
      <c r="C54" s="1" t="s">
        <v>391</v>
      </c>
      <c r="D54" s="1"/>
      <c r="E54" s="1"/>
      <c r="F54" s="1"/>
      <c r="G54" s="1"/>
      <c r="H54" s="1" t="s">
        <v>177</v>
      </c>
      <c r="I54" s="1" t="s">
        <v>392</v>
      </c>
      <c r="J54" s="1" t="s">
        <v>393</v>
      </c>
      <c r="K54" s="1" t="s">
        <v>394</v>
      </c>
      <c r="L54" s="1" t="s">
        <v>45</v>
      </c>
      <c r="M54" s="1" t="s">
        <v>46</v>
      </c>
      <c r="N54" s="1">
        <v>277733</v>
      </c>
      <c r="O54" s="1">
        <v>2015</v>
      </c>
      <c r="P54" s="1" t="s">
        <v>46</v>
      </c>
      <c r="Q54" s="1" t="s">
        <v>46</v>
      </c>
      <c r="R54" s="1" t="s">
        <v>46</v>
      </c>
      <c r="S54" s="1">
        <v>1</v>
      </c>
      <c r="T54" s="1" t="s">
        <v>46</v>
      </c>
      <c r="U54" s="1" t="s">
        <v>395</v>
      </c>
    </row>
    <row r="55" spans="1:33" ht="17.149999999999999" hidden="1" customHeight="1">
      <c r="A55" s="1" t="s">
        <v>396</v>
      </c>
      <c r="B55" s="1"/>
      <c r="C55" s="1" t="s">
        <v>397</v>
      </c>
      <c r="D55" s="1"/>
      <c r="E55" s="1"/>
      <c r="F55" s="1"/>
      <c r="G55" s="1"/>
      <c r="H55" s="1" t="s">
        <v>177</v>
      </c>
      <c r="I55" s="1" t="s">
        <v>46</v>
      </c>
      <c r="J55" s="1" t="s">
        <v>398</v>
      </c>
      <c r="K55" s="1" t="s">
        <v>399</v>
      </c>
      <c r="L55" s="1" t="s">
        <v>112</v>
      </c>
      <c r="M55" s="1" t="s">
        <v>46</v>
      </c>
      <c r="N55" s="1" t="s">
        <v>46</v>
      </c>
      <c r="O55" s="1" t="s">
        <v>46</v>
      </c>
      <c r="P55" s="1" t="s">
        <v>46</v>
      </c>
      <c r="Q55" s="1" t="s">
        <v>46</v>
      </c>
      <c r="R55" s="1" t="s">
        <v>46</v>
      </c>
      <c r="S55" s="1">
        <v>1</v>
      </c>
      <c r="T55" s="1" t="s">
        <v>46</v>
      </c>
      <c r="U55" s="1" t="s">
        <v>400</v>
      </c>
      <c r="AA55" s="42" t="s">
        <v>401</v>
      </c>
      <c r="AB55" s="42" t="s">
        <v>402</v>
      </c>
      <c r="AC55" s="42" t="s">
        <v>403</v>
      </c>
      <c r="AD55" s="42" t="s">
        <v>40</v>
      </c>
      <c r="AE55" s="42">
        <v>1</v>
      </c>
      <c r="AF55" s="42" t="s">
        <v>404</v>
      </c>
      <c r="AG55" s="42" t="s">
        <v>405</v>
      </c>
    </row>
    <row r="56" spans="1:33" s="42" customFormat="1" ht="17.149999999999999" customHeight="1">
      <c r="A56" s="14" t="s">
        <v>406</v>
      </c>
      <c r="B56" s="14" t="s">
        <v>37</v>
      </c>
      <c r="C56" s="90" t="s">
        <v>407</v>
      </c>
      <c r="D56" s="17" t="s">
        <v>407</v>
      </c>
      <c r="E56" s="17" t="s">
        <v>407</v>
      </c>
      <c r="F56" s="17" t="s">
        <v>62</v>
      </c>
      <c r="G56" s="61" t="s">
        <v>40</v>
      </c>
      <c r="H56" s="14" t="s">
        <v>41</v>
      </c>
      <c r="I56" s="14" t="s">
        <v>63</v>
      </c>
      <c r="J56" s="14" t="s">
        <v>408</v>
      </c>
      <c r="K56" s="14" t="s">
        <v>409</v>
      </c>
      <c r="L56" s="14" t="s">
        <v>45</v>
      </c>
      <c r="M56" s="14" t="s">
        <v>46</v>
      </c>
      <c r="N56" s="14" t="s">
        <v>46</v>
      </c>
      <c r="O56" s="14" t="s">
        <v>46</v>
      </c>
      <c r="P56" s="14" t="s">
        <v>46</v>
      </c>
      <c r="Q56" s="14" t="s">
        <v>46</v>
      </c>
      <c r="R56" s="14" t="s">
        <v>46</v>
      </c>
      <c r="S56" s="14">
        <v>1</v>
      </c>
      <c r="T56" s="14">
        <v>1</v>
      </c>
      <c r="U56" s="14" t="s">
        <v>410</v>
      </c>
      <c r="V56" s="6" t="s">
        <v>40</v>
      </c>
      <c r="W56" s="6" t="s">
        <v>411</v>
      </c>
      <c r="X56" s="6" t="s">
        <v>40</v>
      </c>
      <c r="Y56" s="6" t="s">
        <v>412</v>
      </c>
      <c r="Z56" s="6" t="s">
        <v>413</v>
      </c>
      <c r="AA56" s="6" t="s">
        <v>414</v>
      </c>
      <c r="AB56" s="6"/>
      <c r="AC56" s="6" t="s">
        <v>415</v>
      </c>
      <c r="AD56" s="6" t="s">
        <v>40</v>
      </c>
    </row>
    <row r="57" spans="1:33" s="44" customFormat="1" ht="17.149999999999999" hidden="1" customHeight="1">
      <c r="A57" s="21" t="s">
        <v>416</v>
      </c>
      <c r="B57" s="21"/>
      <c r="C57" s="60" t="s">
        <v>417</v>
      </c>
      <c r="D57" s="65"/>
      <c r="E57" s="65"/>
      <c r="F57" s="65"/>
      <c r="G57" s="65"/>
      <c r="H57" s="21" t="s">
        <v>41</v>
      </c>
      <c r="I57" s="21" t="s">
        <v>135</v>
      </c>
      <c r="J57" s="21" t="s">
        <v>418</v>
      </c>
      <c r="K57" s="21" t="s">
        <v>419</v>
      </c>
      <c r="L57" s="21" t="s">
        <v>45</v>
      </c>
      <c r="M57" s="21" t="s">
        <v>46</v>
      </c>
      <c r="N57" s="21" t="s">
        <v>46</v>
      </c>
      <c r="O57" s="21" t="s">
        <v>46</v>
      </c>
      <c r="P57" s="21" t="s">
        <v>46</v>
      </c>
      <c r="Q57" s="21" t="s">
        <v>46</v>
      </c>
      <c r="R57" s="21" t="s">
        <v>46</v>
      </c>
      <c r="S57" s="21">
        <v>1</v>
      </c>
      <c r="T57" s="21">
        <v>1</v>
      </c>
      <c r="U57" s="21" t="s">
        <v>420</v>
      </c>
      <c r="V57" s="22" t="s">
        <v>421</v>
      </c>
      <c r="W57" s="22"/>
      <c r="X57" s="22"/>
      <c r="Y57" s="22"/>
      <c r="Z57" s="22"/>
      <c r="AA57" s="22" t="s">
        <v>422</v>
      </c>
      <c r="AB57" s="22"/>
      <c r="AC57" s="22" t="s">
        <v>423</v>
      </c>
      <c r="AD57" s="22"/>
    </row>
    <row r="58" spans="1:33" ht="17.149999999999999" hidden="1" customHeight="1">
      <c r="A58" s="1" t="s">
        <v>424</v>
      </c>
      <c r="B58" s="1"/>
      <c r="C58" s="1" t="s">
        <v>425</v>
      </c>
      <c r="D58" s="1"/>
      <c r="E58" s="1"/>
      <c r="F58" s="1"/>
      <c r="G58" s="1"/>
      <c r="H58" s="1" t="s">
        <v>313</v>
      </c>
      <c r="I58" s="1" t="s">
        <v>46</v>
      </c>
      <c r="J58" s="1" t="s">
        <v>426</v>
      </c>
      <c r="K58" s="1" t="s">
        <v>427</v>
      </c>
      <c r="L58" s="1" t="s">
        <v>118</v>
      </c>
      <c r="M58" s="1" t="s">
        <v>46</v>
      </c>
      <c r="N58" s="1" t="s">
        <v>46</v>
      </c>
      <c r="O58" s="1" t="s">
        <v>46</v>
      </c>
      <c r="P58" s="1" t="s">
        <v>46</v>
      </c>
      <c r="Q58" s="1" t="s">
        <v>46</v>
      </c>
      <c r="R58" s="1" t="s">
        <v>46</v>
      </c>
      <c r="S58" s="1">
        <v>1</v>
      </c>
      <c r="T58" s="1" t="s">
        <v>46</v>
      </c>
      <c r="U58" s="1" t="s">
        <v>428</v>
      </c>
    </row>
    <row r="59" spans="1:33" ht="17.149999999999999" hidden="1" customHeight="1">
      <c r="A59" s="1" t="s">
        <v>429</v>
      </c>
      <c r="B59" s="1"/>
      <c r="C59" s="1" t="s">
        <v>430</v>
      </c>
      <c r="D59" s="1"/>
      <c r="E59" s="1"/>
      <c r="F59" s="1"/>
      <c r="G59" s="1"/>
      <c r="H59" s="1" t="s">
        <v>313</v>
      </c>
      <c r="I59" s="1" t="s">
        <v>431</v>
      </c>
      <c r="J59" s="1" t="s">
        <v>432</v>
      </c>
      <c r="K59" s="1" t="s">
        <v>433</v>
      </c>
      <c r="L59" s="1" t="s">
        <v>45</v>
      </c>
      <c r="M59" s="1" t="s">
        <v>46</v>
      </c>
      <c r="N59" s="1">
        <v>700000</v>
      </c>
      <c r="O59" s="1">
        <v>2019</v>
      </c>
      <c r="P59" s="1" t="s">
        <v>46</v>
      </c>
      <c r="Q59" s="1" t="s">
        <v>46</v>
      </c>
      <c r="R59" s="1" t="s">
        <v>46</v>
      </c>
      <c r="S59" s="1">
        <v>1</v>
      </c>
      <c r="T59" s="1">
        <v>1</v>
      </c>
      <c r="U59" s="1" t="s">
        <v>434</v>
      </c>
    </row>
    <row r="60" spans="1:33" ht="17.149999999999999" hidden="1" customHeight="1">
      <c r="A60" s="17" t="s">
        <v>435</v>
      </c>
      <c r="B60" s="17"/>
      <c r="C60" s="61" t="s">
        <v>436</v>
      </c>
      <c r="D60" s="61"/>
      <c r="E60" s="61"/>
      <c r="F60" s="61"/>
      <c r="G60" s="61"/>
      <c r="H60" s="17" t="s">
        <v>41</v>
      </c>
      <c r="I60" s="17" t="s">
        <v>63</v>
      </c>
      <c r="J60" s="17" t="s">
        <v>437</v>
      </c>
      <c r="K60" s="17" t="s">
        <v>438</v>
      </c>
      <c r="L60" s="17" t="s">
        <v>45</v>
      </c>
      <c r="M60" s="17" t="s">
        <v>46</v>
      </c>
      <c r="N60" s="17" t="s">
        <v>46</v>
      </c>
      <c r="O60" s="17" t="s">
        <v>46</v>
      </c>
      <c r="P60" s="17" t="s">
        <v>46</v>
      </c>
      <c r="Q60" s="17" t="s">
        <v>46</v>
      </c>
      <c r="R60" s="17" t="s">
        <v>46</v>
      </c>
      <c r="S60" s="17">
        <v>1</v>
      </c>
      <c r="T60" s="17">
        <v>1</v>
      </c>
      <c r="U60" s="17" t="s">
        <v>439</v>
      </c>
      <c r="V60" s="18"/>
      <c r="W60" s="18"/>
      <c r="X60" s="18"/>
      <c r="Y60" s="18"/>
      <c r="Z60" s="18" t="s">
        <v>440</v>
      </c>
      <c r="AA60" s="18" t="s">
        <v>441</v>
      </c>
      <c r="AB60" s="18"/>
      <c r="AC60" s="18" t="s">
        <v>442</v>
      </c>
      <c r="AD60" s="18"/>
    </row>
    <row r="61" spans="1:33" ht="17.149999999999999" hidden="1" customHeight="1">
      <c r="A61" s="1" t="s">
        <v>443</v>
      </c>
      <c r="B61" s="1"/>
      <c r="C61" s="1" t="s">
        <v>444</v>
      </c>
      <c r="D61" s="1"/>
      <c r="E61" s="1"/>
      <c r="F61" s="1"/>
      <c r="G61" s="1"/>
      <c r="H61" s="1" t="s">
        <v>268</v>
      </c>
      <c r="I61" s="1" t="s">
        <v>269</v>
      </c>
      <c r="J61" s="1" t="s">
        <v>445</v>
      </c>
      <c r="K61" s="1" t="s">
        <v>446</v>
      </c>
      <c r="L61" s="1" t="s">
        <v>45</v>
      </c>
      <c r="M61" s="1" t="s">
        <v>46</v>
      </c>
      <c r="N61" s="1" t="s">
        <v>46</v>
      </c>
      <c r="O61" s="1" t="s">
        <v>46</v>
      </c>
      <c r="P61" s="1" t="s">
        <v>46</v>
      </c>
      <c r="Q61" s="1" t="s">
        <v>46</v>
      </c>
      <c r="R61" s="1" t="s">
        <v>46</v>
      </c>
      <c r="S61" s="1">
        <v>1</v>
      </c>
      <c r="T61" s="1" t="s">
        <v>46</v>
      </c>
      <c r="U61" s="1" t="s">
        <v>447</v>
      </c>
    </row>
    <row r="62" spans="1:33" ht="17.149999999999999" hidden="1" customHeight="1">
      <c r="A62" s="1" t="s">
        <v>448</v>
      </c>
      <c r="B62" s="1"/>
      <c r="C62" s="1" t="s">
        <v>449</v>
      </c>
      <c r="D62" s="1"/>
      <c r="E62" s="1"/>
      <c r="F62" s="1"/>
      <c r="G62" s="1"/>
      <c r="H62" s="1" t="s">
        <v>334</v>
      </c>
      <c r="I62" s="1" t="s">
        <v>46</v>
      </c>
      <c r="J62" s="1" t="s">
        <v>450</v>
      </c>
      <c r="K62" s="1" t="s">
        <v>451</v>
      </c>
      <c r="L62" s="1" t="s">
        <v>45</v>
      </c>
      <c r="M62" s="1" t="s">
        <v>46</v>
      </c>
      <c r="N62" s="1">
        <v>259100</v>
      </c>
      <c r="O62" s="1">
        <v>2015</v>
      </c>
      <c r="P62" s="1" t="s">
        <v>46</v>
      </c>
      <c r="Q62" s="1" t="s">
        <v>46</v>
      </c>
      <c r="R62" s="1" t="s">
        <v>46</v>
      </c>
      <c r="S62" s="1">
        <v>1</v>
      </c>
      <c r="T62" s="1" t="s">
        <v>46</v>
      </c>
      <c r="U62" s="1" t="s">
        <v>452</v>
      </c>
    </row>
    <row r="63" spans="1:33" ht="17.149999999999999" hidden="1" customHeight="1">
      <c r="A63" s="1" t="s">
        <v>453</v>
      </c>
      <c r="B63" s="1"/>
      <c r="C63" s="1" t="s">
        <v>454</v>
      </c>
      <c r="D63" s="1"/>
      <c r="E63" s="1"/>
      <c r="F63" s="1"/>
      <c r="G63" s="1"/>
      <c r="H63" s="1" t="s">
        <v>313</v>
      </c>
      <c r="I63" s="1" t="s">
        <v>455</v>
      </c>
      <c r="J63" s="1" t="s">
        <v>455</v>
      </c>
      <c r="K63" s="1" t="s">
        <v>456</v>
      </c>
      <c r="L63" s="1" t="s">
        <v>45</v>
      </c>
      <c r="M63" s="1" t="s">
        <v>46</v>
      </c>
      <c r="N63" s="1">
        <v>1882051</v>
      </c>
      <c r="O63" s="1">
        <v>2024</v>
      </c>
      <c r="P63" s="1" t="s">
        <v>46</v>
      </c>
      <c r="Q63" s="1" t="s">
        <v>46</v>
      </c>
      <c r="R63" s="1" t="s">
        <v>46</v>
      </c>
      <c r="S63" s="1">
        <v>1</v>
      </c>
      <c r="T63" s="1">
        <v>1</v>
      </c>
      <c r="U63" s="1" t="s">
        <v>457</v>
      </c>
    </row>
    <row r="64" spans="1:33" ht="17.149999999999999" hidden="1" customHeight="1">
      <c r="A64" s="1" t="s">
        <v>458</v>
      </c>
      <c r="B64" s="1"/>
      <c r="C64" s="1" t="s">
        <v>459</v>
      </c>
      <c r="D64" s="1"/>
      <c r="E64" s="1"/>
      <c r="F64" s="1"/>
      <c r="G64" s="1"/>
      <c r="H64" s="1" t="s">
        <v>334</v>
      </c>
      <c r="I64" s="1" t="s">
        <v>46</v>
      </c>
      <c r="J64" s="1" t="s">
        <v>460</v>
      </c>
      <c r="K64" s="1" t="s">
        <v>461</v>
      </c>
      <c r="L64" s="1" t="s">
        <v>45</v>
      </c>
      <c r="M64" s="1" t="s">
        <v>46</v>
      </c>
      <c r="N64" s="1">
        <v>132270</v>
      </c>
      <c r="O64" s="1">
        <v>2015</v>
      </c>
      <c r="P64" s="1" t="s">
        <v>46</v>
      </c>
      <c r="Q64" s="1" t="s">
        <v>46</v>
      </c>
      <c r="R64" s="1" t="s">
        <v>46</v>
      </c>
      <c r="S64" s="1">
        <v>1</v>
      </c>
      <c r="T64" s="1" t="s">
        <v>46</v>
      </c>
      <c r="U64" s="1" t="s">
        <v>462</v>
      </c>
    </row>
    <row r="65" spans="1:30" ht="17.149999999999999" hidden="1" customHeight="1">
      <c r="A65" s="17" t="s">
        <v>463</v>
      </c>
      <c r="B65" s="17"/>
      <c r="C65" s="61" t="s">
        <v>464</v>
      </c>
      <c r="D65" s="61"/>
      <c r="E65" s="61"/>
      <c r="F65" s="61"/>
      <c r="G65" s="61"/>
      <c r="H65" s="17" t="s">
        <v>41</v>
      </c>
      <c r="I65" s="17" t="s">
        <v>63</v>
      </c>
      <c r="J65" s="17" t="s">
        <v>465</v>
      </c>
      <c r="K65" s="17" t="s">
        <v>466</v>
      </c>
      <c r="L65" s="17" t="s">
        <v>151</v>
      </c>
      <c r="M65" s="17" t="s">
        <v>467</v>
      </c>
      <c r="N65" s="17">
        <v>2700000</v>
      </c>
      <c r="O65" s="17">
        <v>2015</v>
      </c>
      <c r="P65" s="17" t="s">
        <v>46</v>
      </c>
      <c r="Q65" s="17" t="s">
        <v>46</v>
      </c>
      <c r="R65" s="17">
        <v>1</v>
      </c>
      <c r="S65" s="17" t="s">
        <v>46</v>
      </c>
      <c r="T65" s="17" t="s">
        <v>46</v>
      </c>
      <c r="U65" s="17" t="s">
        <v>468</v>
      </c>
      <c r="V65" s="18"/>
      <c r="W65" s="18"/>
      <c r="X65" s="18"/>
      <c r="Y65" s="18"/>
      <c r="Z65" s="18"/>
      <c r="AA65" s="18"/>
      <c r="AB65" s="18"/>
      <c r="AC65" s="18"/>
      <c r="AD65" s="18"/>
    </row>
    <row r="66" spans="1:30" ht="17.149999999999999" hidden="1" customHeight="1">
      <c r="A66" s="1" t="s">
        <v>469</v>
      </c>
      <c r="B66" s="1"/>
      <c r="C66" s="1" t="s">
        <v>470</v>
      </c>
      <c r="D66" s="1"/>
      <c r="E66" s="1"/>
      <c r="F66" s="1"/>
      <c r="G66" s="1"/>
      <c r="H66" s="1" t="s">
        <v>177</v>
      </c>
      <c r="I66" s="1" t="s">
        <v>178</v>
      </c>
      <c r="J66" s="1" t="s">
        <v>471</v>
      </c>
      <c r="K66" s="1" t="s">
        <v>472</v>
      </c>
      <c r="L66" s="1" t="s">
        <v>118</v>
      </c>
      <c r="M66" s="1" t="s">
        <v>46</v>
      </c>
      <c r="N66" s="1" t="s">
        <v>46</v>
      </c>
      <c r="O66" s="1" t="s">
        <v>46</v>
      </c>
      <c r="P66" s="1" t="s">
        <v>46</v>
      </c>
      <c r="Q66" s="1" t="s">
        <v>46</v>
      </c>
      <c r="R66" s="1" t="s">
        <v>46</v>
      </c>
      <c r="S66" s="1">
        <v>1</v>
      </c>
      <c r="T66" s="1" t="s">
        <v>46</v>
      </c>
      <c r="U66" s="1" t="s">
        <v>473</v>
      </c>
    </row>
    <row r="67" spans="1:30" ht="17.149999999999999" hidden="1" customHeight="1">
      <c r="A67" s="1" t="s">
        <v>474</v>
      </c>
      <c r="B67" s="1"/>
      <c r="C67" s="1" t="s">
        <v>475</v>
      </c>
      <c r="D67" s="1"/>
      <c r="E67" s="1"/>
      <c r="F67" s="1"/>
      <c r="G67" s="1"/>
      <c r="H67" s="1" t="s">
        <v>110</v>
      </c>
      <c r="I67" s="1" t="s">
        <v>46</v>
      </c>
      <c r="J67" s="1" t="s">
        <v>476</v>
      </c>
      <c r="K67" s="1" t="s">
        <v>477</v>
      </c>
      <c r="L67" s="1" t="s">
        <v>45</v>
      </c>
      <c r="M67" s="1" t="s">
        <v>46</v>
      </c>
      <c r="N67" s="1">
        <v>114954</v>
      </c>
      <c r="O67" s="1">
        <v>2019</v>
      </c>
      <c r="P67" s="1" t="s">
        <v>46</v>
      </c>
      <c r="Q67" s="1" t="s">
        <v>46</v>
      </c>
      <c r="R67" s="1" t="s">
        <v>46</v>
      </c>
      <c r="S67" s="1">
        <v>1</v>
      </c>
      <c r="T67" s="1" t="s">
        <v>46</v>
      </c>
      <c r="U67" s="1" t="s">
        <v>478</v>
      </c>
    </row>
    <row r="68" spans="1:30" ht="17.149999999999999" hidden="1" customHeight="1">
      <c r="A68" s="1" t="s">
        <v>479</v>
      </c>
      <c r="B68" s="1"/>
      <c r="C68" s="1" t="s">
        <v>480</v>
      </c>
      <c r="D68" s="1"/>
      <c r="E68" s="1"/>
      <c r="F68" s="1"/>
      <c r="G68" s="1"/>
      <c r="H68" s="1" t="s">
        <v>110</v>
      </c>
      <c r="I68" s="1" t="s">
        <v>46</v>
      </c>
      <c r="J68" s="1" t="s">
        <v>481</v>
      </c>
      <c r="K68" s="1" t="s">
        <v>482</v>
      </c>
      <c r="L68" s="1" t="s">
        <v>45</v>
      </c>
      <c r="M68" s="1" t="s">
        <v>46</v>
      </c>
      <c r="N68" s="1">
        <v>114581</v>
      </c>
      <c r="O68" s="1">
        <v>2015</v>
      </c>
      <c r="P68" s="1" t="s">
        <v>46</v>
      </c>
      <c r="Q68" s="1" t="s">
        <v>46</v>
      </c>
      <c r="R68" s="1" t="s">
        <v>46</v>
      </c>
      <c r="S68" s="1">
        <v>1</v>
      </c>
      <c r="T68" s="1">
        <v>1</v>
      </c>
      <c r="U68" s="1" t="s">
        <v>483</v>
      </c>
    </row>
    <row r="69" spans="1:30" ht="17.149999999999999" hidden="1" customHeight="1">
      <c r="A69" s="1" t="s">
        <v>484</v>
      </c>
      <c r="B69" s="1"/>
      <c r="C69" s="1" t="s">
        <v>485</v>
      </c>
      <c r="D69" s="1"/>
      <c r="E69" s="1"/>
      <c r="F69" s="1"/>
      <c r="G69" s="1"/>
      <c r="H69" s="1" t="s">
        <v>177</v>
      </c>
      <c r="I69" s="1" t="s">
        <v>486</v>
      </c>
      <c r="J69" s="1" t="s">
        <v>487</v>
      </c>
      <c r="K69" s="1" t="s">
        <v>488</v>
      </c>
      <c r="L69" s="1" t="s">
        <v>118</v>
      </c>
      <c r="M69" s="1" t="s">
        <v>489</v>
      </c>
      <c r="N69" s="1">
        <v>51000</v>
      </c>
      <c r="O69" s="1">
        <v>2015</v>
      </c>
      <c r="P69" s="1" t="s">
        <v>46</v>
      </c>
      <c r="Q69" s="1" t="s">
        <v>46</v>
      </c>
      <c r="R69" s="1" t="s">
        <v>46</v>
      </c>
      <c r="S69" s="1">
        <v>1</v>
      </c>
      <c r="T69" s="1" t="s">
        <v>46</v>
      </c>
      <c r="U69" s="1" t="s">
        <v>490</v>
      </c>
    </row>
    <row r="70" spans="1:30" ht="17.149999999999999" hidden="1" customHeight="1">
      <c r="A70" s="1" t="s">
        <v>491</v>
      </c>
      <c r="B70" s="1"/>
      <c r="C70" s="1" t="s">
        <v>492</v>
      </c>
      <c r="D70" s="1"/>
      <c r="E70" s="1"/>
      <c r="F70" s="1"/>
      <c r="G70" s="1"/>
      <c r="H70" s="1" t="s">
        <v>493</v>
      </c>
      <c r="I70" s="1" t="s">
        <v>46</v>
      </c>
      <c r="J70" s="1" t="s">
        <v>494</v>
      </c>
      <c r="K70" s="1" t="s">
        <v>495</v>
      </c>
      <c r="L70" s="1" t="s">
        <v>45</v>
      </c>
      <c r="M70" s="1" t="s">
        <v>46</v>
      </c>
      <c r="N70" s="1">
        <v>80000</v>
      </c>
      <c r="O70" s="1">
        <v>2015</v>
      </c>
      <c r="P70" s="1" t="s">
        <v>46</v>
      </c>
      <c r="Q70" s="1" t="s">
        <v>46</v>
      </c>
      <c r="R70" s="1" t="s">
        <v>46</v>
      </c>
      <c r="S70" s="1">
        <v>1</v>
      </c>
      <c r="T70" s="1">
        <v>1</v>
      </c>
      <c r="U70" s="1" t="s">
        <v>496</v>
      </c>
      <c r="AA70" s="2" t="s">
        <v>497</v>
      </c>
    </row>
    <row r="71" spans="1:30" ht="17.149999999999999" hidden="1" customHeight="1">
      <c r="A71" s="1" t="s">
        <v>498</v>
      </c>
      <c r="B71" s="1"/>
      <c r="C71" s="1" t="s">
        <v>499</v>
      </c>
      <c r="D71" s="1"/>
      <c r="E71" s="1"/>
      <c r="F71" s="1"/>
      <c r="G71" s="1"/>
      <c r="H71" s="1" t="s">
        <v>500</v>
      </c>
      <c r="I71" s="1" t="s">
        <v>46</v>
      </c>
      <c r="J71" s="1" t="s">
        <v>501</v>
      </c>
      <c r="K71" s="1" t="s">
        <v>502</v>
      </c>
      <c r="L71" s="1" t="s">
        <v>45</v>
      </c>
      <c r="M71" s="1" t="s">
        <v>46</v>
      </c>
      <c r="N71" s="1" t="s">
        <v>46</v>
      </c>
      <c r="O71" s="1" t="s">
        <v>46</v>
      </c>
      <c r="P71" s="1" t="s">
        <v>46</v>
      </c>
      <c r="Q71" s="1" t="s">
        <v>46</v>
      </c>
      <c r="R71" s="1" t="s">
        <v>46</v>
      </c>
      <c r="S71" s="1">
        <v>1</v>
      </c>
      <c r="T71" s="1" t="s">
        <v>46</v>
      </c>
      <c r="U71" s="1" t="s">
        <v>503</v>
      </c>
    </row>
    <row r="72" spans="1:30" ht="17.149999999999999" hidden="1" customHeight="1">
      <c r="A72" s="1" t="s">
        <v>504</v>
      </c>
      <c r="B72" s="1"/>
      <c r="C72" s="1" t="s">
        <v>505</v>
      </c>
      <c r="D72" s="1"/>
      <c r="E72" s="1"/>
      <c r="F72" s="1"/>
      <c r="G72" s="1"/>
      <c r="H72" s="1" t="s">
        <v>506</v>
      </c>
      <c r="I72" s="1" t="s">
        <v>46</v>
      </c>
      <c r="J72" s="1" t="s">
        <v>507</v>
      </c>
      <c r="K72" s="1" t="s">
        <v>508</v>
      </c>
      <c r="L72" s="1" t="s">
        <v>45</v>
      </c>
      <c r="M72" s="1" t="s">
        <v>46</v>
      </c>
      <c r="N72" s="1" t="s">
        <v>46</v>
      </c>
      <c r="O72" s="1" t="s">
        <v>46</v>
      </c>
      <c r="P72" s="1" t="s">
        <v>46</v>
      </c>
      <c r="Q72" s="1" t="s">
        <v>46</v>
      </c>
      <c r="R72" s="1" t="s">
        <v>46</v>
      </c>
      <c r="S72" s="1">
        <v>1</v>
      </c>
      <c r="T72" s="1" t="s">
        <v>46</v>
      </c>
      <c r="U72" s="1" t="s">
        <v>509</v>
      </c>
    </row>
    <row r="73" spans="1:30" ht="17.149999999999999" hidden="1" customHeight="1">
      <c r="A73" s="1" t="s">
        <v>510</v>
      </c>
      <c r="B73" s="1"/>
      <c r="C73" s="1" t="s">
        <v>511</v>
      </c>
      <c r="D73" s="1"/>
      <c r="E73" s="1"/>
      <c r="F73" s="1"/>
      <c r="G73" s="1"/>
      <c r="H73" s="1" t="s">
        <v>512</v>
      </c>
      <c r="I73" s="1" t="s">
        <v>46</v>
      </c>
      <c r="J73" s="1" t="s">
        <v>513</v>
      </c>
      <c r="K73" s="1" t="s">
        <v>514</v>
      </c>
      <c r="L73" s="1" t="s">
        <v>45</v>
      </c>
      <c r="M73" s="1" t="s">
        <v>46</v>
      </c>
      <c r="N73" s="1">
        <v>288363</v>
      </c>
      <c r="O73" s="1">
        <v>2018</v>
      </c>
      <c r="P73" s="1" t="s">
        <v>46</v>
      </c>
      <c r="Q73" s="1" t="s">
        <v>46</v>
      </c>
      <c r="R73" s="1" t="s">
        <v>46</v>
      </c>
      <c r="S73" s="1">
        <v>1</v>
      </c>
      <c r="T73" s="1">
        <v>1</v>
      </c>
      <c r="U73" s="1" t="s">
        <v>515</v>
      </c>
    </row>
    <row r="74" spans="1:30" ht="17.149999999999999" hidden="1" customHeight="1">
      <c r="A74" s="17" t="s">
        <v>516</v>
      </c>
      <c r="B74" s="17"/>
      <c r="C74" s="61" t="s">
        <v>517</v>
      </c>
      <c r="D74" s="61"/>
      <c r="E74" s="61"/>
      <c r="F74" s="61"/>
      <c r="G74" s="61"/>
      <c r="H74" s="17" t="s">
        <v>41</v>
      </c>
      <c r="I74" s="17" t="s">
        <v>518</v>
      </c>
      <c r="J74" s="17" t="s">
        <v>519</v>
      </c>
      <c r="K74" s="17" t="s">
        <v>520</v>
      </c>
      <c r="L74" s="17" t="s">
        <v>45</v>
      </c>
      <c r="M74" s="17" t="s">
        <v>46</v>
      </c>
      <c r="N74" s="17" t="s">
        <v>46</v>
      </c>
      <c r="O74" s="17" t="s">
        <v>46</v>
      </c>
      <c r="P74" s="17" t="s">
        <v>46</v>
      </c>
      <c r="Q74" s="17" t="s">
        <v>46</v>
      </c>
      <c r="R74" s="17" t="s">
        <v>46</v>
      </c>
      <c r="S74" s="17">
        <v>1</v>
      </c>
      <c r="T74" s="17">
        <v>1</v>
      </c>
      <c r="U74" s="17" t="s">
        <v>521</v>
      </c>
      <c r="V74" s="18"/>
      <c r="W74" s="18"/>
      <c r="X74" s="18"/>
      <c r="Y74" s="18"/>
      <c r="Z74" s="18"/>
      <c r="AA74" s="18"/>
      <c r="AB74" s="18"/>
      <c r="AC74" s="18" t="s">
        <v>522</v>
      </c>
      <c r="AD74" s="18"/>
    </row>
    <row r="75" spans="1:30" ht="17.149999999999999" hidden="1" customHeight="1">
      <c r="A75" s="1" t="s">
        <v>523</v>
      </c>
      <c r="B75" s="1"/>
      <c r="C75" s="1" t="s">
        <v>524</v>
      </c>
      <c r="D75" s="1"/>
      <c r="E75" s="1"/>
      <c r="F75" s="1"/>
      <c r="G75" s="1"/>
      <c r="H75" s="1" t="s">
        <v>334</v>
      </c>
      <c r="I75" s="1" t="s">
        <v>46</v>
      </c>
      <c r="J75" s="1" t="s">
        <v>525</v>
      </c>
      <c r="K75" s="1" t="s">
        <v>526</v>
      </c>
      <c r="L75" s="1" t="s">
        <v>45</v>
      </c>
      <c r="M75" s="1" t="s">
        <v>46</v>
      </c>
      <c r="N75" s="1">
        <v>113735</v>
      </c>
      <c r="O75" s="1">
        <v>2015</v>
      </c>
      <c r="P75" s="1" t="s">
        <v>46</v>
      </c>
      <c r="Q75" s="1" t="s">
        <v>46</v>
      </c>
      <c r="R75" s="1" t="s">
        <v>46</v>
      </c>
      <c r="S75" s="1">
        <v>1</v>
      </c>
      <c r="T75" s="1" t="s">
        <v>46</v>
      </c>
      <c r="U75" s="1" t="s">
        <v>527</v>
      </c>
    </row>
    <row r="76" spans="1:30" ht="17.149999999999999" hidden="1" customHeight="1">
      <c r="A76" s="1" t="s">
        <v>528</v>
      </c>
      <c r="B76" s="1"/>
      <c r="C76" s="1" t="s">
        <v>529</v>
      </c>
      <c r="D76" s="1"/>
      <c r="E76" s="1"/>
      <c r="F76" s="1"/>
      <c r="G76" s="1"/>
      <c r="H76" s="1" t="s">
        <v>334</v>
      </c>
      <c r="I76" s="1" t="s">
        <v>46</v>
      </c>
      <c r="J76" s="1" t="s">
        <v>530</v>
      </c>
      <c r="K76" s="1" t="s">
        <v>531</v>
      </c>
      <c r="L76" s="1" t="s">
        <v>45</v>
      </c>
      <c r="M76" s="1" t="s">
        <v>46</v>
      </c>
      <c r="N76" s="1">
        <v>163758</v>
      </c>
      <c r="O76" s="1">
        <v>2015</v>
      </c>
      <c r="P76" s="1" t="s">
        <v>46</v>
      </c>
      <c r="Q76" s="1" t="s">
        <v>46</v>
      </c>
      <c r="R76" s="1" t="s">
        <v>46</v>
      </c>
      <c r="S76" s="1">
        <v>1</v>
      </c>
      <c r="T76" s="1" t="s">
        <v>46</v>
      </c>
      <c r="U76" s="1" t="s">
        <v>532</v>
      </c>
    </row>
    <row r="77" spans="1:30" ht="17.149999999999999" hidden="1" customHeight="1">
      <c r="A77" s="1" t="s">
        <v>533</v>
      </c>
      <c r="B77" s="1"/>
      <c r="C77" s="1" t="s">
        <v>534</v>
      </c>
      <c r="D77" s="1"/>
      <c r="E77" s="1"/>
      <c r="F77" s="1"/>
      <c r="G77" s="1"/>
      <c r="H77" s="1" t="s">
        <v>334</v>
      </c>
      <c r="I77" s="1" t="s">
        <v>46</v>
      </c>
      <c r="J77" s="1" t="s">
        <v>535</v>
      </c>
      <c r="K77" s="1" t="s">
        <v>536</v>
      </c>
      <c r="L77" s="1" t="s">
        <v>45</v>
      </c>
      <c r="M77" s="1" t="s">
        <v>46</v>
      </c>
      <c r="N77" s="1">
        <v>61507</v>
      </c>
      <c r="O77" s="1">
        <v>2015</v>
      </c>
      <c r="P77" s="1" t="s">
        <v>46</v>
      </c>
      <c r="Q77" s="1" t="s">
        <v>46</v>
      </c>
      <c r="R77" s="1" t="s">
        <v>46</v>
      </c>
      <c r="S77" s="1">
        <v>1</v>
      </c>
      <c r="T77" s="1" t="s">
        <v>46</v>
      </c>
      <c r="U77" s="1" t="s">
        <v>537</v>
      </c>
    </row>
    <row r="78" spans="1:30" ht="17.149999999999999" hidden="1" customHeight="1">
      <c r="A78" s="17" t="s">
        <v>538</v>
      </c>
      <c r="B78" s="17"/>
      <c r="C78" s="61" t="s">
        <v>539</v>
      </c>
      <c r="D78" s="61"/>
      <c r="E78" s="61"/>
      <c r="F78" s="61"/>
      <c r="G78" s="61"/>
      <c r="H78" s="17" t="s">
        <v>41</v>
      </c>
      <c r="I78" s="17" t="s">
        <v>42</v>
      </c>
      <c r="J78" s="17" t="s">
        <v>540</v>
      </c>
      <c r="K78" s="17" t="s">
        <v>541</v>
      </c>
      <c r="L78" s="17" t="s">
        <v>45</v>
      </c>
      <c r="M78" s="17" t="s">
        <v>46</v>
      </c>
      <c r="N78" s="17" t="s">
        <v>46</v>
      </c>
      <c r="O78" s="17" t="s">
        <v>46</v>
      </c>
      <c r="P78" s="17" t="s">
        <v>46</v>
      </c>
      <c r="Q78" s="17" t="s">
        <v>46</v>
      </c>
      <c r="R78" s="17" t="s">
        <v>46</v>
      </c>
      <c r="S78" s="17">
        <v>1</v>
      </c>
      <c r="T78" s="17">
        <v>1</v>
      </c>
      <c r="U78" s="17" t="s">
        <v>542</v>
      </c>
      <c r="V78" s="18"/>
      <c r="W78" s="18"/>
      <c r="X78" s="18"/>
      <c r="Y78" s="18"/>
      <c r="Z78" s="18"/>
      <c r="AA78" s="18"/>
      <c r="AB78" s="18"/>
      <c r="AC78" s="18"/>
      <c r="AD78" s="18"/>
    </row>
    <row r="79" spans="1:30" ht="17.149999999999999" hidden="1" customHeight="1">
      <c r="A79" s="1" t="s">
        <v>543</v>
      </c>
      <c r="B79" s="1"/>
      <c r="C79" s="1" t="s">
        <v>544</v>
      </c>
      <c r="D79" s="1"/>
      <c r="E79" s="1"/>
      <c r="F79" s="1"/>
      <c r="G79" s="1"/>
      <c r="H79" s="1" t="s">
        <v>313</v>
      </c>
      <c r="I79" s="1" t="s">
        <v>545</v>
      </c>
      <c r="J79" s="1" t="s">
        <v>546</v>
      </c>
      <c r="K79" s="1" t="s">
        <v>547</v>
      </c>
      <c r="L79" s="1" t="s">
        <v>45</v>
      </c>
      <c r="M79" s="1" t="s">
        <v>46</v>
      </c>
      <c r="N79" s="1">
        <v>310000</v>
      </c>
      <c r="O79" s="1">
        <v>2015</v>
      </c>
      <c r="P79" s="1" t="s">
        <v>46</v>
      </c>
      <c r="Q79" s="1" t="s">
        <v>46</v>
      </c>
      <c r="R79" s="1">
        <v>1</v>
      </c>
      <c r="S79" s="1">
        <v>1</v>
      </c>
      <c r="T79" s="1" t="s">
        <v>46</v>
      </c>
      <c r="U79" s="1" t="s">
        <v>548</v>
      </c>
    </row>
    <row r="80" spans="1:30" ht="17.149999999999999" hidden="1" customHeight="1">
      <c r="A80" s="17" t="s">
        <v>549</v>
      </c>
      <c r="B80" s="17"/>
      <c r="C80" s="61" t="s">
        <v>550</v>
      </c>
      <c r="D80" s="61"/>
      <c r="E80" s="61"/>
      <c r="F80" s="61"/>
      <c r="G80" s="61"/>
      <c r="H80" s="17" t="s">
        <v>41</v>
      </c>
      <c r="I80" s="17" t="s">
        <v>551</v>
      </c>
      <c r="J80" s="17" t="s">
        <v>552</v>
      </c>
      <c r="K80" s="17" t="s">
        <v>553</v>
      </c>
      <c r="L80" s="17" t="s">
        <v>45</v>
      </c>
      <c r="M80" s="17" t="s">
        <v>46</v>
      </c>
      <c r="N80" s="17" t="s">
        <v>46</v>
      </c>
      <c r="O80" s="17" t="s">
        <v>46</v>
      </c>
      <c r="P80" s="17" t="s">
        <v>46</v>
      </c>
      <c r="Q80" s="17" t="s">
        <v>46</v>
      </c>
      <c r="R80" s="17" t="s">
        <v>46</v>
      </c>
      <c r="S80" s="17">
        <v>1</v>
      </c>
      <c r="T80" s="17">
        <v>1</v>
      </c>
      <c r="U80" s="17" t="s">
        <v>554</v>
      </c>
      <c r="V80" s="18"/>
      <c r="W80" s="18"/>
      <c r="X80" s="18"/>
      <c r="Y80" s="18"/>
      <c r="Z80" s="18"/>
      <c r="AA80" s="18"/>
      <c r="AB80" s="18"/>
      <c r="AC80" s="18"/>
      <c r="AD80" s="18"/>
    </row>
    <row r="81" spans="1:30" ht="17.149999999999999" hidden="1" customHeight="1">
      <c r="A81" s="1" t="s">
        <v>555</v>
      </c>
      <c r="B81" s="1"/>
      <c r="C81" s="1" t="s">
        <v>556</v>
      </c>
      <c r="D81" s="1"/>
      <c r="E81" s="1"/>
      <c r="F81" s="1"/>
      <c r="G81" s="1"/>
      <c r="H81" s="1" t="s">
        <v>334</v>
      </c>
      <c r="I81" s="1" t="s">
        <v>46</v>
      </c>
      <c r="J81" s="1" t="s">
        <v>557</v>
      </c>
      <c r="K81" s="1" t="s">
        <v>558</v>
      </c>
      <c r="L81" s="1" t="s">
        <v>45</v>
      </c>
      <c r="M81" s="1" t="s">
        <v>46</v>
      </c>
      <c r="N81" s="1">
        <v>63308</v>
      </c>
      <c r="O81" s="1">
        <v>2015</v>
      </c>
      <c r="P81" s="1" t="s">
        <v>46</v>
      </c>
      <c r="Q81" s="1" t="s">
        <v>46</v>
      </c>
      <c r="R81" s="1" t="s">
        <v>46</v>
      </c>
      <c r="S81" s="1">
        <v>1</v>
      </c>
      <c r="T81" s="1" t="s">
        <v>46</v>
      </c>
      <c r="U81" s="1" t="s">
        <v>559</v>
      </c>
    </row>
    <row r="82" spans="1:30" ht="17.149999999999999" hidden="1" customHeight="1">
      <c r="A82" s="1" t="s">
        <v>560</v>
      </c>
      <c r="B82" s="1"/>
      <c r="C82" s="1" t="s">
        <v>561</v>
      </c>
      <c r="D82" s="1"/>
      <c r="E82" s="1"/>
      <c r="F82" s="1"/>
      <c r="G82" s="1"/>
      <c r="H82" s="1" t="s">
        <v>500</v>
      </c>
      <c r="I82" s="1" t="s">
        <v>46</v>
      </c>
      <c r="J82" s="1" t="s">
        <v>562</v>
      </c>
      <c r="K82" s="1" t="s">
        <v>563</v>
      </c>
      <c r="L82" s="1" t="s">
        <v>45</v>
      </c>
      <c r="M82" s="1" t="s">
        <v>46</v>
      </c>
      <c r="N82" s="1" t="s">
        <v>46</v>
      </c>
      <c r="O82" s="1" t="s">
        <v>46</v>
      </c>
      <c r="P82" s="1" t="s">
        <v>46</v>
      </c>
      <c r="Q82" s="1" t="s">
        <v>46</v>
      </c>
      <c r="R82" s="1">
        <v>1</v>
      </c>
      <c r="S82" s="1" t="s">
        <v>46</v>
      </c>
      <c r="T82" s="1" t="s">
        <v>46</v>
      </c>
      <c r="U82" s="1" t="s">
        <v>564</v>
      </c>
    </row>
    <row r="83" spans="1:30" ht="17.149999999999999" hidden="1" customHeight="1">
      <c r="A83" s="1" t="s">
        <v>565</v>
      </c>
      <c r="B83" s="1"/>
      <c r="C83" s="1" t="s">
        <v>566</v>
      </c>
      <c r="D83" s="1"/>
      <c r="E83" s="1"/>
      <c r="F83" s="1"/>
      <c r="G83" s="1"/>
      <c r="H83" s="1" t="s">
        <v>567</v>
      </c>
      <c r="I83" s="1" t="s">
        <v>46</v>
      </c>
      <c r="J83" s="1" t="s">
        <v>568</v>
      </c>
      <c r="K83" s="1" t="s">
        <v>569</v>
      </c>
      <c r="L83" s="1" t="s">
        <v>45</v>
      </c>
      <c r="M83" s="1" t="s">
        <v>46</v>
      </c>
      <c r="N83" s="1" t="s">
        <v>46</v>
      </c>
      <c r="O83" s="1" t="s">
        <v>46</v>
      </c>
      <c r="P83" s="1" t="s">
        <v>46</v>
      </c>
      <c r="Q83" s="1" t="s">
        <v>46</v>
      </c>
      <c r="R83" s="1" t="s">
        <v>46</v>
      </c>
      <c r="S83" s="1">
        <v>1</v>
      </c>
      <c r="T83" s="1">
        <v>1</v>
      </c>
      <c r="U83" s="1" t="s">
        <v>570</v>
      </c>
    </row>
    <row r="84" spans="1:30" ht="17.149999999999999" hidden="1" customHeight="1">
      <c r="A84" s="1" t="s">
        <v>571</v>
      </c>
      <c r="B84" s="1"/>
      <c r="C84" s="1" t="s">
        <v>572</v>
      </c>
      <c r="D84" s="1"/>
      <c r="E84" s="1"/>
      <c r="F84" s="1"/>
      <c r="G84" s="1"/>
      <c r="H84" s="1" t="s">
        <v>334</v>
      </c>
      <c r="I84" s="1" t="s">
        <v>46</v>
      </c>
      <c r="J84" s="1" t="s">
        <v>573</v>
      </c>
      <c r="K84" s="1" t="s">
        <v>574</v>
      </c>
      <c r="L84" s="1" t="s">
        <v>45</v>
      </c>
      <c r="M84" s="1" t="s">
        <v>46</v>
      </c>
      <c r="N84" s="1">
        <v>55000</v>
      </c>
      <c r="O84" s="1">
        <v>2015</v>
      </c>
      <c r="P84" s="1" t="s">
        <v>46</v>
      </c>
      <c r="Q84" s="1" t="s">
        <v>46</v>
      </c>
      <c r="R84" s="1" t="s">
        <v>46</v>
      </c>
      <c r="S84" s="1">
        <v>1</v>
      </c>
      <c r="T84" s="1" t="s">
        <v>46</v>
      </c>
      <c r="U84" s="1" t="s">
        <v>575</v>
      </c>
    </row>
    <row r="85" spans="1:30" ht="17.149999999999999" hidden="1" customHeight="1">
      <c r="A85" s="1" t="s">
        <v>576</v>
      </c>
      <c r="B85" s="1"/>
      <c r="C85" s="1" t="s">
        <v>577</v>
      </c>
      <c r="D85" s="1"/>
      <c r="E85" s="1"/>
      <c r="F85" s="1"/>
      <c r="G85" s="1"/>
      <c r="H85" s="1" t="s">
        <v>334</v>
      </c>
      <c r="I85" s="1" t="s">
        <v>46</v>
      </c>
      <c r="J85" s="1" t="s">
        <v>578</v>
      </c>
      <c r="K85" s="1" t="s">
        <v>579</v>
      </c>
      <c r="L85" s="1" t="s">
        <v>45</v>
      </c>
      <c r="M85" s="1" t="s">
        <v>46</v>
      </c>
      <c r="N85" s="1">
        <v>69138</v>
      </c>
      <c r="O85" s="1">
        <v>2015</v>
      </c>
      <c r="P85" s="1" t="s">
        <v>46</v>
      </c>
      <c r="Q85" s="1" t="s">
        <v>46</v>
      </c>
      <c r="R85" s="1" t="s">
        <v>46</v>
      </c>
      <c r="S85" s="1">
        <v>1</v>
      </c>
      <c r="T85" s="1" t="s">
        <v>46</v>
      </c>
      <c r="U85" s="1" t="s">
        <v>580</v>
      </c>
    </row>
    <row r="86" spans="1:30" ht="17.149999999999999" hidden="1" customHeight="1">
      <c r="A86" s="1" t="s">
        <v>581</v>
      </c>
      <c r="B86" s="1"/>
      <c r="C86" s="1" t="s">
        <v>582</v>
      </c>
      <c r="D86" s="1"/>
      <c r="E86" s="1"/>
      <c r="F86" s="1"/>
      <c r="G86" s="1"/>
      <c r="H86" s="1" t="s">
        <v>177</v>
      </c>
      <c r="I86" s="1" t="s">
        <v>46</v>
      </c>
      <c r="J86" s="1" t="s">
        <v>46</v>
      </c>
      <c r="K86" s="1" t="s">
        <v>583</v>
      </c>
      <c r="L86" s="1" t="s">
        <v>118</v>
      </c>
      <c r="M86" s="1" t="s">
        <v>46</v>
      </c>
      <c r="N86" s="1" t="s">
        <v>46</v>
      </c>
      <c r="O86" s="1" t="s">
        <v>46</v>
      </c>
      <c r="P86" s="1" t="s">
        <v>46</v>
      </c>
      <c r="Q86" s="1" t="s">
        <v>46</v>
      </c>
      <c r="R86" s="1" t="s">
        <v>46</v>
      </c>
      <c r="S86" s="1">
        <v>1</v>
      </c>
      <c r="T86" s="1" t="s">
        <v>46</v>
      </c>
      <c r="U86" s="1" t="s">
        <v>584</v>
      </c>
    </row>
    <row r="87" spans="1:30" ht="17.149999999999999" hidden="1" customHeight="1">
      <c r="A87" s="1" t="s">
        <v>585</v>
      </c>
      <c r="B87" s="1"/>
      <c r="C87" s="1" t="s">
        <v>586</v>
      </c>
      <c r="D87" s="1"/>
      <c r="E87" s="1"/>
      <c r="F87" s="1"/>
      <c r="G87" s="1"/>
      <c r="H87" s="1" t="s">
        <v>334</v>
      </c>
      <c r="I87" s="1" t="s">
        <v>46</v>
      </c>
      <c r="J87" s="1" t="s">
        <v>587</v>
      </c>
      <c r="K87" s="1" t="s">
        <v>588</v>
      </c>
      <c r="L87" s="1" t="s">
        <v>45</v>
      </c>
      <c r="M87" s="1" t="s">
        <v>46</v>
      </c>
      <c r="N87" s="1">
        <v>99825</v>
      </c>
      <c r="O87" s="1">
        <v>2015</v>
      </c>
      <c r="P87" s="1" t="s">
        <v>46</v>
      </c>
      <c r="Q87" s="1" t="s">
        <v>46</v>
      </c>
      <c r="R87" s="1" t="s">
        <v>46</v>
      </c>
      <c r="S87" s="1">
        <v>1</v>
      </c>
      <c r="T87" s="1" t="s">
        <v>46</v>
      </c>
      <c r="U87" s="1" t="s">
        <v>589</v>
      </c>
    </row>
    <row r="88" spans="1:30" ht="17.149999999999999" hidden="1" customHeight="1">
      <c r="A88" s="17" t="s">
        <v>590</v>
      </c>
      <c r="B88" s="17"/>
      <c r="C88" s="61" t="s">
        <v>591</v>
      </c>
      <c r="D88" s="61"/>
      <c r="E88" s="61"/>
      <c r="F88" s="61"/>
      <c r="G88" s="61"/>
      <c r="H88" s="17" t="s">
        <v>41</v>
      </c>
      <c r="I88" s="17" t="s">
        <v>592</v>
      </c>
      <c r="J88" s="17" t="s">
        <v>593</v>
      </c>
      <c r="K88" s="17" t="s">
        <v>594</v>
      </c>
      <c r="L88" s="17" t="s">
        <v>45</v>
      </c>
      <c r="M88" s="17" t="s">
        <v>46</v>
      </c>
      <c r="N88" s="17" t="s">
        <v>46</v>
      </c>
      <c r="O88" s="17" t="s">
        <v>46</v>
      </c>
      <c r="P88" s="17" t="s">
        <v>46</v>
      </c>
      <c r="Q88" s="17" t="s">
        <v>46</v>
      </c>
      <c r="R88" s="17" t="s">
        <v>46</v>
      </c>
      <c r="S88" s="17">
        <v>1</v>
      </c>
      <c r="T88" s="17">
        <v>1</v>
      </c>
      <c r="U88" s="17" t="s">
        <v>595</v>
      </c>
      <c r="V88" s="18"/>
      <c r="W88" s="18"/>
      <c r="X88" s="18"/>
      <c r="Y88" s="18"/>
      <c r="Z88" s="18"/>
      <c r="AA88" s="18"/>
      <c r="AB88" s="18"/>
      <c r="AC88" s="18"/>
      <c r="AD88" s="18"/>
    </row>
    <row r="89" spans="1:30" ht="17.149999999999999" hidden="1" customHeight="1">
      <c r="A89" s="1" t="s">
        <v>596</v>
      </c>
      <c r="B89" s="1"/>
      <c r="C89" s="1" t="s">
        <v>597</v>
      </c>
      <c r="D89" s="1"/>
      <c r="E89" s="1"/>
      <c r="F89" s="1"/>
      <c r="G89" s="1"/>
      <c r="H89" s="1" t="s">
        <v>598</v>
      </c>
      <c r="I89" s="1" t="s">
        <v>599</v>
      </c>
      <c r="J89" s="1" t="s">
        <v>599</v>
      </c>
      <c r="K89" s="1" t="s">
        <v>600</v>
      </c>
      <c r="L89" s="1" t="s">
        <v>45</v>
      </c>
      <c r="M89" s="1" t="s">
        <v>46</v>
      </c>
      <c r="N89" s="1">
        <v>208223</v>
      </c>
      <c r="O89" s="1">
        <v>2018</v>
      </c>
      <c r="P89" s="1" t="s">
        <v>46</v>
      </c>
      <c r="Q89" s="1" t="s">
        <v>46</v>
      </c>
      <c r="R89" s="1" t="s">
        <v>46</v>
      </c>
      <c r="S89" s="1">
        <v>1</v>
      </c>
      <c r="T89" s="1">
        <v>1</v>
      </c>
      <c r="U89" s="1" t="s">
        <v>601</v>
      </c>
    </row>
    <row r="90" spans="1:30" ht="17.149999999999999" hidden="1" customHeight="1">
      <c r="A90" s="1" t="s">
        <v>602</v>
      </c>
      <c r="B90" s="1"/>
      <c r="C90" s="1" t="s">
        <v>603</v>
      </c>
      <c r="D90" s="1"/>
      <c r="E90" s="1"/>
      <c r="F90" s="1"/>
      <c r="G90" s="1"/>
      <c r="H90" s="1" t="s">
        <v>334</v>
      </c>
      <c r="I90" s="1" t="s">
        <v>46</v>
      </c>
      <c r="J90" s="1" t="s">
        <v>604</v>
      </c>
      <c r="K90" s="1" t="s">
        <v>605</v>
      </c>
      <c r="L90" s="1" t="s">
        <v>45</v>
      </c>
      <c r="M90" s="1" t="s">
        <v>46</v>
      </c>
      <c r="N90" s="1">
        <v>78509</v>
      </c>
      <c r="O90" s="1">
        <v>2015</v>
      </c>
      <c r="P90" s="1" t="s">
        <v>46</v>
      </c>
      <c r="Q90" s="1" t="s">
        <v>46</v>
      </c>
      <c r="R90" s="1" t="s">
        <v>46</v>
      </c>
      <c r="S90" s="1">
        <v>1</v>
      </c>
      <c r="T90" s="1" t="s">
        <v>46</v>
      </c>
      <c r="U90" s="1" t="s">
        <v>606</v>
      </c>
    </row>
    <row r="91" spans="1:30" ht="17.149999999999999" hidden="1" customHeight="1">
      <c r="A91" s="1" t="s">
        <v>607</v>
      </c>
      <c r="B91" s="1"/>
      <c r="C91" s="1" t="s">
        <v>608</v>
      </c>
      <c r="D91" s="1"/>
      <c r="E91" s="1"/>
      <c r="F91" s="1"/>
      <c r="G91" s="1"/>
      <c r="H91" s="1" t="s">
        <v>512</v>
      </c>
      <c r="I91" s="1" t="s">
        <v>46</v>
      </c>
      <c r="J91" s="1" t="s">
        <v>609</v>
      </c>
      <c r="K91" s="1" t="s">
        <v>610</v>
      </c>
      <c r="L91" s="1" t="s">
        <v>45</v>
      </c>
      <c r="M91" s="1" t="s">
        <v>46</v>
      </c>
      <c r="N91" s="1">
        <v>45100</v>
      </c>
      <c r="O91" s="1">
        <v>2017</v>
      </c>
      <c r="P91" s="1" t="s">
        <v>46</v>
      </c>
      <c r="Q91" s="1" t="s">
        <v>46</v>
      </c>
      <c r="R91" s="1" t="s">
        <v>46</v>
      </c>
      <c r="S91" s="1">
        <v>1</v>
      </c>
      <c r="T91" s="1">
        <v>1</v>
      </c>
      <c r="U91" s="1" t="s">
        <v>611</v>
      </c>
    </row>
    <row r="92" spans="1:30" ht="17.149999999999999" hidden="1" customHeight="1">
      <c r="A92" s="1" t="s">
        <v>612</v>
      </c>
      <c r="B92" s="1"/>
      <c r="C92" s="1" t="s">
        <v>613</v>
      </c>
      <c r="D92" s="1"/>
      <c r="E92" s="1"/>
      <c r="F92" s="1"/>
      <c r="G92" s="1"/>
      <c r="H92" s="1" t="s">
        <v>334</v>
      </c>
      <c r="I92" s="1" t="s">
        <v>46</v>
      </c>
      <c r="J92" s="1" t="s">
        <v>614</v>
      </c>
      <c r="K92" s="1" t="s">
        <v>615</v>
      </c>
      <c r="L92" s="1" t="s">
        <v>45</v>
      </c>
      <c r="M92" s="1" t="s">
        <v>46</v>
      </c>
      <c r="N92" s="1">
        <v>140674</v>
      </c>
      <c r="O92" s="1">
        <v>2015</v>
      </c>
      <c r="P92" s="1" t="s">
        <v>46</v>
      </c>
      <c r="Q92" s="1" t="s">
        <v>46</v>
      </c>
      <c r="R92" s="1" t="s">
        <v>46</v>
      </c>
      <c r="S92" s="1">
        <v>1</v>
      </c>
      <c r="T92" s="1" t="s">
        <v>46</v>
      </c>
      <c r="U92" s="1" t="s">
        <v>616</v>
      </c>
    </row>
    <row r="93" spans="1:30" ht="17.149999999999999" hidden="1" customHeight="1">
      <c r="A93" s="1" t="s">
        <v>617</v>
      </c>
      <c r="B93" s="1"/>
      <c r="C93" s="1" t="s">
        <v>618</v>
      </c>
      <c r="D93" s="1"/>
      <c r="E93" s="1"/>
      <c r="F93" s="1"/>
      <c r="G93" s="1"/>
      <c r="H93" s="1" t="s">
        <v>619</v>
      </c>
      <c r="I93" s="1" t="s">
        <v>46</v>
      </c>
      <c r="J93" s="1" t="s">
        <v>620</v>
      </c>
      <c r="K93" s="1" t="s">
        <v>621</v>
      </c>
      <c r="L93" s="1" t="s">
        <v>45</v>
      </c>
      <c r="M93" s="1" t="s">
        <v>46</v>
      </c>
      <c r="N93" s="1" t="s">
        <v>46</v>
      </c>
      <c r="O93" s="1" t="s">
        <v>46</v>
      </c>
      <c r="P93" s="1" t="s">
        <v>46</v>
      </c>
      <c r="Q93" s="1" t="s">
        <v>46</v>
      </c>
      <c r="R93" s="1" t="s">
        <v>46</v>
      </c>
      <c r="S93" s="1">
        <v>1</v>
      </c>
      <c r="T93" s="1">
        <v>1</v>
      </c>
      <c r="U93" s="1" t="s">
        <v>622</v>
      </c>
    </row>
    <row r="94" spans="1:30" ht="17.149999999999999" hidden="1" customHeight="1">
      <c r="A94" s="1" t="s">
        <v>623</v>
      </c>
      <c r="B94" s="1"/>
      <c r="C94" s="1" t="s">
        <v>624</v>
      </c>
      <c r="D94" s="1"/>
      <c r="E94" s="1"/>
      <c r="F94" s="1"/>
      <c r="G94" s="1"/>
      <c r="H94" s="1" t="s">
        <v>619</v>
      </c>
      <c r="I94" s="1" t="s">
        <v>46</v>
      </c>
      <c r="J94" s="1" t="s">
        <v>625</v>
      </c>
      <c r="K94" s="1" t="s">
        <v>626</v>
      </c>
      <c r="L94" s="1" t="s">
        <v>45</v>
      </c>
      <c r="M94" s="1" t="s">
        <v>46</v>
      </c>
      <c r="N94" s="1">
        <v>120000</v>
      </c>
      <c r="O94" s="1">
        <v>2015</v>
      </c>
      <c r="P94" s="1" t="s">
        <v>46</v>
      </c>
      <c r="Q94" s="1" t="s">
        <v>46</v>
      </c>
      <c r="R94" s="1" t="s">
        <v>46</v>
      </c>
      <c r="S94" s="1">
        <v>1</v>
      </c>
      <c r="T94" s="1">
        <v>1</v>
      </c>
      <c r="U94" s="1" t="s">
        <v>627</v>
      </c>
    </row>
    <row r="95" spans="1:30" ht="17.149999999999999" hidden="1" customHeight="1">
      <c r="A95" s="1" t="s">
        <v>628</v>
      </c>
      <c r="B95" s="1"/>
      <c r="C95" s="1" t="s">
        <v>629</v>
      </c>
      <c r="D95" s="1"/>
      <c r="E95" s="1"/>
      <c r="F95" s="1"/>
      <c r="G95" s="1"/>
      <c r="H95" s="1" t="s">
        <v>619</v>
      </c>
      <c r="I95" s="1" t="s">
        <v>46</v>
      </c>
      <c r="J95" s="1" t="s">
        <v>630</v>
      </c>
      <c r="K95" s="1" t="s">
        <v>631</v>
      </c>
      <c r="L95" s="1" t="s">
        <v>45</v>
      </c>
      <c r="M95" s="1" t="s">
        <v>46</v>
      </c>
      <c r="N95" s="1" t="s">
        <v>46</v>
      </c>
      <c r="O95" s="1" t="s">
        <v>46</v>
      </c>
      <c r="P95" s="1" t="s">
        <v>46</v>
      </c>
      <c r="Q95" s="1" t="s">
        <v>46</v>
      </c>
      <c r="R95" s="1" t="s">
        <v>46</v>
      </c>
      <c r="S95" s="1">
        <v>1</v>
      </c>
      <c r="T95" s="1">
        <v>1</v>
      </c>
      <c r="U95" s="1" t="s">
        <v>632</v>
      </c>
    </row>
    <row r="96" spans="1:30" ht="17.149999999999999" hidden="1" customHeight="1">
      <c r="A96" s="1" t="s">
        <v>633</v>
      </c>
      <c r="B96" s="1"/>
      <c r="C96" s="1" t="s">
        <v>634</v>
      </c>
      <c r="D96" s="1"/>
      <c r="E96" s="1"/>
      <c r="F96" s="1"/>
      <c r="G96" s="1"/>
      <c r="H96" s="1" t="s">
        <v>619</v>
      </c>
      <c r="I96" s="1" t="s">
        <v>46</v>
      </c>
      <c r="J96" s="1" t="s">
        <v>635</v>
      </c>
      <c r="K96" s="1" t="s">
        <v>636</v>
      </c>
      <c r="L96" s="1" t="s">
        <v>45</v>
      </c>
      <c r="M96" s="1" t="s">
        <v>46</v>
      </c>
      <c r="N96" s="1" t="s">
        <v>46</v>
      </c>
      <c r="O96" s="1" t="s">
        <v>46</v>
      </c>
      <c r="P96" s="1" t="s">
        <v>46</v>
      </c>
      <c r="Q96" s="1" t="s">
        <v>46</v>
      </c>
      <c r="R96" s="1" t="s">
        <v>46</v>
      </c>
      <c r="S96" s="1">
        <v>1</v>
      </c>
      <c r="T96" s="1">
        <v>1</v>
      </c>
      <c r="U96" s="1" t="s">
        <v>637</v>
      </c>
    </row>
    <row r="97" spans="1:36" ht="17.149999999999999" hidden="1" customHeight="1">
      <c r="A97" s="1" t="s">
        <v>638</v>
      </c>
      <c r="B97" s="1"/>
      <c r="C97" s="1" t="s">
        <v>639</v>
      </c>
      <c r="D97" s="1"/>
      <c r="E97" s="1"/>
      <c r="F97" s="1"/>
      <c r="G97" s="1"/>
      <c r="H97" s="1" t="s">
        <v>640</v>
      </c>
      <c r="I97" s="1" t="s">
        <v>46</v>
      </c>
      <c r="J97" s="1" t="s">
        <v>641</v>
      </c>
      <c r="K97" s="1" t="s">
        <v>508</v>
      </c>
      <c r="L97" s="1" t="s">
        <v>45</v>
      </c>
      <c r="M97" s="1" t="s">
        <v>46</v>
      </c>
      <c r="N97" s="1" t="s">
        <v>46</v>
      </c>
      <c r="O97" s="1" t="s">
        <v>46</v>
      </c>
      <c r="P97" s="1" t="s">
        <v>46</v>
      </c>
      <c r="Q97" s="1" t="s">
        <v>46</v>
      </c>
      <c r="R97" s="1" t="s">
        <v>46</v>
      </c>
      <c r="S97" s="1">
        <v>1</v>
      </c>
      <c r="T97" s="1" t="s">
        <v>46</v>
      </c>
      <c r="U97" s="1" t="s">
        <v>642</v>
      </c>
    </row>
    <row r="98" spans="1:36" ht="17.149999999999999" hidden="1" customHeight="1">
      <c r="A98" s="1" t="s">
        <v>643</v>
      </c>
      <c r="B98" s="1"/>
      <c r="C98" s="1" t="s">
        <v>644</v>
      </c>
      <c r="D98" s="1"/>
      <c r="E98" s="1"/>
      <c r="F98" s="1"/>
      <c r="G98" s="1"/>
      <c r="H98" s="1" t="s">
        <v>110</v>
      </c>
      <c r="I98" s="1" t="s">
        <v>46</v>
      </c>
      <c r="J98" s="1" t="s">
        <v>645</v>
      </c>
      <c r="K98" s="1" t="s">
        <v>646</v>
      </c>
      <c r="L98" s="1" t="s">
        <v>45</v>
      </c>
      <c r="M98" s="1" t="s">
        <v>46</v>
      </c>
      <c r="N98" s="1">
        <v>80000</v>
      </c>
      <c r="O98" s="1">
        <v>2015</v>
      </c>
      <c r="P98" s="1" t="s">
        <v>46</v>
      </c>
      <c r="Q98" s="1" t="s">
        <v>46</v>
      </c>
      <c r="R98" s="1" t="s">
        <v>46</v>
      </c>
      <c r="S98" s="1">
        <v>1</v>
      </c>
      <c r="T98" s="1">
        <v>1</v>
      </c>
      <c r="U98" s="1" t="s">
        <v>647</v>
      </c>
    </row>
    <row r="99" spans="1:36" ht="17.149999999999999" hidden="1" customHeight="1">
      <c r="A99" s="1" t="s">
        <v>648</v>
      </c>
      <c r="B99" s="1"/>
      <c r="C99" s="1" t="s">
        <v>649</v>
      </c>
      <c r="D99" s="1"/>
      <c r="E99" s="1"/>
      <c r="F99" s="1"/>
      <c r="G99" s="1"/>
      <c r="H99" s="1" t="s">
        <v>110</v>
      </c>
      <c r="I99" s="1" t="s">
        <v>46</v>
      </c>
      <c r="J99" s="1" t="s">
        <v>650</v>
      </c>
      <c r="K99" s="1" t="s">
        <v>651</v>
      </c>
      <c r="L99" s="1" t="s">
        <v>45</v>
      </c>
      <c r="M99" s="1" t="s">
        <v>46</v>
      </c>
      <c r="N99" s="1">
        <v>79477</v>
      </c>
      <c r="O99" s="1">
        <v>2015</v>
      </c>
      <c r="P99" s="1" t="s">
        <v>46</v>
      </c>
      <c r="Q99" s="1" t="s">
        <v>46</v>
      </c>
      <c r="R99" s="1" t="s">
        <v>46</v>
      </c>
      <c r="S99" s="1">
        <v>1</v>
      </c>
      <c r="T99" s="1">
        <v>1</v>
      </c>
      <c r="U99" s="1" t="s">
        <v>652</v>
      </c>
    </row>
    <row r="100" spans="1:36" ht="17.149999999999999" hidden="1" customHeight="1">
      <c r="A100" s="1" t="s">
        <v>653</v>
      </c>
      <c r="B100" s="1"/>
      <c r="C100" s="1" t="s">
        <v>654</v>
      </c>
      <c r="D100" s="1"/>
      <c r="E100" s="1"/>
      <c r="F100" s="1"/>
      <c r="G100" s="1"/>
      <c r="H100" s="1" t="s">
        <v>655</v>
      </c>
      <c r="I100" s="1" t="s">
        <v>46</v>
      </c>
      <c r="J100" s="1" t="s">
        <v>656</v>
      </c>
      <c r="K100" s="1" t="s">
        <v>657</v>
      </c>
      <c r="L100" s="1" t="s">
        <v>45</v>
      </c>
      <c r="M100" s="1" t="s">
        <v>46</v>
      </c>
      <c r="N100" s="1">
        <v>134000</v>
      </c>
      <c r="O100" s="1">
        <v>2016</v>
      </c>
      <c r="P100" s="1" t="s">
        <v>46</v>
      </c>
      <c r="Q100" s="1" t="s">
        <v>46</v>
      </c>
      <c r="R100" s="1" t="s">
        <v>46</v>
      </c>
      <c r="S100" s="1">
        <v>1</v>
      </c>
      <c r="T100" s="1">
        <v>1</v>
      </c>
      <c r="U100" s="1" t="s">
        <v>658</v>
      </c>
    </row>
    <row r="101" spans="1:36" ht="17.149999999999999" hidden="1" customHeight="1">
      <c r="A101" s="14" t="s">
        <v>659</v>
      </c>
      <c r="B101" s="14" t="s">
        <v>37</v>
      </c>
      <c r="C101" s="90" t="s">
        <v>660</v>
      </c>
      <c r="D101" s="61"/>
      <c r="E101" s="61"/>
      <c r="F101" s="61"/>
      <c r="G101" s="61"/>
      <c r="H101" s="14" t="s">
        <v>41</v>
      </c>
      <c r="I101" s="14" t="s">
        <v>63</v>
      </c>
      <c r="J101" s="14" t="s">
        <v>661</v>
      </c>
      <c r="K101" s="14" t="s">
        <v>662</v>
      </c>
      <c r="L101" s="14" t="s">
        <v>45</v>
      </c>
      <c r="M101" s="14" t="s">
        <v>46</v>
      </c>
      <c r="N101" s="14" t="s">
        <v>46</v>
      </c>
      <c r="O101" s="14" t="s">
        <v>46</v>
      </c>
      <c r="P101" s="14" t="s">
        <v>46</v>
      </c>
      <c r="Q101" s="14" t="s">
        <v>46</v>
      </c>
      <c r="R101" s="14" t="s">
        <v>46</v>
      </c>
      <c r="S101" s="14">
        <v>1</v>
      </c>
      <c r="T101" s="14">
        <v>1</v>
      </c>
      <c r="U101" s="14" t="s">
        <v>663</v>
      </c>
      <c r="V101" s="6" t="s">
        <v>40</v>
      </c>
      <c r="W101" s="6" t="s">
        <v>664</v>
      </c>
      <c r="X101" s="6" t="s">
        <v>40</v>
      </c>
      <c r="Y101" s="8"/>
      <c r="Z101" s="6" t="s">
        <v>665</v>
      </c>
      <c r="AA101" s="6" t="s">
        <v>666</v>
      </c>
      <c r="AB101" s="6"/>
      <c r="AC101" s="6" t="s">
        <v>667</v>
      </c>
      <c r="AD101" s="6" t="s">
        <v>40</v>
      </c>
      <c r="AE101" s="2">
        <v>1</v>
      </c>
      <c r="AF101" s="2" t="s">
        <v>53</v>
      </c>
    </row>
    <row r="102" spans="1:36" ht="17.149999999999999" hidden="1" customHeight="1">
      <c r="A102" s="1" t="s">
        <v>668</v>
      </c>
      <c r="B102" s="1"/>
      <c r="C102" s="1" t="s">
        <v>669</v>
      </c>
      <c r="D102" s="1"/>
      <c r="E102" s="1"/>
      <c r="F102" s="1"/>
      <c r="G102" s="1"/>
      <c r="H102" s="1" t="s">
        <v>640</v>
      </c>
      <c r="I102" s="1" t="s">
        <v>46</v>
      </c>
      <c r="J102" s="1" t="s">
        <v>670</v>
      </c>
      <c r="K102" s="1" t="s">
        <v>508</v>
      </c>
      <c r="L102" s="1" t="s">
        <v>45</v>
      </c>
      <c r="M102" s="1" t="s">
        <v>46</v>
      </c>
      <c r="N102" s="1" t="s">
        <v>46</v>
      </c>
      <c r="O102" s="1" t="s">
        <v>46</v>
      </c>
      <c r="P102" s="1" t="s">
        <v>46</v>
      </c>
      <c r="Q102" s="1" t="s">
        <v>46</v>
      </c>
      <c r="R102" s="1" t="s">
        <v>46</v>
      </c>
      <c r="S102" s="1">
        <v>1</v>
      </c>
      <c r="T102" s="1" t="s">
        <v>46</v>
      </c>
      <c r="U102" s="1" t="s">
        <v>671</v>
      </c>
    </row>
    <row r="103" spans="1:36" ht="17.149999999999999" hidden="1" customHeight="1">
      <c r="A103" s="1" t="s">
        <v>672</v>
      </c>
      <c r="B103" s="1"/>
      <c r="C103" s="1" t="s">
        <v>673</v>
      </c>
      <c r="D103" s="1"/>
      <c r="E103" s="1"/>
      <c r="F103" s="1"/>
      <c r="G103" s="1"/>
      <c r="H103" s="1" t="s">
        <v>674</v>
      </c>
      <c r="I103" s="1" t="s">
        <v>46</v>
      </c>
      <c r="J103" s="1" t="s">
        <v>675</v>
      </c>
      <c r="K103" s="1" t="s">
        <v>676</v>
      </c>
      <c r="L103" s="1" t="s">
        <v>45</v>
      </c>
      <c r="M103" s="1" t="s">
        <v>46</v>
      </c>
      <c r="N103" s="1">
        <v>118874</v>
      </c>
      <c r="O103" s="1">
        <v>2015</v>
      </c>
      <c r="P103" s="1" t="s">
        <v>46</v>
      </c>
      <c r="Q103" s="1" t="s">
        <v>46</v>
      </c>
      <c r="R103" s="1" t="s">
        <v>46</v>
      </c>
      <c r="S103" s="1">
        <v>1</v>
      </c>
      <c r="T103" s="1">
        <v>1</v>
      </c>
      <c r="U103" s="1" t="s">
        <v>677</v>
      </c>
    </row>
    <row r="104" spans="1:36" ht="17.149999999999999" hidden="1" customHeight="1">
      <c r="A104" s="17" t="s">
        <v>678</v>
      </c>
      <c r="B104" s="17"/>
      <c r="C104" s="61" t="s">
        <v>679</v>
      </c>
      <c r="D104" s="61"/>
      <c r="E104" s="61"/>
      <c r="F104" s="61"/>
      <c r="G104" s="61"/>
      <c r="H104" s="17" t="s">
        <v>41</v>
      </c>
      <c r="I104" s="17" t="s">
        <v>680</v>
      </c>
      <c r="J104" s="17" t="s">
        <v>681</v>
      </c>
      <c r="K104" s="17" t="s">
        <v>682</v>
      </c>
      <c r="L104" s="17" t="s">
        <v>45</v>
      </c>
      <c r="M104" s="17" t="s">
        <v>46</v>
      </c>
      <c r="N104" s="17" t="s">
        <v>46</v>
      </c>
      <c r="O104" s="17" t="s">
        <v>46</v>
      </c>
      <c r="P104" s="17" t="s">
        <v>46</v>
      </c>
      <c r="Q104" s="17" t="s">
        <v>46</v>
      </c>
      <c r="R104" s="17" t="s">
        <v>46</v>
      </c>
      <c r="S104" s="17">
        <v>1</v>
      </c>
      <c r="T104" s="17">
        <v>1</v>
      </c>
      <c r="U104" s="17" t="s">
        <v>683</v>
      </c>
      <c r="V104" s="18" t="s">
        <v>40</v>
      </c>
      <c r="W104" s="18"/>
      <c r="X104" s="18"/>
      <c r="Y104" s="18"/>
      <c r="Z104" s="18"/>
      <c r="AA104" s="18" t="s">
        <v>684</v>
      </c>
      <c r="AB104" s="18"/>
      <c r="AC104" s="18" t="s">
        <v>685</v>
      </c>
      <c r="AD104" s="18"/>
    </row>
    <row r="105" spans="1:36" ht="17.149999999999999" hidden="1" customHeight="1">
      <c r="A105" s="21" t="s">
        <v>686</v>
      </c>
      <c r="B105" s="21"/>
      <c r="C105" s="58" t="s">
        <v>687</v>
      </c>
      <c r="D105" s="61"/>
      <c r="E105" s="61"/>
      <c r="F105" s="61"/>
      <c r="G105" s="61"/>
      <c r="H105" s="21" t="s">
        <v>41</v>
      </c>
      <c r="I105" s="21" t="s">
        <v>42</v>
      </c>
      <c r="J105" s="21" t="s">
        <v>688</v>
      </c>
      <c r="K105" s="21" t="s">
        <v>689</v>
      </c>
      <c r="L105" s="21" t="s">
        <v>151</v>
      </c>
      <c r="M105" s="21" t="s">
        <v>690</v>
      </c>
      <c r="N105" s="21" t="s">
        <v>46</v>
      </c>
      <c r="O105" s="21" t="s">
        <v>46</v>
      </c>
      <c r="P105" s="21" t="s">
        <v>46</v>
      </c>
      <c r="Q105" s="21" t="s">
        <v>46</v>
      </c>
      <c r="R105" s="21" t="s">
        <v>46</v>
      </c>
      <c r="S105" s="21">
        <v>1</v>
      </c>
      <c r="T105" s="21">
        <v>1</v>
      </c>
      <c r="U105" s="21" t="s">
        <v>691</v>
      </c>
      <c r="V105" s="22" t="s">
        <v>692</v>
      </c>
      <c r="W105" s="22"/>
      <c r="X105" s="22"/>
      <c r="Y105" s="22"/>
      <c r="Z105" s="22"/>
      <c r="AA105" s="22" t="s">
        <v>693</v>
      </c>
      <c r="AB105" s="22"/>
      <c r="AC105" s="22" t="s">
        <v>694</v>
      </c>
      <c r="AD105" s="22"/>
      <c r="AG105" s="2" t="s">
        <v>71</v>
      </c>
    </row>
    <row r="106" spans="1:36" ht="17.149999999999999" hidden="1" customHeight="1">
      <c r="A106" s="1" t="s">
        <v>695</v>
      </c>
      <c r="B106" s="1"/>
      <c r="C106" s="1" t="s">
        <v>696</v>
      </c>
      <c r="D106" s="1"/>
      <c r="E106" s="1"/>
      <c r="F106" s="1"/>
      <c r="G106" s="1"/>
      <c r="H106" s="1" t="s">
        <v>334</v>
      </c>
      <c r="I106" s="1" t="s">
        <v>46</v>
      </c>
      <c r="J106" s="1" t="s">
        <v>697</v>
      </c>
      <c r="K106" s="1" t="s">
        <v>698</v>
      </c>
      <c r="L106" s="1" t="s">
        <v>45</v>
      </c>
      <c r="M106" s="1" t="s">
        <v>46</v>
      </c>
      <c r="N106" s="1">
        <v>48807</v>
      </c>
      <c r="O106" s="1">
        <v>2015</v>
      </c>
      <c r="P106" s="1" t="s">
        <v>46</v>
      </c>
      <c r="Q106" s="1" t="s">
        <v>46</v>
      </c>
      <c r="R106" s="1" t="s">
        <v>46</v>
      </c>
      <c r="S106" s="1">
        <v>1</v>
      </c>
      <c r="T106" s="1" t="s">
        <v>46</v>
      </c>
      <c r="U106" s="1" t="s">
        <v>699</v>
      </c>
    </row>
    <row r="107" spans="1:36" s="42" customFormat="1" ht="17.149999999999999" customHeight="1">
      <c r="A107" s="14" t="s">
        <v>700</v>
      </c>
      <c r="B107" s="14" t="s">
        <v>37</v>
      </c>
      <c r="C107" s="90" t="s">
        <v>701</v>
      </c>
      <c r="D107" t="s">
        <v>702</v>
      </c>
      <c r="E107" t="s">
        <v>702</v>
      </c>
      <c r="F107" s="17" t="s">
        <v>701</v>
      </c>
      <c r="G107" s="61" t="s">
        <v>40</v>
      </c>
      <c r="H107" s="14" t="s">
        <v>41</v>
      </c>
      <c r="I107" s="14" t="s">
        <v>42</v>
      </c>
      <c r="J107" s="14" t="s">
        <v>703</v>
      </c>
      <c r="K107" s="14" t="s">
        <v>704</v>
      </c>
      <c r="L107" s="14" t="s">
        <v>45</v>
      </c>
      <c r="M107" s="14" t="s">
        <v>46</v>
      </c>
      <c r="N107" s="14" t="s">
        <v>46</v>
      </c>
      <c r="O107" s="14" t="s">
        <v>46</v>
      </c>
      <c r="P107" s="14" t="s">
        <v>46</v>
      </c>
      <c r="Q107" s="14" t="s">
        <v>46</v>
      </c>
      <c r="R107" s="14" t="s">
        <v>46</v>
      </c>
      <c r="S107" s="14">
        <v>1</v>
      </c>
      <c r="T107" s="14">
        <v>1</v>
      </c>
      <c r="U107" s="14" t="s">
        <v>705</v>
      </c>
      <c r="V107" s="6" t="s">
        <v>40</v>
      </c>
      <c r="W107" s="6" t="s">
        <v>78</v>
      </c>
      <c r="X107" s="6" t="s">
        <v>40</v>
      </c>
      <c r="Y107" s="6" t="s">
        <v>324</v>
      </c>
      <c r="Z107" s="6" t="s">
        <v>706</v>
      </c>
      <c r="AA107" s="5" t="s">
        <v>707</v>
      </c>
      <c r="AB107" s="6"/>
      <c r="AC107" s="6" t="s">
        <v>708</v>
      </c>
      <c r="AD107" s="6" t="s">
        <v>40</v>
      </c>
      <c r="AG107" s="42" t="s">
        <v>145</v>
      </c>
      <c r="AJ107" s="42" t="s">
        <v>57</v>
      </c>
    </row>
    <row r="108" spans="1:36" ht="17.149999999999999" hidden="1" customHeight="1">
      <c r="A108" s="17" t="s">
        <v>709</v>
      </c>
      <c r="B108" s="17"/>
      <c r="C108" s="61" t="s">
        <v>710</v>
      </c>
      <c r="D108" s="61"/>
      <c r="E108" s="61"/>
      <c r="F108" s="61"/>
      <c r="G108" s="61"/>
      <c r="H108" s="17" t="s">
        <v>41</v>
      </c>
      <c r="I108" s="17" t="s">
        <v>42</v>
      </c>
      <c r="J108" s="17" t="s">
        <v>711</v>
      </c>
      <c r="K108" s="17" t="s">
        <v>712</v>
      </c>
      <c r="L108" s="17" t="s">
        <v>45</v>
      </c>
      <c r="M108" s="17" t="s">
        <v>46</v>
      </c>
      <c r="N108" s="17" t="s">
        <v>46</v>
      </c>
      <c r="O108" s="17" t="s">
        <v>46</v>
      </c>
      <c r="P108" s="17" t="s">
        <v>46</v>
      </c>
      <c r="Q108" s="17" t="s">
        <v>46</v>
      </c>
      <c r="R108" s="17" t="s">
        <v>46</v>
      </c>
      <c r="S108" s="17">
        <v>1</v>
      </c>
      <c r="T108" s="17">
        <v>1</v>
      </c>
      <c r="U108" s="17" t="s">
        <v>713</v>
      </c>
      <c r="V108" s="18"/>
      <c r="W108" s="18"/>
      <c r="X108" s="18"/>
      <c r="Y108" s="18"/>
      <c r="Z108" s="18"/>
      <c r="AA108" s="18"/>
      <c r="AB108" s="18"/>
      <c r="AC108" s="18"/>
      <c r="AD108" s="18"/>
    </row>
    <row r="109" spans="1:36" ht="17.149999999999999" hidden="1" customHeight="1">
      <c r="A109" s="17" t="s">
        <v>714</v>
      </c>
      <c r="B109" s="17"/>
      <c r="C109" s="61" t="s">
        <v>715</v>
      </c>
      <c r="D109" s="61"/>
      <c r="E109" s="61"/>
      <c r="F109" s="61"/>
      <c r="G109" s="61"/>
      <c r="H109" s="17" t="s">
        <v>41</v>
      </c>
      <c r="I109" s="17" t="s">
        <v>592</v>
      </c>
      <c r="J109" s="17" t="s">
        <v>716</v>
      </c>
      <c r="K109" s="17" t="s">
        <v>717</v>
      </c>
      <c r="L109" s="17" t="s">
        <v>45</v>
      </c>
      <c r="M109" s="17" t="s">
        <v>46</v>
      </c>
      <c r="N109" s="17" t="s">
        <v>46</v>
      </c>
      <c r="O109" s="17" t="s">
        <v>46</v>
      </c>
      <c r="P109" s="17" t="s">
        <v>46</v>
      </c>
      <c r="Q109" s="17" t="s">
        <v>46</v>
      </c>
      <c r="R109" s="17" t="s">
        <v>46</v>
      </c>
      <c r="S109" s="17">
        <v>1</v>
      </c>
      <c r="T109" s="17">
        <v>1</v>
      </c>
      <c r="U109" s="17" t="s">
        <v>718</v>
      </c>
      <c r="V109" s="18" t="s">
        <v>719</v>
      </c>
      <c r="W109" s="18"/>
      <c r="X109" s="18"/>
      <c r="Y109" s="18"/>
      <c r="Z109" s="18"/>
      <c r="AA109" s="18"/>
      <c r="AB109" s="18"/>
      <c r="AC109" s="18" t="s">
        <v>720</v>
      </c>
      <c r="AD109" s="18"/>
    </row>
    <row r="110" spans="1:36" ht="17.149999999999999" hidden="1" customHeight="1">
      <c r="A110" s="1" t="s">
        <v>721</v>
      </c>
      <c r="B110" s="1"/>
      <c r="C110" s="1" t="s">
        <v>722</v>
      </c>
      <c r="D110" s="1"/>
      <c r="E110" s="1"/>
      <c r="F110" s="1"/>
      <c r="G110" s="1"/>
      <c r="H110" s="1" t="s">
        <v>177</v>
      </c>
      <c r="I110" s="1" t="s">
        <v>345</v>
      </c>
      <c r="J110" s="1" t="s">
        <v>723</v>
      </c>
      <c r="K110" s="1" t="s">
        <v>724</v>
      </c>
      <c r="L110" s="1" t="s">
        <v>118</v>
      </c>
      <c r="M110" s="1" t="s">
        <v>725</v>
      </c>
      <c r="N110" s="1">
        <v>81000</v>
      </c>
      <c r="O110" s="1">
        <v>2019</v>
      </c>
      <c r="P110" s="1" t="s">
        <v>46</v>
      </c>
      <c r="Q110" s="1" t="s">
        <v>46</v>
      </c>
      <c r="R110" s="1" t="s">
        <v>46</v>
      </c>
      <c r="S110" s="1">
        <v>1</v>
      </c>
      <c r="T110" s="1">
        <v>1</v>
      </c>
      <c r="U110" s="1" t="s">
        <v>726</v>
      </c>
    </row>
    <row r="111" spans="1:36" ht="17.149999999999999" hidden="1" customHeight="1">
      <c r="A111" s="1" t="s">
        <v>727</v>
      </c>
      <c r="B111" s="1"/>
      <c r="C111" s="1" t="s">
        <v>728</v>
      </c>
      <c r="D111" s="1"/>
      <c r="E111" s="1"/>
      <c r="F111" s="1"/>
      <c r="G111" s="1"/>
      <c r="H111" s="1" t="s">
        <v>674</v>
      </c>
      <c r="I111" s="1" t="s">
        <v>46</v>
      </c>
      <c r="J111" s="1" t="s">
        <v>729</v>
      </c>
      <c r="K111" s="1" t="s">
        <v>730</v>
      </c>
      <c r="L111" s="1" t="s">
        <v>45</v>
      </c>
      <c r="M111" s="1" t="s">
        <v>46</v>
      </c>
      <c r="N111" s="1">
        <v>175000</v>
      </c>
      <c r="O111" s="1">
        <v>2015</v>
      </c>
      <c r="P111" s="1" t="s">
        <v>46</v>
      </c>
      <c r="Q111" s="1" t="s">
        <v>46</v>
      </c>
      <c r="R111" s="1" t="s">
        <v>46</v>
      </c>
      <c r="S111" s="1">
        <v>1</v>
      </c>
      <c r="T111" s="1">
        <v>1</v>
      </c>
      <c r="U111" s="1" t="s">
        <v>731</v>
      </c>
    </row>
    <row r="112" spans="1:36" ht="17.149999999999999" hidden="1" customHeight="1">
      <c r="A112" s="1" t="s">
        <v>732</v>
      </c>
      <c r="B112" s="1"/>
      <c r="C112" s="1" t="s">
        <v>733</v>
      </c>
      <c r="D112" s="1"/>
      <c r="E112" s="1"/>
      <c r="F112" s="1"/>
      <c r="G112" s="1"/>
      <c r="H112" s="1" t="s">
        <v>334</v>
      </c>
      <c r="I112" s="1" t="s">
        <v>46</v>
      </c>
      <c r="J112" s="1" t="s">
        <v>734</v>
      </c>
      <c r="K112" s="1" t="s">
        <v>735</v>
      </c>
      <c r="L112" s="1" t="s">
        <v>45</v>
      </c>
      <c r="M112" s="1" t="s">
        <v>46</v>
      </c>
      <c r="N112" s="1">
        <v>59717</v>
      </c>
      <c r="O112" s="1">
        <v>2015</v>
      </c>
      <c r="P112" s="1" t="s">
        <v>46</v>
      </c>
      <c r="Q112" s="1" t="s">
        <v>46</v>
      </c>
      <c r="R112" s="1" t="s">
        <v>46</v>
      </c>
      <c r="S112" s="1">
        <v>1</v>
      </c>
      <c r="T112" s="1" t="s">
        <v>46</v>
      </c>
      <c r="U112" s="1" t="s">
        <v>736</v>
      </c>
    </row>
    <row r="113" spans="1:41" ht="17.149999999999999" hidden="1" customHeight="1">
      <c r="A113" s="1" t="s">
        <v>737</v>
      </c>
      <c r="B113" s="1"/>
      <c r="C113" s="1" t="s">
        <v>738</v>
      </c>
      <c r="D113" s="1"/>
      <c r="E113" s="1"/>
      <c r="F113" s="1"/>
      <c r="G113" s="1"/>
      <c r="H113" s="1" t="s">
        <v>674</v>
      </c>
      <c r="I113" s="1" t="s">
        <v>46</v>
      </c>
      <c r="J113" s="1" t="s">
        <v>739</v>
      </c>
      <c r="K113" s="1" t="s">
        <v>740</v>
      </c>
      <c r="L113" s="1" t="s">
        <v>45</v>
      </c>
      <c r="M113" s="1" t="s">
        <v>46</v>
      </c>
      <c r="N113" s="1">
        <v>229684</v>
      </c>
      <c r="O113" s="1">
        <v>2016</v>
      </c>
      <c r="P113" s="1" t="s">
        <v>46</v>
      </c>
      <c r="Q113" s="1" t="s">
        <v>46</v>
      </c>
      <c r="R113" s="1" t="s">
        <v>46</v>
      </c>
      <c r="S113" s="1">
        <v>1</v>
      </c>
      <c r="T113" s="1">
        <v>1</v>
      </c>
      <c r="U113" s="1" t="s">
        <v>741</v>
      </c>
    </row>
    <row r="114" spans="1:41" ht="17.149999999999999" hidden="1" customHeight="1">
      <c r="A114" s="1" t="s">
        <v>742</v>
      </c>
      <c r="B114" s="1"/>
      <c r="C114" s="1" t="s">
        <v>743</v>
      </c>
      <c r="D114" s="1"/>
      <c r="E114" s="1"/>
      <c r="F114" s="1"/>
      <c r="G114" s="1"/>
      <c r="H114" s="1" t="s">
        <v>640</v>
      </c>
      <c r="I114" s="1" t="s">
        <v>46</v>
      </c>
      <c r="J114" s="1" t="s">
        <v>744</v>
      </c>
      <c r="K114" s="1" t="s">
        <v>502</v>
      </c>
      <c r="L114" s="1" t="s">
        <v>45</v>
      </c>
      <c r="M114" s="1" t="s">
        <v>46</v>
      </c>
      <c r="N114" s="1" t="s">
        <v>46</v>
      </c>
      <c r="O114" s="1" t="s">
        <v>46</v>
      </c>
      <c r="P114" s="1" t="s">
        <v>46</v>
      </c>
      <c r="Q114" s="1" t="s">
        <v>46</v>
      </c>
      <c r="R114" s="1">
        <v>1</v>
      </c>
      <c r="S114" s="1">
        <v>1</v>
      </c>
      <c r="T114" s="1" t="s">
        <v>46</v>
      </c>
      <c r="U114" s="1" t="s">
        <v>745</v>
      </c>
    </row>
    <row r="115" spans="1:41" ht="17.149999999999999" hidden="1" customHeight="1">
      <c r="A115" s="1" t="s">
        <v>746</v>
      </c>
      <c r="B115" s="1"/>
      <c r="C115" s="1" t="s">
        <v>747</v>
      </c>
      <c r="D115" s="1"/>
      <c r="E115" s="1"/>
      <c r="F115" s="1"/>
      <c r="G115" s="1"/>
      <c r="H115" s="1" t="s">
        <v>334</v>
      </c>
      <c r="I115" s="1" t="s">
        <v>46</v>
      </c>
      <c r="J115" s="1" t="s">
        <v>748</v>
      </c>
      <c r="K115" s="1" t="s">
        <v>749</v>
      </c>
      <c r="L115" s="1" t="s">
        <v>45</v>
      </c>
      <c r="M115" s="1" t="s">
        <v>46</v>
      </c>
      <c r="N115" s="1">
        <v>247180</v>
      </c>
      <c r="O115" s="1">
        <v>2015</v>
      </c>
      <c r="P115" s="1" t="s">
        <v>46</v>
      </c>
      <c r="Q115" s="1" t="s">
        <v>46</v>
      </c>
      <c r="R115" s="1" t="s">
        <v>46</v>
      </c>
      <c r="S115" s="1">
        <v>1</v>
      </c>
      <c r="T115" s="1" t="s">
        <v>46</v>
      </c>
      <c r="U115" s="1" t="s">
        <v>750</v>
      </c>
    </row>
    <row r="116" spans="1:41" ht="17.149999999999999" hidden="1" customHeight="1">
      <c r="A116" s="1" t="s">
        <v>751</v>
      </c>
      <c r="B116" s="1"/>
      <c r="C116" s="1" t="s">
        <v>752</v>
      </c>
      <c r="D116" s="1"/>
      <c r="E116" s="1"/>
      <c r="F116" s="1"/>
      <c r="G116" s="1"/>
      <c r="H116" s="1" t="s">
        <v>334</v>
      </c>
      <c r="I116" s="1" t="s">
        <v>46</v>
      </c>
      <c r="J116" s="1" t="s">
        <v>753</v>
      </c>
      <c r="K116" s="1" t="s">
        <v>754</v>
      </c>
      <c r="L116" s="1" t="s">
        <v>45</v>
      </c>
      <c r="M116" s="1" t="s">
        <v>46</v>
      </c>
      <c r="N116" s="1">
        <v>73300</v>
      </c>
      <c r="O116" s="1">
        <v>2015</v>
      </c>
      <c r="P116" s="1" t="s">
        <v>46</v>
      </c>
      <c r="Q116" s="1" t="s">
        <v>46</v>
      </c>
      <c r="R116" s="1" t="s">
        <v>46</v>
      </c>
      <c r="S116" s="1">
        <v>1</v>
      </c>
      <c r="T116" s="1" t="s">
        <v>46</v>
      </c>
      <c r="U116" s="1" t="s">
        <v>755</v>
      </c>
    </row>
    <row r="117" spans="1:41" ht="17.149999999999999" hidden="1" customHeight="1">
      <c r="A117" s="17" t="s">
        <v>756</v>
      </c>
      <c r="B117" s="17"/>
      <c r="C117" s="61" t="s">
        <v>757</v>
      </c>
      <c r="D117" s="61"/>
      <c r="E117" s="61"/>
      <c r="F117" s="61"/>
      <c r="G117" s="61"/>
      <c r="H117" s="17" t="s">
        <v>41</v>
      </c>
      <c r="I117" s="17" t="s">
        <v>63</v>
      </c>
      <c r="J117" s="17" t="s">
        <v>758</v>
      </c>
      <c r="K117" s="17" t="s">
        <v>759</v>
      </c>
      <c r="L117" s="17" t="s">
        <v>45</v>
      </c>
      <c r="M117" s="17" t="s">
        <v>46</v>
      </c>
      <c r="N117" s="17" t="s">
        <v>46</v>
      </c>
      <c r="O117" s="17" t="s">
        <v>46</v>
      </c>
      <c r="P117" s="17" t="s">
        <v>46</v>
      </c>
      <c r="Q117" s="17" t="s">
        <v>46</v>
      </c>
      <c r="R117" s="17" t="s">
        <v>46</v>
      </c>
      <c r="S117" s="17">
        <v>1</v>
      </c>
      <c r="T117" s="17">
        <v>1</v>
      </c>
      <c r="U117" s="17" t="s">
        <v>760</v>
      </c>
      <c r="V117" s="18"/>
      <c r="W117" s="18"/>
      <c r="X117" s="18"/>
      <c r="Y117" s="18"/>
      <c r="Z117" s="18"/>
      <c r="AA117" s="18"/>
      <c r="AB117" s="18"/>
      <c r="AC117" s="18"/>
      <c r="AD117" s="18"/>
    </row>
    <row r="118" spans="1:41" ht="17.149999999999999" hidden="1" customHeight="1">
      <c r="A118" s="17" t="s">
        <v>761</v>
      </c>
      <c r="B118" s="17"/>
      <c r="C118" s="17" t="s">
        <v>762</v>
      </c>
      <c r="D118" s="17"/>
      <c r="E118" s="17"/>
      <c r="F118" s="17"/>
      <c r="G118" s="17"/>
      <c r="H118" s="17" t="s">
        <v>41</v>
      </c>
      <c r="I118" s="17" t="s">
        <v>518</v>
      </c>
      <c r="J118" s="17" t="s">
        <v>763</v>
      </c>
      <c r="K118" s="17" t="s">
        <v>764</v>
      </c>
      <c r="L118" s="17" t="s">
        <v>45</v>
      </c>
      <c r="M118" s="17" t="s">
        <v>46</v>
      </c>
      <c r="N118" s="17" t="s">
        <v>46</v>
      </c>
      <c r="O118" s="17" t="s">
        <v>46</v>
      </c>
      <c r="P118" s="17" t="s">
        <v>46</v>
      </c>
      <c r="Q118" s="17" t="s">
        <v>46</v>
      </c>
      <c r="R118" s="17" t="s">
        <v>46</v>
      </c>
      <c r="S118" s="17">
        <v>1</v>
      </c>
      <c r="T118" s="17">
        <v>1</v>
      </c>
      <c r="U118" s="17" t="s">
        <v>765</v>
      </c>
      <c r="V118" s="18"/>
      <c r="W118" s="18"/>
      <c r="X118" s="18"/>
      <c r="Y118" s="18"/>
      <c r="Z118" s="18"/>
      <c r="AA118" s="18"/>
      <c r="AB118" s="18"/>
      <c r="AC118" s="18"/>
      <c r="AD118" s="18"/>
    </row>
    <row r="119" spans="1:41" ht="17.149999999999999" hidden="1" customHeight="1">
      <c r="A119" s="17" t="s">
        <v>766</v>
      </c>
      <c r="B119" s="17"/>
      <c r="C119" s="17" t="s">
        <v>767</v>
      </c>
      <c r="D119" s="17"/>
      <c r="E119" s="17"/>
      <c r="F119" s="17"/>
      <c r="G119" s="17"/>
      <c r="H119" s="17" t="s">
        <v>41</v>
      </c>
      <c r="I119" s="17" t="s">
        <v>148</v>
      </c>
      <c r="J119" s="17" t="s">
        <v>768</v>
      </c>
      <c r="K119" s="17" t="s">
        <v>769</v>
      </c>
      <c r="L119" s="17" t="s">
        <v>45</v>
      </c>
      <c r="M119" s="17" t="s">
        <v>46</v>
      </c>
      <c r="N119" s="17" t="s">
        <v>46</v>
      </c>
      <c r="O119" s="17" t="s">
        <v>46</v>
      </c>
      <c r="P119" s="17" t="s">
        <v>46</v>
      </c>
      <c r="Q119" s="17" t="s">
        <v>46</v>
      </c>
      <c r="R119" s="17" t="s">
        <v>46</v>
      </c>
      <c r="S119" s="17">
        <v>1</v>
      </c>
      <c r="T119" s="17">
        <v>1</v>
      </c>
      <c r="U119" s="17" t="s">
        <v>770</v>
      </c>
      <c r="V119" s="18"/>
      <c r="W119" s="18"/>
      <c r="X119" s="18"/>
      <c r="Y119" s="18"/>
      <c r="Z119" s="18"/>
      <c r="AA119" s="18"/>
      <c r="AB119" s="18"/>
      <c r="AC119" s="18"/>
      <c r="AD119" s="18"/>
    </row>
    <row r="120" spans="1:41" s="42" customFormat="1" ht="17.149999999999999" customHeight="1">
      <c r="A120" s="38" t="s">
        <v>771</v>
      </c>
      <c r="B120" s="38" t="s">
        <v>772</v>
      </c>
      <c r="C120" s="38" t="s">
        <v>773</v>
      </c>
      <c r="D120" s="1" t="s">
        <v>774</v>
      </c>
      <c r="E120" s="1" t="s">
        <v>774</v>
      </c>
      <c r="F120" s="1" t="s">
        <v>773</v>
      </c>
      <c r="G120" s="1" t="s">
        <v>40</v>
      </c>
      <c r="H120" s="38" t="s">
        <v>110</v>
      </c>
      <c r="I120" s="38" t="s">
        <v>46</v>
      </c>
      <c r="J120" s="38" t="s">
        <v>775</v>
      </c>
      <c r="K120" s="38" t="s">
        <v>776</v>
      </c>
      <c r="L120" s="38" t="s">
        <v>118</v>
      </c>
      <c r="M120" s="38" t="s">
        <v>777</v>
      </c>
      <c r="N120" s="40">
        <v>4087901</v>
      </c>
      <c r="O120" s="38">
        <v>2019</v>
      </c>
      <c r="P120" s="40">
        <v>4087901</v>
      </c>
      <c r="Q120" s="38">
        <v>2024</v>
      </c>
      <c r="R120" s="38" t="s">
        <v>46</v>
      </c>
      <c r="S120" s="38">
        <v>1</v>
      </c>
      <c r="T120" s="38">
        <v>1</v>
      </c>
      <c r="U120" s="38" t="s">
        <v>778</v>
      </c>
      <c r="V120" s="39" t="s">
        <v>40</v>
      </c>
      <c r="W120" s="39" t="s">
        <v>323</v>
      </c>
      <c r="X120" s="39" t="s">
        <v>40</v>
      </c>
      <c r="Y120" s="39"/>
      <c r="Z120" s="39" t="s">
        <v>779</v>
      </c>
      <c r="AA120" s="43" t="s">
        <v>780</v>
      </c>
      <c r="AB120" s="39"/>
      <c r="AC120" s="39"/>
      <c r="AD120" s="39"/>
      <c r="AE120" s="39">
        <v>1</v>
      </c>
      <c r="AF120" s="39" t="s">
        <v>53</v>
      </c>
      <c r="AG120" s="39"/>
      <c r="AH120" s="2"/>
      <c r="AI120" s="2"/>
      <c r="AJ120" s="2" t="s">
        <v>57</v>
      </c>
      <c r="AK120" s="2"/>
      <c r="AL120" s="2"/>
      <c r="AM120" s="2"/>
      <c r="AN120" s="2"/>
      <c r="AO120" s="2"/>
    </row>
    <row r="121" spans="1:41" s="44" customFormat="1" ht="17.149999999999999" hidden="1" customHeight="1">
      <c r="A121" s="21" t="s">
        <v>781</v>
      </c>
      <c r="B121" s="21"/>
      <c r="C121" s="21" t="s">
        <v>782</v>
      </c>
      <c r="D121" s="17"/>
      <c r="E121" s="17"/>
      <c r="F121" s="17"/>
      <c r="G121" s="17"/>
      <c r="H121" s="21" t="s">
        <v>41</v>
      </c>
      <c r="I121" s="21" t="s">
        <v>135</v>
      </c>
      <c r="J121" s="21" t="s">
        <v>783</v>
      </c>
      <c r="K121" s="21" t="s">
        <v>784</v>
      </c>
      <c r="L121" s="21" t="s">
        <v>45</v>
      </c>
      <c r="M121" s="21" t="s">
        <v>46</v>
      </c>
      <c r="N121" s="21" t="s">
        <v>46</v>
      </c>
      <c r="O121" s="21" t="s">
        <v>46</v>
      </c>
      <c r="P121" s="21" t="s">
        <v>46</v>
      </c>
      <c r="Q121" s="21" t="s">
        <v>46</v>
      </c>
      <c r="R121" s="21" t="s">
        <v>46</v>
      </c>
      <c r="S121" s="21">
        <v>1</v>
      </c>
      <c r="T121" s="21">
        <v>1</v>
      </c>
      <c r="U121" s="21" t="s">
        <v>785</v>
      </c>
      <c r="V121" s="22" t="s">
        <v>786</v>
      </c>
      <c r="W121" s="22"/>
      <c r="X121" s="22"/>
      <c r="Y121" s="22"/>
      <c r="Z121" s="22"/>
      <c r="AA121" s="22"/>
      <c r="AB121" s="22"/>
      <c r="AC121" s="22" t="s">
        <v>787</v>
      </c>
      <c r="AD121" s="22"/>
    </row>
    <row r="122" spans="1:41" s="44" customFormat="1" ht="17.149999999999999" hidden="1" customHeight="1">
      <c r="A122" s="21" t="s">
        <v>788</v>
      </c>
      <c r="B122" s="21"/>
      <c r="C122" s="21" t="s">
        <v>789</v>
      </c>
      <c r="D122" s="17"/>
      <c r="E122" s="17"/>
      <c r="F122" s="17"/>
      <c r="G122" s="17"/>
      <c r="H122" s="21" t="s">
        <v>41</v>
      </c>
      <c r="I122" s="21" t="s">
        <v>518</v>
      </c>
      <c r="J122" s="21" t="s">
        <v>790</v>
      </c>
      <c r="K122" s="21" t="s">
        <v>791</v>
      </c>
      <c r="L122" s="21" t="s">
        <v>45</v>
      </c>
      <c r="M122" s="21" t="s">
        <v>46</v>
      </c>
      <c r="N122" s="21" t="s">
        <v>46</v>
      </c>
      <c r="O122" s="21" t="s">
        <v>46</v>
      </c>
      <c r="P122" s="21" t="s">
        <v>46</v>
      </c>
      <c r="Q122" s="21" t="s">
        <v>46</v>
      </c>
      <c r="R122" s="21" t="s">
        <v>46</v>
      </c>
      <c r="S122" s="21">
        <v>1</v>
      </c>
      <c r="T122" s="21">
        <v>1</v>
      </c>
      <c r="U122" s="21" t="s">
        <v>792</v>
      </c>
      <c r="V122" s="22" t="s">
        <v>786</v>
      </c>
      <c r="W122" s="22"/>
      <c r="X122" s="22"/>
      <c r="Y122" s="22"/>
      <c r="Z122" s="22"/>
      <c r="AA122" s="22"/>
      <c r="AB122" s="22"/>
      <c r="AC122" s="22"/>
      <c r="AD122" s="22"/>
    </row>
    <row r="123" spans="1:41" ht="17.149999999999999" customHeight="1">
      <c r="A123" s="14" t="s">
        <v>793</v>
      </c>
      <c r="B123" s="14" t="s">
        <v>37</v>
      </c>
      <c r="C123" s="56" t="s">
        <v>794</v>
      </c>
      <c r="D123" s="17" t="s">
        <v>794</v>
      </c>
      <c r="E123" s="17" t="s">
        <v>794</v>
      </c>
      <c r="F123" s="17" t="s">
        <v>62</v>
      </c>
      <c r="G123" s="61" t="s">
        <v>40</v>
      </c>
      <c r="H123" s="14" t="s">
        <v>41</v>
      </c>
      <c r="I123" s="14" t="s">
        <v>63</v>
      </c>
      <c r="J123" s="14" t="s">
        <v>795</v>
      </c>
      <c r="K123" s="14" t="s">
        <v>796</v>
      </c>
      <c r="L123" s="14" t="s">
        <v>45</v>
      </c>
      <c r="M123" s="14" t="s">
        <v>46</v>
      </c>
      <c r="N123" s="14" t="s">
        <v>46</v>
      </c>
      <c r="O123" s="14" t="s">
        <v>46</v>
      </c>
      <c r="P123" s="14" t="s">
        <v>46</v>
      </c>
      <c r="Q123" s="14" t="s">
        <v>46</v>
      </c>
      <c r="R123" s="14" t="s">
        <v>46</v>
      </c>
      <c r="S123" s="14">
        <v>1</v>
      </c>
      <c r="T123" s="14">
        <v>1</v>
      </c>
      <c r="U123" s="14" t="s">
        <v>797</v>
      </c>
      <c r="V123" s="6" t="s">
        <v>40</v>
      </c>
      <c r="W123" s="6" t="s">
        <v>411</v>
      </c>
      <c r="X123" s="6" t="s">
        <v>40</v>
      </c>
      <c r="Y123" s="6" t="s">
        <v>324</v>
      </c>
      <c r="Z123" s="6" t="s">
        <v>798</v>
      </c>
      <c r="AA123" s="6" t="s">
        <v>799</v>
      </c>
      <c r="AB123" s="76" t="s">
        <v>800</v>
      </c>
      <c r="AC123" s="6" t="s">
        <v>801</v>
      </c>
      <c r="AD123" s="6" t="s">
        <v>40</v>
      </c>
    </row>
    <row r="124" spans="1:41" ht="17.149999999999999" hidden="1" customHeight="1">
      <c r="A124" s="21" t="s">
        <v>802</v>
      </c>
      <c r="B124" s="21"/>
      <c r="C124" s="21" t="s">
        <v>803</v>
      </c>
      <c r="D124" s="17"/>
      <c r="E124" s="17"/>
      <c r="F124" s="17"/>
      <c r="G124" s="17"/>
      <c r="H124" s="21" t="s">
        <v>41</v>
      </c>
      <c r="I124" s="21" t="s">
        <v>63</v>
      </c>
      <c r="J124" s="21" t="s">
        <v>804</v>
      </c>
      <c r="K124" s="21" t="s">
        <v>805</v>
      </c>
      <c r="L124" s="21" t="s">
        <v>45</v>
      </c>
      <c r="M124" s="21" t="s">
        <v>46</v>
      </c>
      <c r="N124" s="21" t="s">
        <v>46</v>
      </c>
      <c r="O124" s="21" t="s">
        <v>46</v>
      </c>
      <c r="P124" s="21" t="s">
        <v>46</v>
      </c>
      <c r="Q124" s="21" t="s">
        <v>46</v>
      </c>
      <c r="R124" s="21" t="s">
        <v>46</v>
      </c>
      <c r="S124" s="21">
        <v>1</v>
      </c>
      <c r="T124" s="21">
        <v>1</v>
      </c>
      <c r="U124" s="104" t="s">
        <v>806</v>
      </c>
      <c r="V124" s="22"/>
      <c r="W124" s="22"/>
      <c r="X124" s="22"/>
      <c r="Y124" s="22"/>
      <c r="Z124" s="22"/>
      <c r="AA124" s="22"/>
      <c r="AB124" s="22"/>
      <c r="AC124" s="22"/>
      <c r="AD124" s="22"/>
    </row>
    <row r="125" spans="1:41" s="42" customFormat="1" ht="17.149999999999999" customHeight="1">
      <c r="A125" s="14" t="s">
        <v>807</v>
      </c>
      <c r="B125" s="14" t="s">
        <v>37</v>
      </c>
      <c r="C125" s="14" t="s">
        <v>808</v>
      </c>
      <c r="D125" t="s">
        <v>809</v>
      </c>
      <c r="E125" t="s">
        <v>809</v>
      </c>
      <c r="F125" t="s">
        <v>62</v>
      </c>
      <c r="G125" s="17"/>
      <c r="H125" s="14" t="s">
        <v>41</v>
      </c>
      <c r="I125" s="14" t="s">
        <v>518</v>
      </c>
      <c r="J125" s="14" t="s">
        <v>810</v>
      </c>
      <c r="K125" s="14" t="s">
        <v>811</v>
      </c>
      <c r="L125" s="14" t="s">
        <v>45</v>
      </c>
      <c r="M125" s="14" t="s">
        <v>46</v>
      </c>
      <c r="N125" s="14" t="s">
        <v>46</v>
      </c>
      <c r="O125" s="14" t="s">
        <v>46</v>
      </c>
      <c r="P125" s="14" t="s">
        <v>46</v>
      </c>
      <c r="Q125" s="14" t="s">
        <v>46</v>
      </c>
      <c r="R125" s="14" t="s">
        <v>46</v>
      </c>
      <c r="S125" s="14">
        <v>1</v>
      </c>
      <c r="T125" s="14">
        <v>1</v>
      </c>
      <c r="U125" s="14" t="s">
        <v>812</v>
      </c>
      <c r="V125" s="6" t="s">
        <v>40</v>
      </c>
      <c r="W125" s="6" t="s">
        <v>78</v>
      </c>
      <c r="X125" s="6"/>
      <c r="Y125" s="6" t="s">
        <v>324</v>
      </c>
      <c r="Z125" s="6" t="s">
        <v>813</v>
      </c>
      <c r="AA125" s="140" t="s">
        <v>814</v>
      </c>
      <c r="AB125" s="6"/>
      <c r="AC125" s="140" t="s">
        <v>815</v>
      </c>
      <c r="AD125" s="6" t="s">
        <v>40</v>
      </c>
      <c r="AI125" s="42" t="s">
        <v>816</v>
      </c>
      <c r="AJ125" s="42" t="s">
        <v>57</v>
      </c>
    </row>
    <row r="126" spans="1:41" s="42" customFormat="1" ht="17.149999999999999" hidden="1" customHeight="1">
      <c r="A126" s="24" t="s">
        <v>817</v>
      </c>
      <c r="B126" s="24" t="s">
        <v>37</v>
      </c>
      <c r="C126" s="62" t="s">
        <v>818</v>
      </c>
      <c r="D126" s="61"/>
      <c r="E126" s="61"/>
      <c r="F126" s="61"/>
      <c r="G126" s="61"/>
      <c r="H126" s="24" t="s">
        <v>41</v>
      </c>
      <c r="I126" s="24" t="s">
        <v>63</v>
      </c>
      <c r="J126" s="24" t="s">
        <v>819</v>
      </c>
      <c r="K126" s="24" t="s">
        <v>820</v>
      </c>
      <c r="L126" s="24" t="s">
        <v>45</v>
      </c>
      <c r="M126" s="24" t="s">
        <v>821</v>
      </c>
      <c r="N126" s="24" t="s">
        <v>46</v>
      </c>
      <c r="O126" s="24" t="s">
        <v>46</v>
      </c>
      <c r="P126" s="24" t="s">
        <v>46</v>
      </c>
      <c r="Q126" s="24" t="s">
        <v>46</v>
      </c>
      <c r="R126" s="24" t="s">
        <v>46</v>
      </c>
      <c r="S126" s="24">
        <v>1</v>
      </c>
      <c r="T126" s="24">
        <v>1</v>
      </c>
      <c r="U126" s="24" t="s">
        <v>822</v>
      </c>
      <c r="V126" s="25" t="s">
        <v>823</v>
      </c>
      <c r="W126" s="25"/>
      <c r="X126" s="25"/>
      <c r="Y126" s="25"/>
      <c r="Z126" s="25"/>
      <c r="AA126" s="25"/>
      <c r="AB126" s="25"/>
      <c r="AC126" s="25" t="s">
        <v>824</v>
      </c>
      <c r="AD126" s="25"/>
      <c r="AE126" s="2"/>
      <c r="AF126" s="2"/>
      <c r="AG126" s="2"/>
      <c r="AH126" s="2"/>
      <c r="AI126" s="2"/>
      <c r="AJ126" s="2"/>
    </row>
    <row r="127" spans="1:41" ht="17.149999999999999" hidden="1" customHeight="1">
      <c r="A127" s="21" t="s">
        <v>825</v>
      </c>
      <c r="B127" s="21"/>
      <c r="C127" s="21" t="s">
        <v>826</v>
      </c>
      <c r="D127" s="17"/>
      <c r="E127" s="17"/>
      <c r="F127" s="17"/>
      <c r="G127" s="17"/>
      <c r="H127" s="21" t="s">
        <v>41</v>
      </c>
      <c r="I127" s="21" t="s">
        <v>135</v>
      </c>
      <c r="J127" s="21" t="s">
        <v>827</v>
      </c>
      <c r="K127" s="21" t="s">
        <v>828</v>
      </c>
      <c r="L127" s="21" t="s">
        <v>45</v>
      </c>
      <c r="M127" s="21" t="s">
        <v>46</v>
      </c>
      <c r="N127" s="21" t="s">
        <v>46</v>
      </c>
      <c r="O127" s="21" t="s">
        <v>46</v>
      </c>
      <c r="P127" s="21" t="s">
        <v>46</v>
      </c>
      <c r="Q127" s="21" t="s">
        <v>46</v>
      </c>
      <c r="R127" s="21" t="s">
        <v>46</v>
      </c>
      <c r="S127" s="21">
        <v>1</v>
      </c>
      <c r="T127" s="21">
        <v>1</v>
      </c>
      <c r="U127" s="21" t="s">
        <v>829</v>
      </c>
      <c r="V127" s="22"/>
      <c r="W127" s="22"/>
      <c r="X127" s="22"/>
      <c r="Y127" s="22"/>
      <c r="Z127" s="22"/>
      <c r="AA127" s="22"/>
      <c r="AB127" s="22"/>
      <c r="AC127" s="22"/>
      <c r="AD127" s="22"/>
    </row>
    <row r="128" spans="1:41" ht="17.149999999999999" hidden="1" customHeight="1">
      <c r="A128" s="21" t="s">
        <v>830</v>
      </c>
      <c r="B128" s="21"/>
      <c r="C128" s="21" t="s">
        <v>831</v>
      </c>
      <c r="D128" s="17"/>
      <c r="E128" s="17"/>
      <c r="F128" s="17"/>
      <c r="G128" s="17"/>
      <c r="H128" s="21" t="s">
        <v>41</v>
      </c>
      <c r="I128" s="21" t="s">
        <v>63</v>
      </c>
      <c r="J128" s="21" t="s">
        <v>832</v>
      </c>
      <c r="K128" s="21" t="s">
        <v>833</v>
      </c>
      <c r="L128" s="21" t="s">
        <v>45</v>
      </c>
      <c r="M128" s="21" t="s">
        <v>46</v>
      </c>
      <c r="N128" s="21" t="s">
        <v>46</v>
      </c>
      <c r="O128" s="21" t="s">
        <v>46</v>
      </c>
      <c r="P128" s="21" t="s">
        <v>46</v>
      </c>
      <c r="Q128" s="21" t="s">
        <v>46</v>
      </c>
      <c r="R128" s="21" t="s">
        <v>46</v>
      </c>
      <c r="S128" s="21">
        <v>1</v>
      </c>
      <c r="T128" s="21">
        <v>1</v>
      </c>
      <c r="U128" s="21" t="s">
        <v>834</v>
      </c>
      <c r="V128" s="22"/>
      <c r="W128" s="22"/>
      <c r="X128" s="22"/>
      <c r="Y128" s="22"/>
      <c r="Z128" s="22"/>
      <c r="AA128" s="22"/>
      <c r="AB128" s="22"/>
      <c r="AC128" s="22"/>
      <c r="AD128" s="22"/>
    </row>
    <row r="129" spans="1:41" s="42" customFormat="1" ht="17.149999999999999" hidden="1" customHeight="1">
      <c r="A129" s="21" t="s">
        <v>835</v>
      </c>
      <c r="B129" s="21"/>
      <c r="C129" s="21" t="s">
        <v>836</v>
      </c>
      <c r="D129" s="17"/>
      <c r="E129" s="17"/>
      <c r="F129" s="17"/>
      <c r="G129" s="17"/>
      <c r="H129" s="21" t="s">
        <v>41</v>
      </c>
      <c r="I129" s="21" t="s">
        <v>135</v>
      </c>
      <c r="J129" s="21" t="s">
        <v>837</v>
      </c>
      <c r="K129" s="21" t="s">
        <v>838</v>
      </c>
      <c r="L129" s="21" t="s">
        <v>45</v>
      </c>
      <c r="M129" s="21" t="s">
        <v>46</v>
      </c>
      <c r="N129" s="21" t="s">
        <v>46</v>
      </c>
      <c r="O129" s="21" t="s">
        <v>46</v>
      </c>
      <c r="P129" s="21" t="s">
        <v>46</v>
      </c>
      <c r="Q129" s="21" t="s">
        <v>46</v>
      </c>
      <c r="R129" s="21" t="s">
        <v>46</v>
      </c>
      <c r="S129" s="21">
        <v>1</v>
      </c>
      <c r="T129" s="21">
        <v>1</v>
      </c>
      <c r="U129" s="21" t="s">
        <v>839</v>
      </c>
      <c r="V129" s="22" t="s">
        <v>840</v>
      </c>
      <c r="W129" s="22"/>
      <c r="X129" s="22"/>
      <c r="Y129" s="22"/>
      <c r="Z129" s="22"/>
      <c r="AA129" s="22"/>
      <c r="AB129" s="22"/>
      <c r="AC129" s="22"/>
      <c r="AD129" s="22"/>
      <c r="AE129" s="2"/>
      <c r="AF129" s="2"/>
      <c r="AG129" s="2"/>
      <c r="AH129" s="2"/>
      <c r="AI129" s="2"/>
      <c r="AJ129" s="2"/>
    </row>
    <row r="130" spans="1:41" s="42" customFormat="1" ht="17.149999999999999" customHeight="1">
      <c r="A130" s="14" t="s">
        <v>841</v>
      </c>
      <c r="B130" s="14" t="s">
        <v>37</v>
      </c>
      <c r="C130" s="14" t="s">
        <v>842</v>
      </c>
      <c r="D130" s="17" t="s">
        <v>843</v>
      </c>
      <c r="E130" s="17" t="s">
        <v>843</v>
      </c>
      <c r="F130" s="1" t="s">
        <v>62</v>
      </c>
      <c r="G130" s="17" t="s">
        <v>40</v>
      </c>
      <c r="H130" s="14" t="s">
        <v>41</v>
      </c>
      <c r="I130" s="14" t="s">
        <v>148</v>
      </c>
      <c r="J130" s="14" t="s">
        <v>844</v>
      </c>
      <c r="K130" s="14" t="s">
        <v>845</v>
      </c>
      <c r="L130" s="14" t="s">
        <v>45</v>
      </c>
      <c r="M130" s="14" t="s">
        <v>46</v>
      </c>
      <c r="N130" s="14" t="s">
        <v>46</v>
      </c>
      <c r="O130" s="14" t="s">
        <v>46</v>
      </c>
      <c r="P130" s="14" t="s">
        <v>46</v>
      </c>
      <c r="Q130" s="14" t="s">
        <v>46</v>
      </c>
      <c r="R130" s="14" t="s">
        <v>46</v>
      </c>
      <c r="S130" s="14">
        <v>1</v>
      </c>
      <c r="T130" s="14">
        <v>1</v>
      </c>
      <c r="U130" s="14" t="s">
        <v>846</v>
      </c>
      <c r="V130" s="6" t="s">
        <v>40</v>
      </c>
      <c r="W130" s="6" t="s">
        <v>78</v>
      </c>
      <c r="X130" s="6" t="s">
        <v>40</v>
      </c>
      <c r="Y130" s="6" t="s">
        <v>324</v>
      </c>
      <c r="Z130" s="6" t="s">
        <v>847</v>
      </c>
      <c r="AA130" s="6" t="s">
        <v>848</v>
      </c>
      <c r="AB130" s="6"/>
      <c r="AC130" s="6" t="s">
        <v>849</v>
      </c>
      <c r="AD130" s="6" t="s">
        <v>40</v>
      </c>
      <c r="AE130" s="42">
        <v>1</v>
      </c>
      <c r="AF130" s="42" t="s">
        <v>850</v>
      </c>
      <c r="AG130" s="42" t="s">
        <v>145</v>
      </c>
      <c r="AH130" s="42" t="s">
        <v>286</v>
      </c>
      <c r="AI130" s="42" t="s">
        <v>286</v>
      </c>
    </row>
    <row r="131" spans="1:41" ht="17.149999999999999" hidden="1" customHeight="1">
      <c r="A131" s="17" t="s">
        <v>851</v>
      </c>
      <c r="B131" s="17"/>
      <c r="C131" s="17" t="s">
        <v>852</v>
      </c>
      <c r="D131" s="17"/>
      <c r="E131" s="17"/>
      <c r="F131" s="17"/>
      <c r="G131" s="17"/>
      <c r="H131" s="17" t="s">
        <v>41</v>
      </c>
      <c r="I131" s="17" t="s">
        <v>63</v>
      </c>
      <c r="J131" s="17" t="s">
        <v>853</v>
      </c>
      <c r="K131" s="17" t="s">
        <v>854</v>
      </c>
      <c r="L131" s="17" t="s">
        <v>45</v>
      </c>
      <c r="M131" s="17" t="s">
        <v>46</v>
      </c>
      <c r="N131" s="17" t="s">
        <v>46</v>
      </c>
      <c r="O131" s="17" t="s">
        <v>46</v>
      </c>
      <c r="P131" s="17" t="s">
        <v>46</v>
      </c>
      <c r="Q131" s="17" t="s">
        <v>46</v>
      </c>
      <c r="R131" s="17" t="s">
        <v>46</v>
      </c>
      <c r="S131" s="17">
        <v>1</v>
      </c>
      <c r="T131" s="17">
        <v>1</v>
      </c>
      <c r="U131" s="17" t="s">
        <v>855</v>
      </c>
      <c r="V131" s="18"/>
      <c r="W131" s="18"/>
      <c r="X131" s="18"/>
      <c r="Y131" s="18"/>
      <c r="Z131" s="18"/>
      <c r="AA131" s="18"/>
      <c r="AB131" s="18"/>
      <c r="AC131" s="18"/>
      <c r="AD131" s="18"/>
    </row>
    <row r="132" spans="1:41" ht="17.149999999999999" customHeight="1">
      <c r="A132" s="41" t="s">
        <v>856</v>
      </c>
      <c r="B132" s="41" t="s">
        <v>857</v>
      </c>
      <c r="C132" s="41" t="s">
        <v>858</v>
      </c>
      <c r="D132" s="144" t="s">
        <v>858</v>
      </c>
      <c r="E132" s="144" t="s">
        <v>858</v>
      </c>
      <c r="F132" s="1" t="s">
        <v>62</v>
      </c>
      <c r="G132" s="1" t="s">
        <v>40</v>
      </c>
      <c r="H132" s="41" t="s">
        <v>110</v>
      </c>
      <c r="I132" s="41" t="s">
        <v>46</v>
      </c>
      <c r="J132" s="41" t="s">
        <v>859</v>
      </c>
      <c r="K132" s="41" t="s">
        <v>860</v>
      </c>
      <c r="L132" s="41" t="s">
        <v>118</v>
      </c>
      <c r="M132" s="41" t="s">
        <v>861</v>
      </c>
      <c r="N132" s="105">
        <v>226000</v>
      </c>
      <c r="O132" s="41">
        <v>2015</v>
      </c>
      <c r="P132" s="105">
        <v>226000</v>
      </c>
      <c r="Q132" s="41">
        <v>2024</v>
      </c>
      <c r="R132" s="41" t="s">
        <v>46</v>
      </c>
      <c r="S132" s="41">
        <v>1</v>
      </c>
      <c r="T132" s="41">
        <v>1</v>
      </c>
      <c r="U132" s="41" t="s">
        <v>862</v>
      </c>
      <c r="V132" s="42" t="s">
        <v>40</v>
      </c>
      <c r="W132" s="42" t="s">
        <v>323</v>
      </c>
      <c r="X132" s="42" t="s">
        <v>40</v>
      </c>
      <c r="Y132" s="42"/>
      <c r="Z132" s="42" t="s">
        <v>863</v>
      </c>
      <c r="AA132" s="42" t="s">
        <v>864</v>
      </c>
      <c r="AB132" s="42"/>
      <c r="AC132" s="42"/>
      <c r="AD132" s="42" t="s">
        <v>40</v>
      </c>
      <c r="AE132" s="42">
        <v>1</v>
      </c>
      <c r="AF132" s="42" t="s">
        <v>53</v>
      </c>
      <c r="AG132" s="42"/>
      <c r="AJ132" s="2" t="s">
        <v>57</v>
      </c>
    </row>
    <row r="133" spans="1:41" ht="17.149999999999999" hidden="1" customHeight="1">
      <c r="A133" s="17" t="s">
        <v>865</v>
      </c>
      <c r="B133" s="17"/>
      <c r="C133" s="17" t="s">
        <v>866</v>
      </c>
      <c r="D133" s="17"/>
      <c r="E133" s="17"/>
      <c r="F133" s="17"/>
      <c r="G133" s="17"/>
      <c r="H133" s="17" t="s">
        <v>41</v>
      </c>
      <c r="I133" s="17" t="s">
        <v>63</v>
      </c>
      <c r="J133" s="17" t="s">
        <v>867</v>
      </c>
      <c r="K133" s="17" t="s">
        <v>868</v>
      </c>
      <c r="L133" s="17" t="s">
        <v>45</v>
      </c>
      <c r="M133" s="17" t="s">
        <v>46</v>
      </c>
      <c r="N133" s="17" t="s">
        <v>46</v>
      </c>
      <c r="O133" s="17" t="s">
        <v>46</v>
      </c>
      <c r="P133" s="17" t="s">
        <v>46</v>
      </c>
      <c r="Q133" s="17" t="s">
        <v>46</v>
      </c>
      <c r="R133" s="17" t="s">
        <v>46</v>
      </c>
      <c r="S133" s="17">
        <v>1</v>
      </c>
      <c r="T133" s="17">
        <v>1</v>
      </c>
      <c r="U133" s="17" t="s">
        <v>869</v>
      </c>
      <c r="V133" s="18"/>
      <c r="W133" s="18"/>
      <c r="X133" s="18"/>
      <c r="Y133" s="18"/>
      <c r="Z133" s="18"/>
      <c r="AA133" s="18"/>
      <c r="AB133" s="18"/>
      <c r="AC133" s="18"/>
      <c r="AD133" s="18"/>
    </row>
    <row r="134" spans="1:41" s="42" customFormat="1" ht="17.149999999999999" customHeight="1">
      <c r="A134" s="1" t="s">
        <v>870</v>
      </c>
      <c r="B134" s="1" t="s">
        <v>175</v>
      </c>
      <c r="C134" s="47" t="s">
        <v>871</v>
      </c>
      <c r="D134" s="1" t="s">
        <v>872</v>
      </c>
      <c r="E134" s="1" t="s">
        <v>873</v>
      </c>
      <c r="F134" s="1" t="s">
        <v>874</v>
      </c>
      <c r="G134" s="1"/>
      <c r="H134" s="1" t="s">
        <v>177</v>
      </c>
      <c r="I134" s="1" t="s">
        <v>236</v>
      </c>
      <c r="J134" s="1" t="s">
        <v>236</v>
      </c>
      <c r="K134" s="1" t="s">
        <v>875</v>
      </c>
      <c r="L134" s="1" t="s">
        <v>118</v>
      </c>
      <c r="M134" s="1" t="s">
        <v>46</v>
      </c>
      <c r="N134" s="1">
        <v>3000000</v>
      </c>
      <c r="O134" s="1">
        <v>2019</v>
      </c>
      <c r="P134" s="1">
        <v>3000000</v>
      </c>
      <c r="Q134" s="1">
        <v>2019</v>
      </c>
      <c r="R134" s="1" t="s">
        <v>46</v>
      </c>
      <c r="S134" s="1">
        <v>1</v>
      </c>
      <c r="T134" s="1" t="s">
        <v>46</v>
      </c>
      <c r="U134" s="57" t="s">
        <v>876</v>
      </c>
      <c r="AK134" s="2"/>
      <c r="AL134" s="2"/>
      <c r="AM134" s="2"/>
      <c r="AN134" s="2"/>
      <c r="AO134" s="2"/>
    </row>
    <row r="135" spans="1:41" ht="17.149999999999999" hidden="1" customHeight="1">
      <c r="A135" s="17" t="s">
        <v>877</v>
      </c>
      <c r="B135" s="17" t="s">
        <v>37</v>
      </c>
      <c r="C135" s="17" t="s">
        <v>878</v>
      </c>
      <c r="D135" s="17"/>
      <c r="E135" s="17"/>
      <c r="F135" s="17"/>
      <c r="G135" s="17"/>
      <c r="H135" s="17" t="s">
        <v>41</v>
      </c>
      <c r="I135" s="17" t="s">
        <v>63</v>
      </c>
      <c r="J135" s="17" t="s">
        <v>879</v>
      </c>
      <c r="K135" s="17" t="s">
        <v>880</v>
      </c>
      <c r="L135" s="17" t="s">
        <v>45</v>
      </c>
      <c r="M135" s="17" t="s">
        <v>46</v>
      </c>
      <c r="N135" s="17" t="s">
        <v>46</v>
      </c>
      <c r="O135" s="17" t="s">
        <v>46</v>
      </c>
      <c r="P135" s="17" t="s">
        <v>46</v>
      </c>
      <c r="Q135" s="17" t="s">
        <v>46</v>
      </c>
      <c r="R135" s="17" t="s">
        <v>46</v>
      </c>
      <c r="S135" s="17">
        <v>1</v>
      </c>
      <c r="T135" s="17">
        <v>1</v>
      </c>
      <c r="U135" s="17" t="s">
        <v>881</v>
      </c>
      <c r="V135" s="18" t="s">
        <v>882</v>
      </c>
      <c r="W135" s="18"/>
      <c r="X135" s="18"/>
      <c r="Y135" s="18"/>
      <c r="Z135" s="18"/>
      <c r="AA135" s="18" t="s">
        <v>883</v>
      </c>
      <c r="AB135" s="18"/>
      <c r="AC135" s="18" t="s">
        <v>884</v>
      </c>
      <c r="AD135" s="18"/>
    </row>
    <row r="136" spans="1:41" s="44" customFormat="1" ht="17.149999999999999" hidden="1" customHeight="1">
      <c r="A136" s="21" t="s">
        <v>885</v>
      </c>
      <c r="B136" s="17" t="s">
        <v>37</v>
      </c>
      <c r="C136" s="21" t="s">
        <v>886</v>
      </c>
      <c r="D136" s="17"/>
      <c r="E136" s="17"/>
      <c r="F136" s="17"/>
      <c r="G136" s="17"/>
      <c r="H136" s="21" t="s">
        <v>41</v>
      </c>
      <c r="I136" s="21" t="s">
        <v>63</v>
      </c>
      <c r="J136" s="21" t="s">
        <v>887</v>
      </c>
      <c r="K136" s="21" t="s">
        <v>888</v>
      </c>
      <c r="L136" s="21" t="s">
        <v>45</v>
      </c>
      <c r="M136" s="21" t="s">
        <v>46</v>
      </c>
      <c r="N136" s="21">
        <v>170311</v>
      </c>
      <c r="O136" s="21">
        <v>2016</v>
      </c>
      <c r="P136" s="21" t="s">
        <v>46</v>
      </c>
      <c r="Q136" s="21" t="s">
        <v>46</v>
      </c>
      <c r="R136" s="21" t="s">
        <v>46</v>
      </c>
      <c r="S136" s="21">
        <v>1</v>
      </c>
      <c r="T136" s="21">
        <v>1</v>
      </c>
      <c r="U136" s="21" t="s">
        <v>889</v>
      </c>
      <c r="V136" s="22"/>
      <c r="W136" s="22"/>
      <c r="X136" s="22"/>
      <c r="Y136" s="22"/>
      <c r="Z136" s="22"/>
      <c r="AA136" s="22"/>
      <c r="AB136" s="22"/>
      <c r="AC136" s="22"/>
      <c r="AD136" s="22"/>
    </row>
    <row r="137" spans="1:41" s="44" customFormat="1" ht="17.149999999999999" hidden="1" customHeight="1">
      <c r="A137" s="21" t="s">
        <v>890</v>
      </c>
      <c r="B137" s="17" t="s">
        <v>37</v>
      </c>
      <c r="C137" s="21" t="s">
        <v>891</v>
      </c>
      <c r="D137" s="17"/>
      <c r="E137" s="17"/>
      <c r="F137" s="17"/>
      <c r="G137" s="17"/>
      <c r="H137" s="21" t="s">
        <v>41</v>
      </c>
      <c r="I137" s="21" t="s">
        <v>551</v>
      </c>
      <c r="J137" s="21" t="s">
        <v>892</v>
      </c>
      <c r="K137" s="21" t="s">
        <v>893</v>
      </c>
      <c r="L137" s="21" t="s">
        <v>45</v>
      </c>
      <c r="M137" s="21" t="s">
        <v>46</v>
      </c>
      <c r="N137" s="21"/>
      <c r="O137" s="21" t="s">
        <v>46</v>
      </c>
      <c r="P137" s="21" t="s">
        <v>46</v>
      </c>
      <c r="Q137" s="21" t="s">
        <v>46</v>
      </c>
      <c r="R137" s="21" t="s">
        <v>46</v>
      </c>
      <c r="S137" s="21">
        <v>1</v>
      </c>
      <c r="T137" s="21">
        <v>1</v>
      </c>
      <c r="U137" s="21" t="s">
        <v>894</v>
      </c>
      <c r="V137" s="22"/>
      <c r="W137" s="22"/>
      <c r="X137" s="22"/>
      <c r="Y137" s="22"/>
      <c r="Z137" s="22"/>
      <c r="AA137" s="22"/>
      <c r="AB137" s="22"/>
      <c r="AC137" s="22"/>
      <c r="AD137" s="22"/>
    </row>
    <row r="138" spans="1:41" s="44" customFormat="1" ht="17.149999999999999" hidden="1" customHeight="1">
      <c r="A138" s="21" t="s">
        <v>895</v>
      </c>
      <c r="B138" s="17" t="s">
        <v>37</v>
      </c>
      <c r="C138" s="21" t="s">
        <v>896</v>
      </c>
      <c r="D138" s="17"/>
      <c r="E138" s="17"/>
      <c r="F138" s="17"/>
      <c r="G138" s="17"/>
      <c r="H138" s="21" t="s">
        <v>41</v>
      </c>
      <c r="I138" s="21" t="s">
        <v>518</v>
      </c>
      <c r="J138" s="21" t="s">
        <v>897</v>
      </c>
      <c r="K138" s="21" t="s">
        <v>898</v>
      </c>
      <c r="L138" s="21" t="s">
        <v>45</v>
      </c>
      <c r="M138" s="21" t="s">
        <v>46</v>
      </c>
      <c r="N138" s="21" t="s">
        <v>46</v>
      </c>
      <c r="O138" s="21" t="s">
        <v>46</v>
      </c>
      <c r="P138" s="21" t="s">
        <v>46</v>
      </c>
      <c r="Q138" s="21" t="s">
        <v>46</v>
      </c>
      <c r="R138" s="21" t="s">
        <v>46</v>
      </c>
      <c r="S138" s="21">
        <v>1</v>
      </c>
      <c r="T138" s="21">
        <v>1</v>
      </c>
      <c r="U138" s="21" t="s">
        <v>899</v>
      </c>
      <c r="V138" s="22"/>
      <c r="W138" s="22"/>
      <c r="X138" s="22"/>
      <c r="Y138" s="22"/>
      <c r="Z138" s="22"/>
      <c r="AA138" s="22"/>
      <c r="AB138" s="22"/>
      <c r="AC138" s="22"/>
      <c r="AD138" s="22"/>
      <c r="AG138" s="44" t="s">
        <v>900</v>
      </c>
    </row>
    <row r="139" spans="1:41" s="44" customFormat="1" ht="17.149999999999999" hidden="1" customHeight="1">
      <c r="A139" s="21" t="s">
        <v>901</v>
      </c>
      <c r="B139" s="17" t="s">
        <v>37</v>
      </c>
      <c r="C139" s="21" t="s">
        <v>902</v>
      </c>
      <c r="D139" s="17"/>
      <c r="E139" s="17"/>
      <c r="F139" s="17"/>
      <c r="G139" s="17"/>
      <c r="H139" s="21" t="s">
        <v>41</v>
      </c>
      <c r="I139" s="21" t="s">
        <v>135</v>
      </c>
      <c r="J139" s="21" t="s">
        <v>903</v>
      </c>
      <c r="K139" s="21" t="s">
        <v>904</v>
      </c>
      <c r="L139" s="21" t="s">
        <v>45</v>
      </c>
      <c r="M139" s="21" t="s">
        <v>46</v>
      </c>
      <c r="N139" s="21" t="s">
        <v>46</v>
      </c>
      <c r="O139" s="21" t="s">
        <v>46</v>
      </c>
      <c r="P139" s="21" t="s">
        <v>46</v>
      </c>
      <c r="Q139" s="21" t="s">
        <v>46</v>
      </c>
      <c r="R139" s="21" t="s">
        <v>46</v>
      </c>
      <c r="S139" s="21">
        <v>1</v>
      </c>
      <c r="T139" s="21">
        <v>1</v>
      </c>
      <c r="U139" s="21" t="s">
        <v>905</v>
      </c>
      <c r="V139" s="22"/>
      <c r="W139" s="22"/>
      <c r="X139" s="22"/>
      <c r="Y139" s="22"/>
      <c r="Z139" s="22"/>
      <c r="AA139" s="22"/>
      <c r="AB139" s="22"/>
      <c r="AC139" s="22"/>
      <c r="AD139" s="22"/>
      <c r="AG139" s="44" t="s">
        <v>900</v>
      </c>
    </row>
    <row r="140" spans="1:41" s="42" customFormat="1" ht="17.149999999999999" customHeight="1">
      <c r="A140" s="1" t="s">
        <v>906</v>
      </c>
      <c r="B140" s="1" t="s">
        <v>175</v>
      </c>
      <c r="C140" s="1" t="s">
        <v>907</v>
      </c>
      <c r="D140" s="144" t="s">
        <v>907</v>
      </c>
      <c r="E140" s="144" t="s">
        <v>907</v>
      </c>
      <c r="F140" s="1" t="s">
        <v>62</v>
      </c>
      <c r="G140" s="1" t="s">
        <v>40</v>
      </c>
      <c r="H140" s="1" t="s">
        <v>128</v>
      </c>
      <c r="I140" s="1" t="s">
        <v>908</v>
      </c>
      <c r="J140" s="1" t="s">
        <v>908</v>
      </c>
      <c r="K140" s="1" t="s">
        <v>909</v>
      </c>
      <c r="L140" s="1" t="s">
        <v>45</v>
      </c>
      <c r="M140" s="1" t="s">
        <v>46</v>
      </c>
      <c r="N140" s="1">
        <v>370000</v>
      </c>
      <c r="O140" s="1">
        <v>2018</v>
      </c>
      <c r="P140" s="1">
        <v>494500</v>
      </c>
      <c r="Q140" s="1">
        <v>2015</v>
      </c>
      <c r="R140" s="1" t="s">
        <v>46</v>
      </c>
      <c r="S140" s="1">
        <v>1</v>
      </c>
      <c r="T140" s="1">
        <v>1</v>
      </c>
      <c r="U140" s="57" t="s">
        <v>910</v>
      </c>
      <c r="V140" s="2" t="s">
        <v>40</v>
      </c>
      <c r="W140" s="2" t="s">
        <v>78</v>
      </c>
      <c r="X140" s="2" t="s">
        <v>40</v>
      </c>
      <c r="Y140" s="2"/>
      <c r="Z140" s="80" t="s">
        <v>911</v>
      </c>
      <c r="AA140" s="78" t="s">
        <v>910</v>
      </c>
      <c r="AB140" s="2" t="s">
        <v>912</v>
      </c>
      <c r="AC140" s="2"/>
      <c r="AD140" s="2"/>
      <c r="AE140" s="2"/>
      <c r="AF140" s="2"/>
      <c r="AG140" s="2"/>
      <c r="AH140" s="2"/>
      <c r="AI140" s="2"/>
      <c r="AJ140" s="2" t="s">
        <v>57</v>
      </c>
      <c r="AK140" s="2"/>
      <c r="AL140" s="2"/>
      <c r="AM140" s="2"/>
      <c r="AN140" s="2"/>
      <c r="AO140" s="2"/>
    </row>
    <row r="141" spans="1:41" s="42" customFormat="1" ht="17.149999999999999" hidden="1" customHeight="1">
      <c r="A141" s="14" t="s">
        <v>913</v>
      </c>
      <c r="B141" s="17" t="s">
        <v>37</v>
      </c>
      <c r="C141" s="14" t="s">
        <v>914</v>
      </c>
      <c r="D141" s="17"/>
      <c r="E141" s="17"/>
      <c r="F141" s="17"/>
      <c r="G141" s="17"/>
      <c r="H141" s="14" t="s">
        <v>41</v>
      </c>
      <c r="I141" s="14" t="s">
        <v>135</v>
      </c>
      <c r="J141" s="14" t="s">
        <v>915</v>
      </c>
      <c r="K141" s="14" t="s">
        <v>916</v>
      </c>
      <c r="L141" s="14" t="s">
        <v>45</v>
      </c>
      <c r="M141" s="14" t="s">
        <v>46</v>
      </c>
      <c r="N141" s="14" t="s">
        <v>46</v>
      </c>
      <c r="O141" s="14" t="s">
        <v>46</v>
      </c>
      <c r="P141" s="14" t="s">
        <v>46</v>
      </c>
      <c r="Q141" s="14" t="s">
        <v>46</v>
      </c>
      <c r="R141" s="14" t="s">
        <v>46</v>
      </c>
      <c r="S141" s="14">
        <v>1</v>
      </c>
      <c r="T141" s="14">
        <v>1</v>
      </c>
      <c r="U141" s="14" t="s">
        <v>917</v>
      </c>
      <c r="V141" s="6" t="s">
        <v>40</v>
      </c>
      <c r="W141" s="6" t="s">
        <v>323</v>
      </c>
      <c r="X141" s="6"/>
      <c r="Y141" s="6"/>
      <c r="Z141" s="6" t="s">
        <v>918</v>
      </c>
      <c r="AA141" s="6" t="s">
        <v>919</v>
      </c>
      <c r="AB141" s="6"/>
      <c r="AC141" s="6"/>
      <c r="AD141" s="6"/>
    </row>
    <row r="142" spans="1:41" s="44" customFormat="1" ht="17.149999999999999" hidden="1" customHeight="1">
      <c r="A142" s="21" t="s">
        <v>920</v>
      </c>
      <c r="B142" s="17" t="s">
        <v>37</v>
      </c>
      <c r="C142" s="21" t="s">
        <v>921</v>
      </c>
      <c r="D142" s="17"/>
      <c r="E142" s="17"/>
      <c r="F142" s="17"/>
      <c r="G142" s="17"/>
      <c r="H142" s="21" t="s">
        <v>41</v>
      </c>
      <c r="I142" s="21" t="s">
        <v>63</v>
      </c>
      <c r="J142" s="21" t="s">
        <v>922</v>
      </c>
      <c r="K142" s="21" t="s">
        <v>923</v>
      </c>
      <c r="L142" s="21" t="s">
        <v>45</v>
      </c>
      <c r="M142" s="21" t="s">
        <v>46</v>
      </c>
      <c r="N142" s="21" t="s">
        <v>46</v>
      </c>
      <c r="O142" s="21" t="s">
        <v>46</v>
      </c>
      <c r="P142" s="21" t="s">
        <v>46</v>
      </c>
      <c r="Q142" s="21" t="s">
        <v>46</v>
      </c>
      <c r="R142" s="21" t="s">
        <v>46</v>
      </c>
      <c r="S142" s="21">
        <v>1</v>
      </c>
      <c r="T142" s="21">
        <v>1</v>
      </c>
      <c r="U142" s="21" t="s">
        <v>924</v>
      </c>
      <c r="V142" s="22"/>
      <c r="W142" s="22"/>
      <c r="X142" s="22"/>
      <c r="Y142" s="22"/>
      <c r="Z142" s="22"/>
      <c r="AA142" s="22"/>
      <c r="AB142" s="22"/>
      <c r="AC142" s="22"/>
      <c r="AD142" s="22"/>
    </row>
    <row r="143" spans="1:41" s="42" customFormat="1" ht="17.149999999999999" customHeight="1">
      <c r="A143" s="1">
        <v>22936</v>
      </c>
      <c r="B143" s="1" t="s">
        <v>175</v>
      </c>
      <c r="C143" s="1" t="s">
        <v>925</v>
      </c>
      <c r="D143" s="1" t="s">
        <v>925</v>
      </c>
      <c r="E143" s="1" t="s">
        <v>925</v>
      </c>
      <c r="F143" s="1" t="s">
        <v>62</v>
      </c>
      <c r="G143" s="1" t="s">
        <v>40</v>
      </c>
      <c r="H143" s="1" t="s">
        <v>128</v>
      </c>
      <c r="I143" s="1" t="s">
        <v>926</v>
      </c>
      <c r="J143" s="1" t="s">
        <v>926</v>
      </c>
      <c r="K143" s="1" t="s">
        <v>927</v>
      </c>
      <c r="L143" s="1" t="s">
        <v>45</v>
      </c>
      <c r="M143" s="1" t="s">
        <v>928</v>
      </c>
      <c r="N143" s="1" t="s">
        <v>46</v>
      </c>
      <c r="O143" s="1" t="s">
        <v>46</v>
      </c>
      <c r="P143" s="1">
        <v>2300000</v>
      </c>
      <c r="Q143" s="1">
        <v>2018</v>
      </c>
      <c r="R143" s="1">
        <v>1</v>
      </c>
      <c r="S143" s="1">
        <v>1</v>
      </c>
      <c r="T143" s="1" t="s">
        <v>46</v>
      </c>
      <c r="U143" s="57" t="s">
        <v>929</v>
      </c>
      <c r="V143" s="2" t="s">
        <v>40</v>
      </c>
      <c r="W143" s="2" t="s">
        <v>930</v>
      </c>
      <c r="X143" s="2" t="s">
        <v>40</v>
      </c>
      <c r="Y143" s="2"/>
      <c r="Z143" s="80" t="s">
        <v>931</v>
      </c>
      <c r="AA143" s="78" t="s">
        <v>932</v>
      </c>
      <c r="AB143" s="2"/>
      <c r="AC143" s="2"/>
      <c r="AD143" s="2"/>
      <c r="AE143" s="2"/>
      <c r="AF143" s="2"/>
      <c r="AG143" s="2"/>
      <c r="AH143" s="2"/>
      <c r="AI143" s="2"/>
      <c r="AJ143" s="2" t="s">
        <v>57</v>
      </c>
      <c r="AK143" s="2"/>
      <c r="AL143" s="2"/>
      <c r="AM143" s="2"/>
      <c r="AN143" s="2"/>
      <c r="AO143" s="2"/>
    </row>
    <row r="144" spans="1:41" s="138" customFormat="1" ht="17.149999999999999" hidden="1" customHeight="1">
      <c r="A144" s="135" t="s">
        <v>933</v>
      </c>
      <c r="B144" s="135" t="s">
        <v>37</v>
      </c>
      <c r="C144" s="136" t="s">
        <v>934</v>
      </c>
      <c r="D144" s="61"/>
      <c r="E144" s="61"/>
      <c r="F144" s="61"/>
      <c r="G144" s="61"/>
      <c r="H144" s="135" t="s">
        <v>41</v>
      </c>
      <c r="I144" s="135" t="s">
        <v>63</v>
      </c>
      <c r="J144" s="135" t="s">
        <v>935</v>
      </c>
      <c r="K144" s="135" t="s">
        <v>936</v>
      </c>
      <c r="L144" s="135" t="s">
        <v>45</v>
      </c>
      <c r="M144" s="135" t="s">
        <v>46</v>
      </c>
      <c r="N144" s="135" t="s">
        <v>46</v>
      </c>
      <c r="O144" s="135" t="s">
        <v>46</v>
      </c>
      <c r="P144" s="135" t="s">
        <v>46</v>
      </c>
      <c r="Q144" s="135" t="s">
        <v>46</v>
      </c>
      <c r="R144" s="135" t="s">
        <v>46</v>
      </c>
      <c r="S144" s="135">
        <v>1</v>
      </c>
      <c r="T144" s="135">
        <v>1</v>
      </c>
      <c r="U144" s="135" t="s">
        <v>937</v>
      </c>
      <c r="V144" s="137" t="s">
        <v>938</v>
      </c>
      <c r="W144" s="137"/>
      <c r="X144" s="137"/>
      <c r="Y144" s="137"/>
      <c r="Z144" s="137"/>
      <c r="AA144" s="137"/>
      <c r="AB144" s="137"/>
      <c r="AC144" s="137"/>
      <c r="AD144" s="137"/>
    </row>
    <row r="145" spans="1:36" s="44" customFormat="1" ht="17.149999999999999" hidden="1" customHeight="1">
      <c r="A145" s="21" t="s">
        <v>939</v>
      </c>
      <c r="B145" s="21"/>
      <c r="C145" s="58" t="s">
        <v>940</v>
      </c>
      <c r="D145" s="61"/>
      <c r="E145" s="61"/>
      <c r="F145" s="61"/>
      <c r="G145" s="61"/>
      <c r="H145" s="21" t="s">
        <v>41</v>
      </c>
      <c r="I145" s="21" t="s">
        <v>518</v>
      </c>
      <c r="J145" s="21" t="s">
        <v>941</v>
      </c>
      <c r="K145" s="21" t="s">
        <v>942</v>
      </c>
      <c r="L145" s="21" t="s">
        <v>45</v>
      </c>
      <c r="M145" s="21" t="s">
        <v>46</v>
      </c>
      <c r="N145" s="21" t="s">
        <v>46</v>
      </c>
      <c r="O145" s="21" t="s">
        <v>46</v>
      </c>
      <c r="P145" s="21" t="s">
        <v>46</v>
      </c>
      <c r="Q145" s="21" t="s">
        <v>46</v>
      </c>
      <c r="R145" s="21" t="s">
        <v>46</v>
      </c>
      <c r="S145" s="21">
        <v>1</v>
      </c>
      <c r="T145" s="21">
        <v>1</v>
      </c>
      <c r="U145" s="21" t="s">
        <v>943</v>
      </c>
      <c r="V145" s="22"/>
      <c r="W145" s="22"/>
      <c r="X145" s="22"/>
      <c r="Y145" s="22"/>
      <c r="Z145" s="22"/>
      <c r="AA145" s="22"/>
      <c r="AB145" s="22"/>
      <c r="AC145" s="22"/>
      <c r="AD145" s="22"/>
    </row>
    <row r="146" spans="1:36" s="44" customFormat="1" ht="17.149999999999999" hidden="1" customHeight="1">
      <c r="A146" s="21" t="s">
        <v>944</v>
      </c>
      <c r="B146" s="21"/>
      <c r="C146" s="58" t="s">
        <v>945</v>
      </c>
      <c r="D146" s="61"/>
      <c r="E146" s="61"/>
      <c r="F146" s="61"/>
      <c r="G146" s="61"/>
      <c r="H146" s="21" t="s">
        <v>41</v>
      </c>
      <c r="I146" s="21" t="s">
        <v>63</v>
      </c>
      <c r="J146" s="21" t="s">
        <v>946</v>
      </c>
      <c r="K146" s="21" t="s">
        <v>947</v>
      </c>
      <c r="L146" s="21" t="s">
        <v>45</v>
      </c>
      <c r="M146" s="21" t="s">
        <v>46</v>
      </c>
      <c r="N146" s="21" t="s">
        <v>46</v>
      </c>
      <c r="O146" s="21" t="s">
        <v>46</v>
      </c>
      <c r="P146" s="21" t="s">
        <v>46</v>
      </c>
      <c r="Q146" s="21" t="s">
        <v>46</v>
      </c>
      <c r="R146" s="21" t="s">
        <v>46</v>
      </c>
      <c r="S146" s="21">
        <v>1</v>
      </c>
      <c r="T146" s="21">
        <v>1</v>
      </c>
      <c r="U146" s="21" t="s">
        <v>948</v>
      </c>
      <c r="V146" s="22"/>
      <c r="W146" s="22"/>
      <c r="X146" s="22"/>
      <c r="Y146" s="22"/>
      <c r="Z146" s="22"/>
      <c r="AA146" s="22"/>
      <c r="AB146" s="22"/>
      <c r="AC146" s="22"/>
      <c r="AD146" s="22"/>
    </row>
    <row r="147" spans="1:36" ht="17.149999999999999" hidden="1" customHeight="1">
      <c r="A147" s="24" t="s">
        <v>949</v>
      </c>
      <c r="B147" s="24" t="s">
        <v>37</v>
      </c>
      <c r="C147" s="62" t="s">
        <v>950</v>
      </c>
      <c r="D147" s="61"/>
      <c r="E147" s="61"/>
      <c r="F147" s="61"/>
      <c r="G147" s="61"/>
      <c r="H147" s="24" t="s">
        <v>41</v>
      </c>
      <c r="I147" s="24" t="s">
        <v>63</v>
      </c>
      <c r="J147" s="24" t="s">
        <v>951</v>
      </c>
      <c r="K147" s="24" t="s">
        <v>952</v>
      </c>
      <c r="L147" s="24" t="s">
        <v>151</v>
      </c>
      <c r="M147" s="24" t="s">
        <v>953</v>
      </c>
      <c r="N147" s="24">
        <v>572000</v>
      </c>
      <c r="O147" s="24">
        <v>2015</v>
      </c>
      <c r="P147" s="24" t="s">
        <v>46</v>
      </c>
      <c r="Q147" s="24" t="s">
        <v>46</v>
      </c>
      <c r="R147" s="24" t="s">
        <v>46</v>
      </c>
      <c r="S147" s="24">
        <v>1</v>
      </c>
      <c r="T147" s="24">
        <v>1</v>
      </c>
      <c r="U147" s="24" t="s">
        <v>954</v>
      </c>
      <c r="V147" s="25" t="s">
        <v>955</v>
      </c>
      <c r="W147" s="25"/>
      <c r="X147" s="25"/>
      <c r="Y147" s="25"/>
      <c r="Z147" s="25"/>
      <c r="AA147" s="25"/>
      <c r="AB147" s="25"/>
      <c r="AC147" s="25" t="s">
        <v>956</v>
      </c>
      <c r="AD147" s="68" t="s">
        <v>957</v>
      </c>
    </row>
    <row r="148" spans="1:36" ht="17.149999999999999" hidden="1" customHeight="1">
      <c r="A148" s="21" t="s">
        <v>958</v>
      </c>
      <c r="B148" s="21" t="s">
        <v>37</v>
      </c>
      <c r="C148" s="60" t="s">
        <v>959</v>
      </c>
      <c r="D148" s="65"/>
      <c r="E148" s="65"/>
      <c r="F148" s="65"/>
      <c r="G148" s="65"/>
      <c r="H148" s="21" t="s">
        <v>41</v>
      </c>
      <c r="I148" s="21" t="s">
        <v>135</v>
      </c>
      <c r="J148" s="21" t="s">
        <v>960</v>
      </c>
      <c r="K148" s="21" t="s">
        <v>961</v>
      </c>
      <c r="L148" s="21" t="s">
        <v>45</v>
      </c>
      <c r="M148" s="21" t="s">
        <v>46</v>
      </c>
      <c r="N148" s="21" t="s">
        <v>46</v>
      </c>
      <c r="O148" s="21" t="s">
        <v>46</v>
      </c>
      <c r="P148" s="21" t="s">
        <v>46</v>
      </c>
      <c r="Q148" s="21" t="s">
        <v>46</v>
      </c>
      <c r="R148" s="21" t="s">
        <v>46</v>
      </c>
      <c r="S148" s="21">
        <v>1</v>
      </c>
      <c r="T148" s="21">
        <v>1</v>
      </c>
      <c r="U148" s="21" t="s">
        <v>962</v>
      </c>
      <c r="V148" s="22"/>
      <c r="W148" s="22"/>
      <c r="X148" s="22"/>
      <c r="Y148" s="22"/>
      <c r="Z148" s="22"/>
      <c r="AA148" s="22"/>
      <c r="AB148" s="22"/>
      <c r="AC148" s="94" t="s">
        <v>963</v>
      </c>
      <c r="AD148" s="22"/>
      <c r="AE148" s="44"/>
      <c r="AF148" s="44"/>
      <c r="AG148" s="44" t="s">
        <v>71</v>
      </c>
    </row>
    <row r="149" spans="1:36" ht="17.149999999999999" hidden="1" customHeight="1">
      <c r="A149" s="21" t="s">
        <v>964</v>
      </c>
      <c r="B149" s="21" t="s">
        <v>37</v>
      </c>
      <c r="C149" s="58" t="s">
        <v>965</v>
      </c>
      <c r="D149" s="61"/>
      <c r="E149" s="61"/>
      <c r="F149" s="61"/>
      <c r="G149" s="61"/>
      <c r="H149" s="21" t="s">
        <v>41</v>
      </c>
      <c r="I149" s="21" t="s">
        <v>966</v>
      </c>
      <c r="J149" s="21" t="s">
        <v>46</v>
      </c>
      <c r="K149" s="21" t="s">
        <v>967</v>
      </c>
      <c r="L149" s="21" t="s">
        <v>151</v>
      </c>
      <c r="M149" s="21" t="s">
        <v>968</v>
      </c>
      <c r="N149" s="21">
        <v>11069</v>
      </c>
      <c r="O149" s="21">
        <v>2023</v>
      </c>
      <c r="P149" s="21" t="s">
        <v>46</v>
      </c>
      <c r="Q149" s="21" t="s">
        <v>46</v>
      </c>
      <c r="R149" s="21" t="s">
        <v>46</v>
      </c>
      <c r="S149" s="21">
        <v>1</v>
      </c>
      <c r="T149" s="21" t="s">
        <v>46</v>
      </c>
      <c r="U149" s="21" t="s">
        <v>969</v>
      </c>
      <c r="V149" s="22" t="s">
        <v>103</v>
      </c>
      <c r="W149" s="22"/>
      <c r="X149" s="22"/>
      <c r="Y149" s="22"/>
      <c r="Z149" s="22"/>
      <c r="AA149" s="22"/>
      <c r="AB149" s="22"/>
      <c r="AC149" s="22"/>
      <c r="AD149" s="22"/>
    </row>
    <row r="150" spans="1:36" ht="17.149999999999999" hidden="1" customHeight="1">
      <c r="A150" s="21" t="s">
        <v>970</v>
      </c>
      <c r="B150" s="21" t="s">
        <v>37</v>
      </c>
      <c r="C150" s="58" t="s">
        <v>971</v>
      </c>
      <c r="D150" s="61"/>
      <c r="E150" s="61"/>
      <c r="F150" s="61"/>
      <c r="G150" s="61"/>
      <c r="H150" s="21" t="s">
        <v>41</v>
      </c>
      <c r="I150" s="21" t="s">
        <v>551</v>
      </c>
      <c r="J150" s="21" t="s">
        <v>552</v>
      </c>
      <c r="K150" s="21" t="s">
        <v>972</v>
      </c>
      <c r="L150" s="21" t="s">
        <v>151</v>
      </c>
      <c r="M150" s="21" t="s">
        <v>973</v>
      </c>
      <c r="N150" s="21">
        <v>300000</v>
      </c>
      <c r="O150" s="21">
        <v>2017</v>
      </c>
      <c r="P150" s="21" t="s">
        <v>46</v>
      </c>
      <c r="Q150" s="21" t="s">
        <v>46</v>
      </c>
      <c r="R150" s="21" t="s">
        <v>46</v>
      </c>
      <c r="S150" s="21">
        <v>1</v>
      </c>
      <c r="T150" s="21" t="s">
        <v>46</v>
      </c>
      <c r="U150" s="21" t="s">
        <v>974</v>
      </c>
      <c r="V150" s="22" t="s">
        <v>786</v>
      </c>
      <c r="W150" s="22"/>
      <c r="X150" s="22"/>
      <c r="Y150" s="22"/>
      <c r="Z150" s="22"/>
      <c r="AA150" s="22"/>
      <c r="AB150" s="22"/>
      <c r="AC150" s="22"/>
      <c r="AD150" s="22"/>
    </row>
    <row r="151" spans="1:36" ht="17.149999999999999" hidden="1" customHeight="1">
      <c r="A151" s="21" t="s">
        <v>975</v>
      </c>
      <c r="B151" s="21"/>
      <c r="C151" s="58" t="s">
        <v>976</v>
      </c>
      <c r="D151" s="61"/>
      <c r="E151" s="61"/>
      <c r="F151" s="61"/>
      <c r="G151" s="61"/>
      <c r="H151" s="21" t="s">
        <v>41</v>
      </c>
      <c r="I151" s="21" t="s">
        <v>518</v>
      </c>
      <c r="J151" s="21" t="s">
        <v>977</v>
      </c>
      <c r="K151" s="21" t="s">
        <v>978</v>
      </c>
      <c r="L151" s="21" t="s">
        <v>45</v>
      </c>
      <c r="M151" s="21" t="s">
        <v>46</v>
      </c>
      <c r="N151" s="21" t="s">
        <v>46</v>
      </c>
      <c r="O151" s="21" t="s">
        <v>46</v>
      </c>
      <c r="P151" s="21" t="s">
        <v>46</v>
      </c>
      <c r="Q151" s="21" t="s">
        <v>46</v>
      </c>
      <c r="R151" s="21" t="s">
        <v>46</v>
      </c>
      <c r="S151" s="21">
        <v>1</v>
      </c>
      <c r="T151" s="21">
        <v>1</v>
      </c>
      <c r="U151" s="21" t="s">
        <v>979</v>
      </c>
      <c r="V151" s="22" t="s">
        <v>103</v>
      </c>
      <c r="W151" s="22"/>
      <c r="X151" s="22"/>
      <c r="Y151" s="22"/>
      <c r="Z151" s="22"/>
      <c r="AA151" s="22"/>
      <c r="AB151" s="22"/>
      <c r="AC151" s="22"/>
      <c r="AD151" s="22"/>
      <c r="AG151" s="2" t="s">
        <v>71</v>
      </c>
    </row>
    <row r="152" spans="1:36" ht="17.149999999999999" hidden="1" customHeight="1">
      <c r="A152" s="21" t="s">
        <v>980</v>
      </c>
      <c r="B152" s="21"/>
      <c r="C152" s="58" t="s">
        <v>981</v>
      </c>
      <c r="D152" s="61"/>
      <c r="E152" s="61"/>
      <c r="F152" s="61"/>
      <c r="G152" s="61"/>
      <c r="H152" s="21" t="s">
        <v>41</v>
      </c>
      <c r="I152" s="21" t="s">
        <v>148</v>
      </c>
      <c r="J152" s="21" t="s">
        <v>982</v>
      </c>
      <c r="K152" s="21" t="s">
        <v>983</v>
      </c>
      <c r="L152" s="21" t="s">
        <v>45</v>
      </c>
      <c r="M152" s="21" t="s">
        <v>46</v>
      </c>
      <c r="N152" s="21" t="s">
        <v>46</v>
      </c>
      <c r="O152" s="21" t="s">
        <v>46</v>
      </c>
      <c r="P152" s="21" t="s">
        <v>46</v>
      </c>
      <c r="Q152" s="21" t="s">
        <v>46</v>
      </c>
      <c r="R152" s="21" t="s">
        <v>46</v>
      </c>
      <c r="S152" s="21">
        <v>1</v>
      </c>
      <c r="T152" s="21">
        <v>1</v>
      </c>
      <c r="U152" s="21" t="s">
        <v>984</v>
      </c>
      <c r="V152" s="22" t="s">
        <v>103</v>
      </c>
      <c r="W152" s="22"/>
      <c r="X152" s="22"/>
      <c r="Y152" s="22"/>
      <c r="Z152" s="22"/>
      <c r="AA152" s="22"/>
      <c r="AB152" s="22"/>
      <c r="AC152" s="22"/>
      <c r="AD152" s="22"/>
    </row>
    <row r="153" spans="1:36" ht="17.149999999999999" hidden="1" customHeight="1">
      <c r="A153" s="21" t="s">
        <v>985</v>
      </c>
      <c r="B153" s="21"/>
      <c r="C153" s="58" t="s">
        <v>986</v>
      </c>
      <c r="D153" s="61"/>
      <c r="E153" s="61"/>
      <c r="F153" s="61"/>
      <c r="G153" s="61"/>
      <c r="H153" s="21" t="s">
        <v>41</v>
      </c>
      <c r="I153" s="21" t="s">
        <v>63</v>
      </c>
      <c r="J153" s="21" t="s">
        <v>987</v>
      </c>
      <c r="K153" s="21" t="s">
        <v>988</v>
      </c>
      <c r="L153" s="21" t="s">
        <v>151</v>
      </c>
      <c r="M153" s="21" t="s">
        <v>989</v>
      </c>
      <c r="N153" s="21" t="s">
        <v>46</v>
      </c>
      <c r="O153" s="21" t="s">
        <v>46</v>
      </c>
      <c r="P153" s="21" t="s">
        <v>46</v>
      </c>
      <c r="Q153" s="21" t="s">
        <v>46</v>
      </c>
      <c r="R153" s="21" t="s">
        <v>46</v>
      </c>
      <c r="S153" s="21">
        <v>1</v>
      </c>
      <c r="T153" s="21">
        <v>1</v>
      </c>
      <c r="U153" s="21" t="s">
        <v>990</v>
      </c>
      <c r="V153" s="22" t="s">
        <v>103</v>
      </c>
      <c r="W153" s="22"/>
      <c r="X153" s="22"/>
      <c r="Y153" s="22"/>
      <c r="Z153" s="22"/>
      <c r="AA153" s="22"/>
      <c r="AB153" s="22"/>
      <c r="AC153" s="22"/>
      <c r="AD153" s="22"/>
    </row>
    <row r="154" spans="1:36" ht="17.149999999999999" hidden="1" customHeight="1">
      <c r="A154" s="21" t="s">
        <v>991</v>
      </c>
      <c r="B154" s="21"/>
      <c r="C154" s="58" t="s">
        <v>992</v>
      </c>
      <c r="D154" s="61"/>
      <c r="E154" s="61"/>
      <c r="F154" s="61"/>
      <c r="G154" s="61"/>
      <c r="H154" s="21" t="s">
        <v>41</v>
      </c>
      <c r="I154" s="21" t="s">
        <v>966</v>
      </c>
      <c r="J154" s="21" t="s">
        <v>993</v>
      </c>
      <c r="K154" s="21" t="s">
        <v>994</v>
      </c>
      <c r="L154" s="21" t="s">
        <v>151</v>
      </c>
      <c r="M154" s="21" t="s">
        <v>995</v>
      </c>
      <c r="N154" s="21" t="s">
        <v>46</v>
      </c>
      <c r="O154" s="21" t="s">
        <v>46</v>
      </c>
      <c r="P154" s="21" t="s">
        <v>46</v>
      </c>
      <c r="Q154" s="21" t="s">
        <v>46</v>
      </c>
      <c r="R154" s="21" t="s">
        <v>46</v>
      </c>
      <c r="S154" s="21">
        <v>1</v>
      </c>
      <c r="T154" s="21" t="s">
        <v>46</v>
      </c>
      <c r="U154" s="21" t="s">
        <v>996</v>
      </c>
      <c r="V154" s="22" t="s">
        <v>103</v>
      </c>
      <c r="W154" s="22"/>
      <c r="X154" s="22"/>
      <c r="Y154" s="22"/>
      <c r="Z154" s="22"/>
      <c r="AA154" s="22"/>
      <c r="AB154" s="22"/>
      <c r="AC154" s="22"/>
      <c r="AD154" s="22"/>
    </row>
    <row r="155" spans="1:36" ht="17.149999999999999" hidden="1" customHeight="1">
      <c r="A155" s="1" t="s">
        <v>997</v>
      </c>
      <c r="B155" s="1"/>
      <c r="C155" s="1" t="s">
        <v>998</v>
      </c>
      <c r="D155" s="1"/>
      <c r="E155" s="1"/>
      <c r="F155" s="1"/>
      <c r="G155" s="1"/>
      <c r="H155" s="1" t="s">
        <v>110</v>
      </c>
      <c r="I155" s="1" t="s">
        <v>46</v>
      </c>
      <c r="J155" s="1" t="s">
        <v>999</v>
      </c>
      <c r="K155" s="1" t="s">
        <v>1000</v>
      </c>
      <c r="L155" s="1" t="s">
        <v>45</v>
      </c>
      <c r="M155" s="1" t="s">
        <v>46</v>
      </c>
      <c r="N155" s="1">
        <v>36943</v>
      </c>
      <c r="O155" s="1">
        <v>2015</v>
      </c>
      <c r="P155" s="1" t="s">
        <v>46</v>
      </c>
      <c r="Q155" s="1" t="s">
        <v>46</v>
      </c>
      <c r="R155" s="1" t="s">
        <v>46</v>
      </c>
      <c r="S155" s="1">
        <v>1</v>
      </c>
      <c r="T155" s="1">
        <v>1</v>
      </c>
      <c r="U155" s="1" t="s">
        <v>1001</v>
      </c>
    </row>
    <row r="156" spans="1:36" s="42" customFormat="1" ht="17.149999999999999" hidden="1" customHeight="1">
      <c r="A156" s="1" t="s">
        <v>1002</v>
      </c>
      <c r="B156" s="1"/>
      <c r="C156" s="1" t="s">
        <v>1003</v>
      </c>
      <c r="D156" s="1"/>
      <c r="E156" s="1"/>
      <c r="F156" s="1"/>
      <c r="G156" s="1"/>
      <c r="H156" s="1" t="s">
        <v>506</v>
      </c>
      <c r="I156" s="1" t="s">
        <v>46</v>
      </c>
      <c r="J156" s="1" t="s">
        <v>1004</v>
      </c>
      <c r="K156" s="1" t="s">
        <v>502</v>
      </c>
      <c r="L156" s="1" t="s">
        <v>45</v>
      </c>
      <c r="M156" s="1" t="s">
        <v>46</v>
      </c>
      <c r="N156" s="1" t="s">
        <v>46</v>
      </c>
      <c r="O156" s="1" t="s">
        <v>46</v>
      </c>
      <c r="P156" s="1" t="s">
        <v>46</v>
      </c>
      <c r="Q156" s="1" t="s">
        <v>46</v>
      </c>
      <c r="R156" s="1" t="s">
        <v>46</v>
      </c>
      <c r="S156" s="1">
        <v>1</v>
      </c>
      <c r="T156" s="1" t="s">
        <v>46</v>
      </c>
      <c r="U156" s="1" t="s">
        <v>1005</v>
      </c>
      <c r="V156" s="2"/>
      <c r="W156" s="2"/>
      <c r="X156" s="2"/>
      <c r="Y156" s="2"/>
      <c r="Z156" s="2"/>
      <c r="AA156" s="2"/>
      <c r="AB156" s="2"/>
      <c r="AC156" s="2"/>
      <c r="AD156" s="2"/>
      <c r="AE156" s="2"/>
      <c r="AF156" s="2"/>
      <c r="AG156" s="2"/>
      <c r="AH156" s="2"/>
      <c r="AI156" s="2"/>
      <c r="AJ156" s="2"/>
    </row>
    <row r="157" spans="1:36" ht="17.149999999999999" hidden="1" customHeight="1">
      <c r="A157" s="1" t="s">
        <v>1006</v>
      </c>
      <c r="B157" s="1"/>
      <c r="C157" s="1" t="s">
        <v>1007</v>
      </c>
      <c r="D157" s="1"/>
      <c r="E157" s="1"/>
      <c r="F157" s="1"/>
      <c r="G157" s="1"/>
      <c r="H157" s="1" t="s">
        <v>313</v>
      </c>
      <c r="I157" s="1" t="s">
        <v>1008</v>
      </c>
      <c r="J157" s="1" t="s">
        <v>1008</v>
      </c>
      <c r="K157" s="1" t="s">
        <v>1009</v>
      </c>
      <c r="L157" s="1" t="s">
        <v>118</v>
      </c>
      <c r="M157" s="1" t="s">
        <v>1010</v>
      </c>
      <c r="N157" s="1" t="s">
        <v>46</v>
      </c>
      <c r="O157" s="1" t="s">
        <v>46</v>
      </c>
      <c r="P157" s="1" t="s">
        <v>46</v>
      </c>
      <c r="Q157" s="1" t="s">
        <v>46</v>
      </c>
      <c r="R157" s="1">
        <v>1</v>
      </c>
      <c r="S157" s="1">
        <v>1</v>
      </c>
      <c r="T157" s="1" t="s">
        <v>46</v>
      </c>
      <c r="U157" s="1" t="s">
        <v>1011</v>
      </c>
    </row>
    <row r="158" spans="1:36" s="42" customFormat="1" ht="17.149999999999999" hidden="1" customHeight="1">
      <c r="A158" s="1" t="s">
        <v>1012</v>
      </c>
      <c r="B158" s="1"/>
      <c r="C158" s="1" t="s">
        <v>1013</v>
      </c>
      <c r="D158" s="1"/>
      <c r="E158" s="1"/>
      <c r="F158" s="1"/>
      <c r="G158" s="1"/>
      <c r="H158" s="1" t="s">
        <v>177</v>
      </c>
      <c r="I158" s="1" t="s">
        <v>46</v>
      </c>
      <c r="J158" s="1" t="s">
        <v>1014</v>
      </c>
      <c r="K158" s="1" t="s">
        <v>1015</v>
      </c>
      <c r="L158" s="1" t="s">
        <v>45</v>
      </c>
      <c r="M158" s="1" t="s">
        <v>46</v>
      </c>
      <c r="N158" s="1" t="s">
        <v>46</v>
      </c>
      <c r="O158" s="1" t="s">
        <v>46</v>
      </c>
      <c r="P158" s="1" t="s">
        <v>46</v>
      </c>
      <c r="Q158" s="1" t="s">
        <v>46</v>
      </c>
      <c r="R158" s="1" t="s">
        <v>46</v>
      </c>
      <c r="S158" s="1">
        <v>1</v>
      </c>
      <c r="T158" s="1" t="s">
        <v>46</v>
      </c>
      <c r="U158" s="1" t="s">
        <v>1016</v>
      </c>
      <c r="V158" s="2"/>
      <c r="W158" s="2"/>
      <c r="X158" s="2"/>
      <c r="Y158" s="2"/>
      <c r="Z158" s="2"/>
      <c r="AA158" s="2"/>
      <c r="AB158" s="2"/>
      <c r="AC158" s="2"/>
      <c r="AD158" s="2"/>
      <c r="AE158" s="2"/>
      <c r="AF158" s="2"/>
      <c r="AG158" s="2"/>
      <c r="AH158" s="2"/>
      <c r="AI158" s="2"/>
      <c r="AJ158" s="2"/>
    </row>
    <row r="159" spans="1:36" ht="17.149999999999999" hidden="1" customHeight="1">
      <c r="A159" s="14" t="s">
        <v>1017</v>
      </c>
      <c r="B159" s="14" t="s">
        <v>37</v>
      </c>
      <c r="C159" s="64" t="s">
        <v>1018</v>
      </c>
      <c r="D159" s="168"/>
      <c r="E159" s="168"/>
      <c r="F159" s="168"/>
      <c r="G159" s="168"/>
      <c r="H159" s="14" t="s">
        <v>41</v>
      </c>
      <c r="I159" s="14" t="s">
        <v>966</v>
      </c>
      <c r="J159" s="14" t="s">
        <v>1019</v>
      </c>
      <c r="K159" s="14" t="s">
        <v>1020</v>
      </c>
      <c r="L159" s="14" t="s">
        <v>45</v>
      </c>
      <c r="M159" s="14" t="s">
        <v>46</v>
      </c>
      <c r="N159" s="14">
        <v>70686</v>
      </c>
      <c r="O159" s="14">
        <v>2016</v>
      </c>
      <c r="P159" s="14" t="s">
        <v>46</v>
      </c>
      <c r="Q159" s="14" t="s">
        <v>46</v>
      </c>
      <c r="R159" s="14" t="s">
        <v>46</v>
      </c>
      <c r="S159" s="14">
        <v>1</v>
      </c>
      <c r="T159" s="14">
        <v>1</v>
      </c>
      <c r="U159" s="14" t="s">
        <v>1021</v>
      </c>
      <c r="V159" s="33" t="s">
        <v>40</v>
      </c>
      <c r="W159" s="6" t="s">
        <v>1022</v>
      </c>
      <c r="X159" s="8" t="s">
        <v>1023</v>
      </c>
      <c r="Y159" s="8"/>
      <c r="Z159" s="6" t="s">
        <v>1024</v>
      </c>
      <c r="AA159" s="5" t="s">
        <v>1025</v>
      </c>
      <c r="AB159" s="32" t="s">
        <v>1026</v>
      </c>
      <c r="AC159" s="6" t="s">
        <v>1027</v>
      </c>
      <c r="AD159" s="6"/>
      <c r="AE159" s="2">
        <v>4</v>
      </c>
      <c r="AF159" t="s">
        <v>53</v>
      </c>
    </row>
    <row r="160" spans="1:36" ht="17.149999999999999" hidden="1" customHeight="1">
      <c r="A160" s="24" t="s">
        <v>1028</v>
      </c>
      <c r="B160" s="24"/>
      <c r="C160" s="83" t="s">
        <v>1029</v>
      </c>
      <c r="D160" s="65"/>
      <c r="E160" s="65"/>
      <c r="F160" s="65"/>
      <c r="G160" s="65"/>
      <c r="H160" s="24" t="s">
        <v>41</v>
      </c>
      <c r="I160" s="24" t="s">
        <v>148</v>
      </c>
      <c r="J160" s="24" t="s">
        <v>1030</v>
      </c>
      <c r="K160" s="24" t="s">
        <v>1031</v>
      </c>
      <c r="L160" s="24" t="s">
        <v>45</v>
      </c>
      <c r="M160" s="24" t="s">
        <v>46</v>
      </c>
      <c r="N160" s="24">
        <v>70000</v>
      </c>
      <c r="O160" s="24">
        <v>2015</v>
      </c>
      <c r="P160" s="24" t="s">
        <v>46</v>
      </c>
      <c r="Q160" s="24" t="s">
        <v>46</v>
      </c>
      <c r="R160" s="24" t="s">
        <v>46</v>
      </c>
      <c r="S160" s="24">
        <v>1</v>
      </c>
      <c r="T160" s="24">
        <v>1</v>
      </c>
      <c r="U160" s="24" t="s">
        <v>1032</v>
      </c>
      <c r="V160" s="25" t="s">
        <v>1033</v>
      </c>
      <c r="W160" s="25"/>
      <c r="X160" s="25"/>
      <c r="Y160" s="25"/>
      <c r="Z160" s="25"/>
      <c r="AA160" s="25" t="s">
        <v>1034</v>
      </c>
      <c r="AB160" s="25"/>
      <c r="AC160" s="25"/>
      <c r="AD160" s="25"/>
    </row>
    <row r="161" spans="1:41" ht="17.149999999999999" customHeight="1">
      <c r="A161" s="41" t="s">
        <v>1035</v>
      </c>
      <c r="B161" s="41" t="s">
        <v>37</v>
      </c>
      <c r="C161" s="41" t="s">
        <v>1036</v>
      </c>
      <c r="D161" s="144" t="s">
        <v>1037</v>
      </c>
      <c r="E161" s="144" t="s">
        <v>1036</v>
      </c>
      <c r="F161" s="1" t="s">
        <v>1038</v>
      </c>
      <c r="G161" s="1" t="s">
        <v>40</v>
      </c>
      <c r="H161" s="41" t="s">
        <v>177</v>
      </c>
      <c r="I161" s="41" t="s">
        <v>178</v>
      </c>
      <c r="J161" s="41" t="s">
        <v>179</v>
      </c>
      <c r="K161" s="41" t="s">
        <v>1039</v>
      </c>
      <c r="L161" s="41" t="s">
        <v>118</v>
      </c>
      <c r="M161" s="41" t="s">
        <v>1040</v>
      </c>
      <c r="N161" s="41">
        <v>2853570</v>
      </c>
      <c r="O161" s="41">
        <v>2017</v>
      </c>
      <c r="P161" s="41">
        <v>3000000</v>
      </c>
      <c r="Q161" s="41">
        <v>2017</v>
      </c>
      <c r="R161" s="41">
        <v>1</v>
      </c>
      <c r="S161" s="41" t="s">
        <v>46</v>
      </c>
      <c r="T161" s="41" t="s">
        <v>46</v>
      </c>
      <c r="U161" s="41" t="s">
        <v>1041</v>
      </c>
      <c r="V161" s="42" t="s">
        <v>40</v>
      </c>
      <c r="W161" s="42" t="s">
        <v>1042</v>
      </c>
      <c r="X161" s="42" t="s">
        <v>40</v>
      </c>
      <c r="Y161" s="42"/>
      <c r="Z161" s="42" t="s">
        <v>1043</v>
      </c>
      <c r="AA161" s="42" t="s">
        <v>401</v>
      </c>
      <c r="AB161" s="42" t="s">
        <v>1044</v>
      </c>
      <c r="AC161" s="42" t="s">
        <v>403</v>
      </c>
      <c r="AD161" s="42" t="s">
        <v>40</v>
      </c>
      <c r="AE161" s="42">
        <v>1</v>
      </c>
      <c r="AF161" s="42" t="s">
        <v>404</v>
      </c>
      <c r="AG161" s="42" t="s">
        <v>405</v>
      </c>
      <c r="AJ161" s="2" t="s">
        <v>57</v>
      </c>
      <c r="AK161" s="42"/>
      <c r="AL161" s="42"/>
      <c r="AM161" s="42"/>
      <c r="AN161" s="42"/>
      <c r="AO161" s="42"/>
    </row>
    <row r="162" spans="1:41" ht="17.149999999999999" hidden="1" customHeight="1">
      <c r="A162" s="1" t="s">
        <v>1045</v>
      </c>
      <c r="B162" s="1"/>
      <c r="C162" s="1" t="s">
        <v>1046</v>
      </c>
      <c r="D162" s="1"/>
      <c r="E162" s="1"/>
      <c r="F162" s="1"/>
      <c r="G162" s="1"/>
      <c r="H162" s="1" t="s">
        <v>1047</v>
      </c>
      <c r="I162" s="1" t="s">
        <v>46</v>
      </c>
      <c r="J162" s="1" t="s">
        <v>1048</v>
      </c>
      <c r="K162" s="1" t="s">
        <v>1049</v>
      </c>
      <c r="L162" s="1" t="s">
        <v>45</v>
      </c>
      <c r="M162" s="1" t="s">
        <v>46</v>
      </c>
      <c r="N162" s="1" t="s">
        <v>46</v>
      </c>
      <c r="O162" s="1" t="s">
        <v>46</v>
      </c>
      <c r="P162" s="1" t="s">
        <v>46</v>
      </c>
      <c r="Q162" s="1" t="s">
        <v>46</v>
      </c>
      <c r="R162" s="1" t="s">
        <v>46</v>
      </c>
      <c r="S162" s="1">
        <v>1</v>
      </c>
      <c r="T162" s="1">
        <v>1</v>
      </c>
      <c r="U162" s="1" t="s">
        <v>1050</v>
      </c>
    </row>
    <row r="163" spans="1:41" ht="17.149999999999999" hidden="1" customHeight="1">
      <c r="A163" s="1" t="s">
        <v>1051</v>
      </c>
      <c r="B163" s="1"/>
      <c r="C163" s="1" t="s">
        <v>1052</v>
      </c>
      <c r="D163" s="1"/>
      <c r="E163" s="1"/>
      <c r="F163" s="1"/>
      <c r="G163" s="1"/>
      <c r="H163" s="1" t="s">
        <v>313</v>
      </c>
      <c r="I163" s="1" t="s">
        <v>1053</v>
      </c>
      <c r="J163" s="1" t="s">
        <v>1053</v>
      </c>
      <c r="K163" s="1" t="s">
        <v>1054</v>
      </c>
      <c r="L163" s="1" t="s">
        <v>45</v>
      </c>
      <c r="M163" s="1" t="s">
        <v>46</v>
      </c>
      <c r="N163" s="1">
        <v>167000</v>
      </c>
      <c r="O163" s="1">
        <v>2015</v>
      </c>
      <c r="P163" s="1" t="s">
        <v>46</v>
      </c>
      <c r="Q163" s="1" t="s">
        <v>46</v>
      </c>
      <c r="R163" s="1">
        <v>1</v>
      </c>
      <c r="S163" s="1">
        <v>1</v>
      </c>
      <c r="T163" s="1">
        <v>1</v>
      </c>
      <c r="U163" s="1" t="s">
        <v>1055</v>
      </c>
    </row>
    <row r="164" spans="1:41" ht="17.149999999999999" hidden="1" customHeight="1">
      <c r="A164" s="21" t="s">
        <v>1056</v>
      </c>
      <c r="B164" s="21"/>
      <c r="C164" s="58" t="s">
        <v>1057</v>
      </c>
      <c r="D164" s="61"/>
      <c r="E164" s="61"/>
      <c r="F164" s="61"/>
      <c r="G164" s="61"/>
      <c r="H164" s="21" t="s">
        <v>41</v>
      </c>
      <c r="I164" s="21" t="s">
        <v>63</v>
      </c>
      <c r="J164" s="21" t="s">
        <v>1058</v>
      </c>
      <c r="K164" s="21" t="s">
        <v>1059</v>
      </c>
      <c r="L164" s="21" t="s">
        <v>45</v>
      </c>
      <c r="M164" s="21" t="s">
        <v>46</v>
      </c>
      <c r="N164" s="21" t="s">
        <v>46</v>
      </c>
      <c r="O164" s="21" t="s">
        <v>46</v>
      </c>
      <c r="P164" s="21" t="s">
        <v>46</v>
      </c>
      <c r="Q164" s="21" t="s">
        <v>46</v>
      </c>
      <c r="R164" s="21" t="s">
        <v>46</v>
      </c>
      <c r="S164" s="21">
        <v>1</v>
      </c>
      <c r="T164" s="21">
        <v>1</v>
      </c>
      <c r="U164" s="21" t="s">
        <v>1060</v>
      </c>
      <c r="V164" s="22"/>
      <c r="W164" s="22"/>
      <c r="X164" s="22"/>
      <c r="Y164" s="22"/>
      <c r="Z164" s="22"/>
      <c r="AA164" s="22"/>
      <c r="AB164" s="22"/>
      <c r="AC164" s="22"/>
      <c r="AD164" s="22"/>
    </row>
    <row r="165" spans="1:41" ht="17.149999999999999" hidden="1" customHeight="1">
      <c r="A165" s="1" t="s">
        <v>1061</v>
      </c>
      <c r="B165" s="1"/>
      <c r="C165" s="1" t="s">
        <v>1062</v>
      </c>
      <c r="D165" s="1"/>
      <c r="E165" s="1"/>
      <c r="F165" s="1"/>
      <c r="G165" s="1"/>
      <c r="H165" s="1" t="s">
        <v>500</v>
      </c>
      <c r="I165" s="1" t="s">
        <v>46</v>
      </c>
      <c r="J165" s="1" t="s">
        <v>1063</v>
      </c>
      <c r="K165" s="1" t="s">
        <v>508</v>
      </c>
      <c r="L165" s="1" t="s">
        <v>45</v>
      </c>
      <c r="M165" s="1" t="s">
        <v>46</v>
      </c>
      <c r="N165" s="1" t="s">
        <v>46</v>
      </c>
      <c r="O165" s="1" t="s">
        <v>46</v>
      </c>
      <c r="P165" s="1" t="s">
        <v>46</v>
      </c>
      <c r="Q165" s="1" t="s">
        <v>46</v>
      </c>
      <c r="R165" s="1" t="s">
        <v>46</v>
      </c>
      <c r="S165" s="1">
        <v>1</v>
      </c>
      <c r="T165" s="1" t="s">
        <v>46</v>
      </c>
      <c r="U165" s="1" t="s">
        <v>1064</v>
      </c>
    </row>
    <row r="166" spans="1:41" s="42" customFormat="1" ht="17.149999999999999" hidden="1" customHeight="1">
      <c r="A166" s="14" t="s">
        <v>1065</v>
      </c>
      <c r="B166" s="14" t="s">
        <v>37</v>
      </c>
      <c r="C166" s="14" t="s">
        <v>1066</v>
      </c>
      <c r="D166" s="17"/>
      <c r="E166" s="17"/>
      <c r="F166" s="17"/>
      <c r="G166" s="17"/>
      <c r="H166" s="14" t="s">
        <v>41</v>
      </c>
      <c r="I166" s="14" t="s">
        <v>135</v>
      </c>
      <c r="J166" s="14" t="s">
        <v>1067</v>
      </c>
      <c r="K166" s="14" t="s">
        <v>1068</v>
      </c>
      <c r="L166" s="14" t="s">
        <v>45</v>
      </c>
      <c r="M166" s="14" t="s">
        <v>46</v>
      </c>
      <c r="N166" s="14" t="s">
        <v>46</v>
      </c>
      <c r="O166" s="14" t="s">
        <v>46</v>
      </c>
      <c r="P166" s="14" t="s">
        <v>46</v>
      </c>
      <c r="Q166" s="14" t="s">
        <v>46</v>
      </c>
      <c r="R166" s="14" t="s">
        <v>46</v>
      </c>
      <c r="S166" s="14">
        <v>1</v>
      </c>
      <c r="T166" s="14">
        <v>1</v>
      </c>
      <c r="U166" s="14" t="s">
        <v>1069</v>
      </c>
      <c r="V166" s="6" t="s">
        <v>1070</v>
      </c>
      <c r="W166" s="6"/>
      <c r="X166" s="6"/>
      <c r="Y166" s="6" t="s">
        <v>324</v>
      </c>
      <c r="Z166" s="6" t="s">
        <v>1071</v>
      </c>
      <c r="AA166" s="6" t="s">
        <v>1072</v>
      </c>
      <c r="AB166" s="6"/>
      <c r="AC166" s="6" t="s">
        <v>1073</v>
      </c>
      <c r="AD166" s="6"/>
    </row>
    <row r="167" spans="1:41" ht="17.149999999999999" hidden="1" customHeight="1">
      <c r="A167" s="1" t="s">
        <v>1074</v>
      </c>
      <c r="B167" s="1"/>
      <c r="C167" s="1" t="s">
        <v>1075</v>
      </c>
      <c r="D167" s="1"/>
      <c r="E167" s="1"/>
      <c r="F167" s="1"/>
      <c r="G167" s="1"/>
      <c r="H167" s="1" t="s">
        <v>506</v>
      </c>
      <c r="I167" s="1" t="s">
        <v>46</v>
      </c>
      <c r="J167" s="1" t="s">
        <v>1076</v>
      </c>
      <c r="K167" s="1" t="s">
        <v>508</v>
      </c>
      <c r="L167" s="1" t="s">
        <v>45</v>
      </c>
      <c r="M167" s="1" t="s">
        <v>46</v>
      </c>
      <c r="N167" s="1" t="s">
        <v>46</v>
      </c>
      <c r="O167" s="1" t="s">
        <v>46</v>
      </c>
      <c r="P167" s="1" t="s">
        <v>46</v>
      </c>
      <c r="Q167" s="1" t="s">
        <v>46</v>
      </c>
      <c r="R167" s="1" t="s">
        <v>46</v>
      </c>
      <c r="S167" s="1">
        <v>1</v>
      </c>
      <c r="T167" s="1" t="s">
        <v>46</v>
      </c>
      <c r="U167" s="1" t="s">
        <v>1077</v>
      </c>
    </row>
    <row r="168" spans="1:41" ht="17.149999999999999" hidden="1" customHeight="1">
      <c r="A168" s="1" t="s">
        <v>1078</v>
      </c>
      <c r="B168" s="1"/>
      <c r="C168" s="1" t="s">
        <v>1079</v>
      </c>
      <c r="D168" s="1"/>
      <c r="E168" s="1"/>
      <c r="F168" s="1"/>
      <c r="G168" s="1"/>
      <c r="H168" s="1" t="s">
        <v>506</v>
      </c>
      <c r="I168" s="1" t="s">
        <v>46</v>
      </c>
      <c r="J168" s="1" t="s">
        <v>1080</v>
      </c>
      <c r="K168" s="1" t="s">
        <v>508</v>
      </c>
      <c r="L168" s="1" t="s">
        <v>45</v>
      </c>
      <c r="M168" s="1" t="s">
        <v>46</v>
      </c>
      <c r="N168" s="1" t="s">
        <v>46</v>
      </c>
      <c r="O168" s="1" t="s">
        <v>46</v>
      </c>
      <c r="P168" s="1" t="s">
        <v>46</v>
      </c>
      <c r="Q168" s="1" t="s">
        <v>46</v>
      </c>
      <c r="R168" s="1" t="s">
        <v>46</v>
      </c>
      <c r="S168" s="1">
        <v>1</v>
      </c>
      <c r="T168" s="1" t="s">
        <v>46</v>
      </c>
      <c r="U168" s="1" t="s">
        <v>1081</v>
      </c>
    </row>
    <row r="169" spans="1:41" ht="17.149999999999999" hidden="1" customHeight="1">
      <c r="A169" s="1" t="s">
        <v>1082</v>
      </c>
      <c r="B169" s="1"/>
      <c r="C169" s="1" t="s">
        <v>1083</v>
      </c>
      <c r="D169" s="1"/>
      <c r="E169" s="1"/>
      <c r="F169" s="1"/>
      <c r="G169" s="1"/>
      <c r="H169" s="1" t="s">
        <v>674</v>
      </c>
      <c r="I169" s="1" t="s">
        <v>46</v>
      </c>
      <c r="J169" s="1" t="s">
        <v>1084</v>
      </c>
      <c r="K169" s="1" t="s">
        <v>1085</v>
      </c>
      <c r="L169" s="1" t="s">
        <v>45</v>
      </c>
      <c r="M169" s="1" t="s">
        <v>46</v>
      </c>
      <c r="N169" s="1">
        <v>300000</v>
      </c>
      <c r="O169" s="1">
        <v>2015</v>
      </c>
      <c r="P169" s="1" t="s">
        <v>46</v>
      </c>
      <c r="Q169" s="1" t="s">
        <v>46</v>
      </c>
      <c r="R169" s="1" t="s">
        <v>46</v>
      </c>
      <c r="S169" s="1">
        <v>1</v>
      </c>
      <c r="T169" s="1">
        <v>1</v>
      </c>
      <c r="U169" s="1" t="s">
        <v>1086</v>
      </c>
    </row>
    <row r="170" spans="1:41" ht="17.149999999999999" hidden="1" customHeight="1">
      <c r="A170" s="1" t="s">
        <v>1087</v>
      </c>
      <c r="B170" s="1"/>
      <c r="C170" s="1" t="s">
        <v>1088</v>
      </c>
      <c r="D170" s="1"/>
      <c r="E170" s="1"/>
      <c r="F170" s="1"/>
      <c r="G170" s="1"/>
      <c r="H170" s="1" t="s">
        <v>674</v>
      </c>
      <c r="I170" s="1" t="s">
        <v>46</v>
      </c>
      <c r="J170" s="1" t="s">
        <v>1089</v>
      </c>
      <c r="K170" s="1" t="s">
        <v>1090</v>
      </c>
      <c r="L170" s="1" t="s">
        <v>45</v>
      </c>
      <c r="M170" s="1" t="s">
        <v>46</v>
      </c>
      <c r="N170" s="1">
        <v>37746</v>
      </c>
      <c r="O170" s="1">
        <v>2016</v>
      </c>
      <c r="P170" s="1" t="s">
        <v>46</v>
      </c>
      <c r="Q170" s="1" t="s">
        <v>46</v>
      </c>
      <c r="R170" s="1" t="s">
        <v>46</v>
      </c>
      <c r="S170" s="1">
        <v>1</v>
      </c>
      <c r="T170" s="1">
        <v>1</v>
      </c>
      <c r="U170" s="1" t="s">
        <v>1091</v>
      </c>
    </row>
    <row r="171" spans="1:41" ht="17.149999999999999" hidden="1" customHeight="1">
      <c r="A171" s="1" t="s">
        <v>1092</v>
      </c>
      <c r="B171" s="1"/>
      <c r="C171" s="1" t="s">
        <v>1093</v>
      </c>
      <c r="D171" s="1"/>
      <c r="E171" s="1"/>
      <c r="F171" s="1"/>
      <c r="G171" s="1"/>
      <c r="H171" s="1" t="s">
        <v>674</v>
      </c>
      <c r="I171" s="1" t="s">
        <v>46</v>
      </c>
      <c r="J171" s="1" t="s">
        <v>1094</v>
      </c>
      <c r="K171" s="1" t="s">
        <v>1095</v>
      </c>
      <c r="L171" s="1" t="s">
        <v>45</v>
      </c>
      <c r="M171" s="1" t="s">
        <v>46</v>
      </c>
      <c r="N171" s="1">
        <v>62460</v>
      </c>
      <c r="O171" s="1">
        <v>2015</v>
      </c>
      <c r="P171" s="1" t="s">
        <v>46</v>
      </c>
      <c r="Q171" s="1" t="s">
        <v>46</v>
      </c>
      <c r="R171" s="1" t="s">
        <v>46</v>
      </c>
      <c r="S171" s="1">
        <v>1</v>
      </c>
      <c r="T171" s="1" t="s">
        <v>46</v>
      </c>
      <c r="U171" s="1" t="s">
        <v>1096</v>
      </c>
    </row>
    <row r="172" spans="1:41" ht="17.149999999999999" hidden="1" customHeight="1">
      <c r="A172" s="1" t="s">
        <v>1097</v>
      </c>
      <c r="B172" s="1"/>
      <c r="C172" s="1" t="s">
        <v>1098</v>
      </c>
      <c r="D172" s="1"/>
      <c r="E172" s="1"/>
      <c r="F172" s="1"/>
      <c r="G172" s="1"/>
      <c r="H172" s="1" t="s">
        <v>506</v>
      </c>
      <c r="I172" s="1" t="s">
        <v>46</v>
      </c>
      <c r="J172" s="1" t="s">
        <v>1099</v>
      </c>
      <c r="K172" s="1" t="s">
        <v>508</v>
      </c>
      <c r="L172" s="1" t="s">
        <v>45</v>
      </c>
      <c r="M172" s="1" t="s">
        <v>46</v>
      </c>
      <c r="N172" s="1" t="s">
        <v>46</v>
      </c>
      <c r="O172" s="1" t="s">
        <v>46</v>
      </c>
      <c r="P172" s="1" t="s">
        <v>46</v>
      </c>
      <c r="Q172" s="1" t="s">
        <v>46</v>
      </c>
      <c r="R172" s="1" t="s">
        <v>46</v>
      </c>
      <c r="S172" s="1">
        <v>1</v>
      </c>
      <c r="T172" s="1" t="s">
        <v>46</v>
      </c>
      <c r="U172" s="1" t="s">
        <v>1100</v>
      </c>
    </row>
    <row r="173" spans="1:41" ht="17.149999999999999" hidden="1" customHeight="1">
      <c r="A173" s="24" t="s">
        <v>1101</v>
      </c>
      <c r="B173" s="24"/>
      <c r="C173" s="62" t="s">
        <v>1102</v>
      </c>
      <c r="D173" s="61"/>
      <c r="E173" s="61"/>
      <c r="F173" s="61"/>
      <c r="G173" s="61"/>
      <c r="H173" s="24" t="s">
        <v>41</v>
      </c>
      <c r="I173" s="24" t="s">
        <v>63</v>
      </c>
      <c r="J173" s="24" t="s">
        <v>1103</v>
      </c>
      <c r="K173" s="24" t="s">
        <v>1104</v>
      </c>
      <c r="L173" s="24" t="s">
        <v>45</v>
      </c>
      <c r="M173" s="24" t="s">
        <v>46</v>
      </c>
      <c r="N173" s="24">
        <v>59000</v>
      </c>
      <c r="O173" s="24">
        <v>2015</v>
      </c>
      <c r="P173" s="24" t="s">
        <v>46</v>
      </c>
      <c r="Q173" s="24" t="s">
        <v>46</v>
      </c>
      <c r="R173" s="24" t="s">
        <v>46</v>
      </c>
      <c r="S173" s="24">
        <v>1</v>
      </c>
      <c r="T173" s="24">
        <v>1</v>
      </c>
      <c r="U173" s="24" t="s">
        <v>1105</v>
      </c>
      <c r="V173" s="25" t="s">
        <v>1106</v>
      </c>
      <c r="W173" s="25"/>
      <c r="X173" s="25"/>
      <c r="Y173" s="25"/>
      <c r="Z173" s="25"/>
      <c r="AA173" s="25"/>
      <c r="AB173" s="25"/>
      <c r="AC173" s="25" t="s">
        <v>1107</v>
      </c>
      <c r="AD173" s="25"/>
    </row>
    <row r="174" spans="1:41" ht="17.149999999999999" hidden="1" customHeight="1">
      <c r="A174" s="1" t="s">
        <v>1108</v>
      </c>
      <c r="B174" s="1"/>
      <c r="C174" s="1" t="s">
        <v>1109</v>
      </c>
      <c r="D174" s="1"/>
      <c r="E174" s="1"/>
      <c r="F174" s="1"/>
      <c r="G174" s="1"/>
      <c r="H174" s="1" t="s">
        <v>313</v>
      </c>
      <c r="I174" s="1" t="s">
        <v>1110</v>
      </c>
      <c r="J174" s="1" t="s">
        <v>1110</v>
      </c>
      <c r="K174" s="1" t="s">
        <v>1111</v>
      </c>
      <c r="L174" s="1" t="s">
        <v>45</v>
      </c>
      <c r="M174" s="1" t="s">
        <v>46</v>
      </c>
      <c r="N174" s="1" t="s">
        <v>46</v>
      </c>
      <c r="O174" s="1" t="s">
        <v>46</v>
      </c>
      <c r="P174" s="1" t="s">
        <v>46</v>
      </c>
      <c r="Q174" s="1" t="s">
        <v>46</v>
      </c>
      <c r="R174" s="1" t="s">
        <v>46</v>
      </c>
      <c r="S174" s="1">
        <v>1</v>
      </c>
      <c r="T174" s="1">
        <v>1</v>
      </c>
      <c r="U174" s="1" t="s">
        <v>1112</v>
      </c>
    </row>
    <row r="175" spans="1:41" ht="17.149999999999999" hidden="1" customHeight="1">
      <c r="A175" s="1" t="s">
        <v>1113</v>
      </c>
      <c r="B175" s="1"/>
      <c r="C175" s="1" t="s">
        <v>1114</v>
      </c>
      <c r="D175" s="1"/>
      <c r="E175" s="1"/>
      <c r="F175" s="1"/>
      <c r="G175" s="1"/>
      <c r="H175" s="1" t="s">
        <v>1047</v>
      </c>
      <c r="I175" s="1" t="s">
        <v>46</v>
      </c>
      <c r="J175" s="1" t="s">
        <v>1115</v>
      </c>
      <c r="K175" s="1" t="s">
        <v>1116</v>
      </c>
      <c r="L175" s="1" t="s">
        <v>45</v>
      </c>
      <c r="M175" s="1" t="s">
        <v>46</v>
      </c>
      <c r="N175" s="1">
        <v>348288</v>
      </c>
      <c r="O175" s="1">
        <v>2015</v>
      </c>
      <c r="P175" s="1" t="s">
        <v>46</v>
      </c>
      <c r="Q175" s="1" t="s">
        <v>46</v>
      </c>
      <c r="R175" s="1" t="s">
        <v>46</v>
      </c>
      <c r="S175" s="1">
        <v>1</v>
      </c>
      <c r="T175" s="1">
        <v>1</v>
      </c>
      <c r="U175" s="1" t="s">
        <v>1117</v>
      </c>
    </row>
    <row r="176" spans="1:41" ht="17.149999999999999" hidden="1" customHeight="1">
      <c r="A176" s="1" t="s">
        <v>1118</v>
      </c>
      <c r="B176" s="1"/>
      <c r="C176" s="1" t="s">
        <v>1119</v>
      </c>
      <c r="D176" s="1"/>
      <c r="E176" s="1"/>
      <c r="F176" s="1"/>
      <c r="G176" s="1"/>
      <c r="H176" s="1" t="s">
        <v>1047</v>
      </c>
      <c r="I176" s="1" t="s">
        <v>46</v>
      </c>
      <c r="J176" s="1" t="s">
        <v>1120</v>
      </c>
      <c r="K176" s="1" t="s">
        <v>1121</v>
      </c>
      <c r="L176" s="1" t="s">
        <v>45</v>
      </c>
      <c r="M176" s="1" t="s">
        <v>46</v>
      </c>
      <c r="N176" s="1">
        <v>52259</v>
      </c>
      <c r="O176" s="1">
        <v>2019</v>
      </c>
      <c r="P176" s="1" t="s">
        <v>46</v>
      </c>
      <c r="Q176" s="1" t="s">
        <v>46</v>
      </c>
      <c r="R176" s="1" t="s">
        <v>46</v>
      </c>
      <c r="S176" s="1">
        <v>1</v>
      </c>
      <c r="T176" s="1">
        <v>1</v>
      </c>
      <c r="U176" s="1" t="s">
        <v>1122</v>
      </c>
    </row>
    <row r="177" spans="1:41" ht="17.149999999999999" hidden="1" customHeight="1">
      <c r="A177" s="21" t="s">
        <v>1123</v>
      </c>
      <c r="B177" s="21"/>
      <c r="C177" s="58" t="s">
        <v>1124</v>
      </c>
      <c r="D177" s="61"/>
      <c r="E177" s="61"/>
      <c r="F177" s="61"/>
      <c r="G177" s="61"/>
      <c r="H177" s="21" t="s">
        <v>41</v>
      </c>
      <c r="I177" s="21" t="s">
        <v>680</v>
      </c>
      <c r="J177" s="21" t="s">
        <v>46</v>
      </c>
      <c r="K177" s="21" t="s">
        <v>1125</v>
      </c>
      <c r="L177" s="21" t="s">
        <v>151</v>
      </c>
      <c r="M177" s="21" t="s">
        <v>1126</v>
      </c>
      <c r="N177" s="21" t="s">
        <v>46</v>
      </c>
      <c r="O177" s="21" t="s">
        <v>46</v>
      </c>
      <c r="P177" s="21" t="s">
        <v>46</v>
      </c>
      <c r="Q177" s="21" t="s">
        <v>46</v>
      </c>
      <c r="R177" s="21" t="s">
        <v>46</v>
      </c>
      <c r="S177" s="21">
        <v>1</v>
      </c>
      <c r="T177" s="21" t="s">
        <v>46</v>
      </c>
      <c r="U177" s="21" t="s">
        <v>1127</v>
      </c>
      <c r="V177" s="22"/>
      <c r="W177" s="22"/>
      <c r="X177" s="22"/>
      <c r="Y177" s="22"/>
      <c r="Z177" s="22"/>
      <c r="AA177" s="22"/>
      <c r="AB177" s="22"/>
      <c r="AC177" s="22" t="s">
        <v>1128</v>
      </c>
      <c r="AD177" s="22"/>
    </row>
    <row r="178" spans="1:41" ht="17.149999999999999" hidden="1" customHeight="1">
      <c r="A178" s="17" t="s">
        <v>1129</v>
      </c>
      <c r="B178" s="17"/>
      <c r="C178" s="61" t="s">
        <v>1130</v>
      </c>
      <c r="D178" s="61"/>
      <c r="E178" s="61"/>
      <c r="F178" s="61"/>
      <c r="G178" s="61"/>
      <c r="H178" s="17" t="s">
        <v>41</v>
      </c>
      <c r="I178" s="17" t="s">
        <v>42</v>
      </c>
      <c r="J178" s="17" t="s">
        <v>1131</v>
      </c>
      <c r="K178" s="17" t="s">
        <v>1132</v>
      </c>
      <c r="L178" s="17" t="s">
        <v>45</v>
      </c>
      <c r="M178" s="17" t="s">
        <v>46</v>
      </c>
      <c r="N178" s="17"/>
      <c r="O178" s="17" t="s">
        <v>46</v>
      </c>
      <c r="P178" s="17" t="s">
        <v>46</v>
      </c>
      <c r="Q178" s="17" t="s">
        <v>46</v>
      </c>
      <c r="R178" s="17" t="s">
        <v>46</v>
      </c>
      <c r="S178" s="17">
        <v>1</v>
      </c>
      <c r="T178" s="17">
        <v>1</v>
      </c>
      <c r="U178" s="17" t="s">
        <v>1133</v>
      </c>
      <c r="V178" s="18" t="s">
        <v>40</v>
      </c>
      <c r="W178" s="18"/>
      <c r="X178" s="8" t="s">
        <v>103</v>
      </c>
      <c r="Y178" s="18"/>
      <c r="Z178" s="18" t="s">
        <v>1134</v>
      </c>
      <c r="AA178" s="18" t="s">
        <v>1135</v>
      </c>
      <c r="AB178" s="18"/>
      <c r="AC178" s="18" t="s">
        <v>1136</v>
      </c>
      <c r="AD178" s="18"/>
    </row>
    <row r="179" spans="1:41" s="42" customFormat="1" ht="17.149999999999999" customHeight="1">
      <c r="A179" s="41" t="s">
        <v>1137</v>
      </c>
      <c r="B179" s="41" t="s">
        <v>37</v>
      </c>
      <c r="C179" s="41" t="s">
        <v>1138</v>
      </c>
      <c r="D179" s="1" t="s">
        <v>1138</v>
      </c>
      <c r="E179" s="1" t="s">
        <v>1138</v>
      </c>
      <c r="F179" s="1" t="s">
        <v>1139</v>
      </c>
      <c r="G179" s="1"/>
      <c r="H179" s="41" t="s">
        <v>110</v>
      </c>
      <c r="I179" s="41" t="s">
        <v>46</v>
      </c>
      <c r="J179" s="41" t="s">
        <v>1140</v>
      </c>
      <c r="K179" s="41" t="s">
        <v>1141</v>
      </c>
      <c r="L179" s="41" t="s">
        <v>45</v>
      </c>
      <c r="M179" s="41" t="s">
        <v>46</v>
      </c>
      <c r="N179" s="41">
        <v>2021212</v>
      </c>
      <c r="O179" s="41">
        <v>2015</v>
      </c>
      <c r="P179" s="41">
        <v>2170185</v>
      </c>
      <c r="Q179" s="41">
        <v>2015</v>
      </c>
      <c r="R179" s="41" t="s">
        <v>46</v>
      </c>
      <c r="S179" s="41">
        <v>1</v>
      </c>
      <c r="T179" s="41">
        <v>1</v>
      </c>
      <c r="U179" s="12" t="s">
        <v>1142</v>
      </c>
      <c r="V179" s="42" t="s">
        <v>1143</v>
      </c>
      <c r="W179" s="42" t="s">
        <v>1144</v>
      </c>
      <c r="X179" s="42" t="s">
        <v>40</v>
      </c>
      <c r="Z179" s="42" t="s">
        <v>1145</v>
      </c>
      <c r="AA179" s="95" t="s">
        <v>1146</v>
      </c>
      <c r="AB179" s="42" t="s">
        <v>1147</v>
      </c>
      <c r="AC179" s="85" t="s">
        <v>1148</v>
      </c>
      <c r="AD179" s="42" t="s">
        <v>40</v>
      </c>
      <c r="AE179" s="2"/>
      <c r="AF179" s="2"/>
      <c r="AG179" s="2"/>
      <c r="AH179" s="2"/>
      <c r="AI179" s="2"/>
      <c r="AJ179" s="2" t="s">
        <v>57</v>
      </c>
      <c r="AK179" s="2"/>
      <c r="AL179" s="2"/>
      <c r="AM179" s="2"/>
      <c r="AN179" s="2"/>
      <c r="AO179" s="2"/>
    </row>
    <row r="180" spans="1:41" ht="17.149999999999999" hidden="1" customHeight="1">
      <c r="A180" s="1" t="s">
        <v>1149</v>
      </c>
      <c r="B180" s="1"/>
      <c r="C180" s="1" t="s">
        <v>1150</v>
      </c>
      <c r="D180" s="1"/>
      <c r="E180" s="1"/>
      <c r="F180" s="1"/>
      <c r="G180" s="1"/>
      <c r="H180" s="1" t="s">
        <v>334</v>
      </c>
      <c r="I180" s="1" t="s">
        <v>46</v>
      </c>
      <c r="J180" s="1" t="s">
        <v>1151</v>
      </c>
      <c r="K180" s="1" t="s">
        <v>1152</v>
      </c>
      <c r="L180" s="1" t="s">
        <v>45</v>
      </c>
      <c r="M180" s="1" t="s">
        <v>46</v>
      </c>
      <c r="N180" s="1">
        <v>46747</v>
      </c>
      <c r="O180" s="1">
        <v>2015</v>
      </c>
      <c r="P180" s="1" t="s">
        <v>46</v>
      </c>
      <c r="Q180" s="1" t="s">
        <v>46</v>
      </c>
      <c r="R180" s="1" t="s">
        <v>46</v>
      </c>
      <c r="S180" s="1">
        <v>1</v>
      </c>
      <c r="T180" s="1" t="s">
        <v>46</v>
      </c>
      <c r="U180" s="1" t="s">
        <v>1153</v>
      </c>
    </row>
    <row r="181" spans="1:41" ht="17.149999999999999" hidden="1" customHeight="1">
      <c r="A181" s="1" t="s">
        <v>1154</v>
      </c>
      <c r="B181" s="1"/>
      <c r="C181" s="1" t="s">
        <v>1155</v>
      </c>
      <c r="D181" s="1"/>
      <c r="E181" s="1"/>
      <c r="F181" s="1"/>
      <c r="G181" s="1"/>
      <c r="H181" s="1" t="s">
        <v>334</v>
      </c>
      <c r="I181" s="1" t="s">
        <v>46</v>
      </c>
      <c r="J181" s="1" t="s">
        <v>1156</v>
      </c>
      <c r="K181" s="1" t="s">
        <v>1157</v>
      </c>
      <c r="L181" s="1" t="s">
        <v>45</v>
      </c>
      <c r="M181" s="1" t="s">
        <v>46</v>
      </c>
      <c r="N181" s="1">
        <v>104090</v>
      </c>
      <c r="O181" s="1">
        <v>2015</v>
      </c>
      <c r="P181" s="1" t="s">
        <v>46</v>
      </c>
      <c r="Q181" s="1" t="s">
        <v>46</v>
      </c>
      <c r="R181" s="1" t="s">
        <v>46</v>
      </c>
      <c r="S181" s="1">
        <v>1</v>
      </c>
      <c r="T181" s="1" t="s">
        <v>46</v>
      </c>
      <c r="U181" s="1" t="s">
        <v>1158</v>
      </c>
    </row>
    <row r="182" spans="1:41" ht="17.149999999999999" hidden="1" customHeight="1">
      <c r="A182" s="1" t="s">
        <v>1159</v>
      </c>
      <c r="B182" s="1"/>
      <c r="C182" s="1" t="s">
        <v>1160</v>
      </c>
      <c r="D182" s="1"/>
      <c r="E182" s="1"/>
      <c r="F182" s="1"/>
      <c r="G182" s="1"/>
      <c r="H182" s="1" t="s">
        <v>334</v>
      </c>
      <c r="I182" s="1" t="s">
        <v>46</v>
      </c>
      <c r="J182" s="1" t="s">
        <v>1161</v>
      </c>
      <c r="K182" s="1" t="s">
        <v>1162</v>
      </c>
      <c r="L182" s="1" t="s">
        <v>45</v>
      </c>
      <c r="M182" s="1" t="s">
        <v>46</v>
      </c>
      <c r="N182" s="1">
        <v>101821</v>
      </c>
      <c r="O182" s="1">
        <v>2015</v>
      </c>
      <c r="P182" s="1" t="s">
        <v>46</v>
      </c>
      <c r="Q182" s="1" t="s">
        <v>46</v>
      </c>
      <c r="R182" s="1" t="s">
        <v>46</v>
      </c>
      <c r="S182" s="1">
        <v>1</v>
      </c>
      <c r="T182" s="1" t="s">
        <v>46</v>
      </c>
      <c r="U182" s="1" t="s">
        <v>1163</v>
      </c>
    </row>
    <row r="183" spans="1:41" ht="17.149999999999999" hidden="1" customHeight="1">
      <c r="A183" s="1" t="s">
        <v>1164</v>
      </c>
      <c r="B183" s="1"/>
      <c r="C183" s="1" t="s">
        <v>1165</v>
      </c>
      <c r="D183" s="1"/>
      <c r="E183" s="1"/>
      <c r="F183" s="1"/>
      <c r="G183" s="1"/>
      <c r="H183" s="1" t="s">
        <v>674</v>
      </c>
      <c r="I183" s="1" t="s">
        <v>46</v>
      </c>
      <c r="J183" s="1" t="s">
        <v>1166</v>
      </c>
      <c r="K183" s="1" t="s">
        <v>1167</v>
      </c>
      <c r="L183" s="1" t="s">
        <v>45</v>
      </c>
      <c r="M183" s="1" t="s">
        <v>46</v>
      </c>
      <c r="N183" s="1">
        <v>300000</v>
      </c>
      <c r="O183" s="1">
        <v>2018</v>
      </c>
      <c r="P183" s="1" t="s">
        <v>46</v>
      </c>
      <c r="Q183" s="1" t="s">
        <v>46</v>
      </c>
      <c r="R183" s="1" t="s">
        <v>46</v>
      </c>
      <c r="S183" s="1">
        <v>1</v>
      </c>
      <c r="T183" s="1">
        <v>1</v>
      </c>
      <c r="U183" s="1" t="s">
        <v>1168</v>
      </c>
    </row>
    <row r="184" spans="1:41" ht="17.149999999999999" hidden="1" customHeight="1">
      <c r="A184" s="1" t="s">
        <v>1169</v>
      </c>
      <c r="B184" s="1"/>
      <c r="C184" s="1" t="s">
        <v>1170</v>
      </c>
      <c r="D184" s="1"/>
      <c r="E184" s="1"/>
      <c r="F184" s="1"/>
      <c r="G184" s="1"/>
      <c r="H184" s="1" t="s">
        <v>1171</v>
      </c>
      <c r="I184" s="1" t="s">
        <v>1172</v>
      </c>
      <c r="J184" s="1" t="s">
        <v>1173</v>
      </c>
      <c r="K184" s="1" t="s">
        <v>1174</v>
      </c>
      <c r="L184" s="1" t="s">
        <v>112</v>
      </c>
      <c r="M184" s="1" t="s">
        <v>1175</v>
      </c>
      <c r="N184" s="1" t="s">
        <v>46</v>
      </c>
      <c r="O184" s="1" t="s">
        <v>46</v>
      </c>
      <c r="P184" s="1" t="s">
        <v>46</v>
      </c>
      <c r="Q184" s="1" t="s">
        <v>46</v>
      </c>
      <c r="R184" s="1">
        <v>1</v>
      </c>
      <c r="S184" s="1" t="s">
        <v>46</v>
      </c>
      <c r="T184" s="1" t="s">
        <v>46</v>
      </c>
      <c r="U184" s="1" t="s">
        <v>1176</v>
      </c>
    </row>
    <row r="185" spans="1:41" ht="17.149999999999999" hidden="1" customHeight="1">
      <c r="A185" s="21" t="s">
        <v>1177</v>
      </c>
      <c r="B185" s="21"/>
      <c r="C185" s="58" t="s">
        <v>1178</v>
      </c>
      <c r="D185" s="61"/>
      <c r="E185" s="61"/>
      <c r="F185" s="61"/>
      <c r="G185" s="61"/>
      <c r="H185" s="21" t="s">
        <v>41</v>
      </c>
      <c r="I185" s="21" t="s">
        <v>1179</v>
      </c>
      <c r="J185" s="21" t="s">
        <v>1180</v>
      </c>
      <c r="K185" s="21" t="s">
        <v>1181</v>
      </c>
      <c r="L185" s="21" t="s">
        <v>45</v>
      </c>
      <c r="M185" s="21" t="s">
        <v>46</v>
      </c>
      <c r="N185" s="21" t="s">
        <v>46</v>
      </c>
      <c r="O185" s="21" t="s">
        <v>46</v>
      </c>
      <c r="P185" s="21" t="s">
        <v>46</v>
      </c>
      <c r="Q185" s="21" t="s">
        <v>46</v>
      </c>
      <c r="R185" s="21" t="s">
        <v>46</v>
      </c>
      <c r="S185" s="21">
        <v>1</v>
      </c>
      <c r="T185" s="21">
        <v>1</v>
      </c>
      <c r="U185" s="21" t="s">
        <v>1182</v>
      </c>
      <c r="V185" s="22" t="s">
        <v>103</v>
      </c>
      <c r="W185" s="22"/>
      <c r="X185" s="22"/>
      <c r="Y185" s="22"/>
      <c r="Z185" s="22"/>
      <c r="AA185" s="22"/>
      <c r="AB185" s="22"/>
      <c r="AC185" s="22"/>
      <c r="AD185" s="22"/>
      <c r="AE185" s="2" t="s">
        <v>1183</v>
      </c>
    </row>
    <row r="186" spans="1:41" s="131" customFormat="1" ht="17.149999999999999" hidden="1" customHeight="1">
      <c r="A186" s="143" t="s">
        <v>1184</v>
      </c>
      <c r="B186" s="143" t="s">
        <v>37</v>
      </c>
      <c r="C186" s="143" t="s">
        <v>1185</v>
      </c>
      <c r="D186" s="1"/>
      <c r="E186" s="1"/>
      <c r="F186" s="1"/>
      <c r="G186" s="1"/>
      <c r="H186" s="143" t="s">
        <v>249</v>
      </c>
      <c r="I186" s="143" t="s">
        <v>250</v>
      </c>
      <c r="J186" s="143" t="s">
        <v>1186</v>
      </c>
      <c r="K186" s="143" t="s">
        <v>1187</v>
      </c>
      <c r="L186" s="143" t="s">
        <v>45</v>
      </c>
      <c r="M186" s="143" t="s">
        <v>46</v>
      </c>
      <c r="N186" s="143" t="s">
        <v>46</v>
      </c>
      <c r="O186" s="143" t="s">
        <v>46</v>
      </c>
      <c r="P186" s="143">
        <v>459155</v>
      </c>
      <c r="Q186" s="143">
        <v>2018</v>
      </c>
      <c r="R186" s="143">
        <v>1</v>
      </c>
      <c r="S186" s="143" t="s">
        <v>46</v>
      </c>
      <c r="T186" s="143">
        <v>1</v>
      </c>
      <c r="U186" s="143" t="s">
        <v>1188</v>
      </c>
      <c r="V186" s="131" t="s">
        <v>1189</v>
      </c>
      <c r="AA186" s="131" t="s">
        <v>1190</v>
      </c>
      <c r="AC186" s="131" t="s">
        <v>1191</v>
      </c>
    </row>
    <row r="187" spans="1:41" s="73" customFormat="1" ht="17.149999999999999" hidden="1" customHeight="1">
      <c r="A187" s="72" t="s">
        <v>1192</v>
      </c>
      <c r="B187" s="101" t="s">
        <v>37</v>
      </c>
      <c r="C187" s="72" t="s">
        <v>1193</v>
      </c>
      <c r="D187" s="72"/>
      <c r="E187" s="72"/>
      <c r="F187" s="72"/>
      <c r="G187" s="72"/>
      <c r="H187" s="72" t="s">
        <v>177</v>
      </c>
      <c r="I187" s="72" t="s">
        <v>1194</v>
      </c>
      <c r="J187" s="72" t="s">
        <v>1194</v>
      </c>
      <c r="K187" s="72" t="s">
        <v>1195</v>
      </c>
      <c r="L187" s="72" t="s">
        <v>45</v>
      </c>
      <c r="M187" s="72" t="s">
        <v>46</v>
      </c>
      <c r="N187" s="72">
        <v>6790000</v>
      </c>
      <c r="O187" s="72">
        <v>2024</v>
      </c>
      <c r="P187" s="72">
        <v>5990000</v>
      </c>
      <c r="Q187" s="72">
        <v>2024</v>
      </c>
      <c r="R187" s="72" t="s">
        <v>46</v>
      </c>
      <c r="S187" s="72">
        <v>1</v>
      </c>
      <c r="T187" s="72">
        <v>1</v>
      </c>
      <c r="U187" s="72" t="s">
        <v>1196</v>
      </c>
      <c r="AH187" s="2"/>
      <c r="AI187" s="2"/>
      <c r="AJ187" s="2"/>
    </row>
    <row r="188" spans="1:41" ht="17.149999999999999" customHeight="1">
      <c r="A188" s="41" t="s">
        <v>1197</v>
      </c>
      <c r="B188" s="41" t="s">
        <v>1198</v>
      </c>
      <c r="C188" s="41" t="s">
        <v>1199</v>
      </c>
      <c r="D188" s="1" t="s">
        <v>1200</v>
      </c>
      <c r="E188" s="1" t="s">
        <v>1201</v>
      </c>
      <c r="F188" s="1" t="s">
        <v>1202</v>
      </c>
      <c r="G188" s="1"/>
      <c r="H188" s="41" t="s">
        <v>1203</v>
      </c>
      <c r="I188" s="41" t="s">
        <v>46</v>
      </c>
      <c r="J188" s="41" t="s">
        <v>1204</v>
      </c>
      <c r="K188" s="41" t="s">
        <v>1205</v>
      </c>
      <c r="L188" s="41" t="s">
        <v>45</v>
      </c>
      <c r="M188" s="41" t="s">
        <v>46</v>
      </c>
      <c r="N188" s="41" t="s">
        <v>46</v>
      </c>
      <c r="O188" s="41" t="s">
        <v>46</v>
      </c>
      <c r="P188" s="41">
        <v>1300000</v>
      </c>
      <c r="Q188" s="41">
        <v>2017</v>
      </c>
      <c r="R188" s="41" t="s">
        <v>46</v>
      </c>
      <c r="S188" s="41">
        <v>1</v>
      </c>
      <c r="T188" s="41" t="s">
        <v>46</v>
      </c>
      <c r="U188" s="41" t="s">
        <v>1206</v>
      </c>
      <c r="V188" s="42" t="s">
        <v>40</v>
      </c>
      <c r="W188" s="42"/>
      <c r="X188" s="42" t="s">
        <v>40</v>
      </c>
      <c r="Y188" s="42"/>
      <c r="Z188" s="42"/>
      <c r="AA188" s="42"/>
      <c r="AB188" s="42"/>
      <c r="AC188" s="42"/>
      <c r="AD188" s="42"/>
      <c r="AE188" s="42"/>
      <c r="AF188" s="42"/>
      <c r="AG188" s="42"/>
      <c r="AH188" s="42"/>
      <c r="AI188" s="42"/>
      <c r="AJ188" s="42" t="s">
        <v>57</v>
      </c>
    </row>
    <row r="189" spans="1:41" ht="17.149999999999999" customHeight="1">
      <c r="A189" s="14" t="s">
        <v>1207</v>
      </c>
      <c r="B189" s="14" t="s">
        <v>37</v>
      </c>
      <c r="C189" s="56" t="s">
        <v>1208</v>
      </c>
      <c r="D189" s="152" t="s">
        <v>1209</v>
      </c>
      <c r="E189" s="151" t="s">
        <v>1210</v>
      </c>
      <c r="F189" s="17" t="s">
        <v>1211</v>
      </c>
      <c r="G189" s="61" t="s">
        <v>40</v>
      </c>
      <c r="H189" s="14" t="s">
        <v>41</v>
      </c>
      <c r="I189" s="14" t="s">
        <v>42</v>
      </c>
      <c r="J189" s="14" t="s">
        <v>1212</v>
      </c>
      <c r="K189" s="14" t="s">
        <v>1213</v>
      </c>
      <c r="L189" s="14" t="s">
        <v>45</v>
      </c>
      <c r="M189" s="14" t="s">
        <v>1214</v>
      </c>
      <c r="N189" s="14" t="s">
        <v>46</v>
      </c>
      <c r="O189" s="14" t="s">
        <v>46</v>
      </c>
      <c r="P189" s="16">
        <v>44634</v>
      </c>
      <c r="Q189" s="16">
        <v>2024</v>
      </c>
      <c r="R189" s="14" t="s">
        <v>46</v>
      </c>
      <c r="S189" s="14">
        <v>1</v>
      </c>
      <c r="T189" s="14">
        <v>1</v>
      </c>
      <c r="U189" s="14" t="s">
        <v>1215</v>
      </c>
      <c r="V189" s="6" t="s">
        <v>40</v>
      </c>
      <c r="W189" s="6" t="s">
        <v>1216</v>
      </c>
      <c r="X189" s="6" t="s">
        <v>40</v>
      </c>
      <c r="Y189" s="6"/>
      <c r="Z189" s="6" t="s">
        <v>1217</v>
      </c>
      <c r="AA189" s="6" t="s">
        <v>1218</v>
      </c>
      <c r="AB189" s="6"/>
      <c r="AC189" s="6" t="s">
        <v>1219</v>
      </c>
      <c r="AD189" s="6" t="s">
        <v>40</v>
      </c>
      <c r="AE189" s="2">
        <v>1</v>
      </c>
      <c r="AF189" t="s">
        <v>53</v>
      </c>
      <c r="AG189" s="2" t="s">
        <v>145</v>
      </c>
      <c r="AH189" s="2" t="s">
        <v>55</v>
      </c>
      <c r="AJ189" s="42" t="s">
        <v>57</v>
      </c>
    </row>
    <row r="190" spans="1:41" s="73" customFormat="1" ht="17.149999999999999" hidden="1" customHeight="1">
      <c r="A190" s="115" t="s">
        <v>1220</v>
      </c>
      <c r="B190" s="115" t="s">
        <v>167</v>
      </c>
      <c r="C190" s="115" t="s">
        <v>1221</v>
      </c>
      <c r="D190" s="115"/>
      <c r="E190" s="115"/>
      <c r="F190" s="115"/>
      <c r="G190" s="115"/>
      <c r="H190" s="115" t="s">
        <v>110</v>
      </c>
      <c r="I190" s="115" t="s">
        <v>1222</v>
      </c>
      <c r="J190" s="115" t="s">
        <v>1223</v>
      </c>
      <c r="K190" s="115" t="s">
        <v>1224</v>
      </c>
      <c r="L190" s="115" t="s">
        <v>45</v>
      </c>
      <c r="M190" s="115" t="s">
        <v>46</v>
      </c>
      <c r="N190" s="115">
        <v>4069869</v>
      </c>
      <c r="O190" s="115">
        <v>2015</v>
      </c>
      <c r="P190" s="115">
        <v>4069869</v>
      </c>
      <c r="Q190" s="115">
        <v>2015</v>
      </c>
      <c r="R190" s="115" t="s">
        <v>46</v>
      </c>
      <c r="S190" s="115">
        <v>1</v>
      </c>
      <c r="T190" s="115">
        <v>1</v>
      </c>
      <c r="U190" s="115" t="s">
        <v>1225</v>
      </c>
      <c r="V190" s="117"/>
      <c r="W190" s="117"/>
      <c r="X190" s="117"/>
      <c r="Y190" s="117"/>
      <c r="Z190" s="117"/>
      <c r="AA190" s="11" t="s">
        <v>1226</v>
      </c>
      <c r="AB190" s="117"/>
      <c r="AC190" s="117"/>
      <c r="AD190" s="117"/>
      <c r="AE190" s="117"/>
      <c r="AF190" s="117"/>
      <c r="AG190" s="117"/>
      <c r="AH190" s="117"/>
      <c r="AI190" s="117"/>
      <c r="AJ190" s="117"/>
    </row>
    <row r="191" spans="1:41" ht="17.149999999999999" hidden="1" customHeight="1">
      <c r="A191" s="1" t="s">
        <v>1227</v>
      </c>
      <c r="B191" s="1" t="s">
        <v>772</v>
      </c>
      <c r="C191" s="1" t="s">
        <v>1228</v>
      </c>
      <c r="D191" s="1"/>
      <c r="E191" s="1"/>
      <c r="F191" s="1"/>
      <c r="G191" s="1"/>
      <c r="H191" s="1" t="s">
        <v>619</v>
      </c>
      <c r="I191" s="1" t="s">
        <v>1229</v>
      </c>
      <c r="J191" s="1" t="s">
        <v>1230</v>
      </c>
      <c r="K191" s="1" t="s">
        <v>1231</v>
      </c>
      <c r="L191" s="1" t="s">
        <v>118</v>
      </c>
      <c r="M191" s="1" t="s">
        <v>46</v>
      </c>
      <c r="N191" s="1">
        <v>4400000</v>
      </c>
      <c r="O191" s="1">
        <v>2023</v>
      </c>
      <c r="P191" s="1">
        <v>3965000</v>
      </c>
      <c r="Q191" s="1">
        <v>2023</v>
      </c>
      <c r="R191" s="1" t="s">
        <v>46</v>
      </c>
      <c r="S191" s="1">
        <v>1</v>
      </c>
      <c r="T191" s="1">
        <v>1</v>
      </c>
      <c r="U191" s="1" t="s">
        <v>1232</v>
      </c>
      <c r="X191" s="2" t="s">
        <v>1233</v>
      </c>
    </row>
    <row r="192" spans="1:41" ht="17.149999999999999" hidden="1" customHeight="1">
      <c r="A192" s="21" t="s">
        <v>1234</v>
      </c>
      <c r="B192" s="21" t="s">
        <v>37</v>
      </c>
      <c r="C192" s="58" t="s">
        <v>1235</v>
      </c>
      <c r="D192" s="61"/>
      <c r="E192" s="61"/>
      <c r="F192" s="61"/>
      <c r="G192" s="61"/>
      <c r="H192" s="21" t="s">
        <v>41</v>
      </c>
      <c r="I192" s="21" t="s">
        <v>1236</v>
      </c>
      <c r="J192" s="21" t="s">
        <v>1236</v>
      </c>
      <c r="K192" s="21" t="s">
        <v>1237</v>
      </c>
      <c r="L192" s="21" t="s">
        <v>45</v>
      </c>
      <c r="M192" s="21" t="s">
        <v>1238</v>
      </c>
      <c r="N192" s="21">
        <v>3600000</v>
      </c>
      <c r="O192" s="21">
        <v>2016</v>
      </c>
      <c r="P192" s="21">
        <v>3900000</v>
      </c>
      <c r="Q192" s="21">
        <v>2015</v>
      </c>
      <c r="R192" s="21" t="s">
        <v>46</v>
      </c>
      <c r="S192" s="21">
        <v>1</v>
      </c>
      <c r="T192" s="21">
        <v>1</v>
      </c>
      <c r="U192" s="21" t="s">
        <v>1239</v>
      </c>
      <c r="V192" s="22" t="s">
        <v>103</v>
      </c>
      <c r="W192" s="22"/>
      <c r="X192" s="22"/>
      <c r="Y192" s="22"/>
      <c r="Z192" s="22"/>
      <c r="AA192" s="22"/>
      <c r="AB192" s="22"/>
      <c r="AC192" s="22"/>
      <c r="AD192" s="22"/>
    </row>
    <row r="193" spans="1:41" s="39" customFormat="1" ht="17.149999999999999" customHeight="1">
      <c r="A193" s="38" t="s">
        <v>1240</v>
      </c>
      <c r="B193" s="38" t="s">
        <v>772</v>
      </c>
      <c r="C193" s="38" t="s">
        <v>1241</v>
      </c>
      <c r="D193" s="1" t="s">
        <v>1241</v>
      </c>
      <c r="E193" s="1" t="s">
        <v>1241</v>
      </c>
      <c r="F193" s="1" t="s">
        <v>62</v>
      </c>
      <c r="G193" s="1" t="s">
        <v>40</v>
      </c>
      <c r="H193" s="38" t="s">
        <v>177</v>
      </c>
      <c r="I193" s="38" t="s">
        <v>1242</v>
      </c>
      <c r="J193" s="38" t="s">
        <v>1243</v>
      </c>
      <c r="K193" s="38" t="s">
        <v>1244</v>
      </c>
      <c r="L193" s="38" t="s">
        <v>45</v>
      </c>
      <c r="M193" s="38" t="s">
        <v>46</v>
      </c>
      <c r="N193" s="38" t="s">
        <v>46</v>
      </c>
      <c r="O193" s="38" t="s">
        <v>46</v>
      </c>
      <c r="P193" s="38">
        <v>3400000</v>
      </c>
      <c r="Q193" s="38">
        <v>2015</v>
      </c>
      <c r="R193" s="38">
        <v>1</v>
      </c>
      <c r="S193" s="38" t="s">
        <v>46</v>
      </c>
      <c r="T193" s="38" t="s">
        <v>46</v>
      </c>
      <c r="U193" s="38" t="s">
        <v>1245</v>
      </c>
      <c r="V193" s="39" t="s">
        <v>40</v>
      </c>
      <c r="W193" s="39" t="s">
        <v>67</v>
      </c>
      <c r="X193" s="39" t="s">
        <v>40</v>
      </c>
      <c r="Z193" s="39" t="s">
        <v>1246</v>
      </c>
      <c r="AA193" s="39" t="s">
        <v>1247</v>
      </c>
      <c r="AE193" s="39">
        <v>4</v>
      </c>
      <c r="AF193" s="39" t="s">
        <v>53</v>
      </c>
      <c r="AH193" s="2"/>
      <c r="AI193" s="2"/>
      <c r="AJ193" s="2" t="s">
        <v>57</v>
      </c>
    </row>
    <row r="194" spans="1:41" s="102" customFormat="1" ht="17.149999999999999" hidden="1" customHeight="1">
      <c r="A194" s="112" t="s">
        <v>1248</v>
      </c>
      <c r="B194" s="112" t="s">
        <v>857</v>
      </c>
      <c r="C194" s="112" t="s">
        <v>1249</v>
      </c>
      <c r="D194" s="115"/>
      <c r="E194" s="115"/>
      <c r="F194" s="115"/>
      <c r="G194" s="115"/>
      <c r="H194" s="112" t="s">
        <v>110</v>
      </c>
      <c r="I194" s="112" t="s">
        <v>46</v>
      </c>
      <c r="J194" s="112" t="s">
        <v>1250</v>
      </c>
      <c r="K194" s="112" t="s">
        <v>1251</v>
      </c>
      <c r="L194" s="112" t="s">
        <v>118</v>
      </c>
      <c r="M194" s="112" t="s">
        <v>1252</v>
      </c>
      <c r="N194" s="112">
        <v>3600000</v>
      </c>
      <c r="O194" s="112">
        <v>2019</v>
      </c>
      <c r="P194" s="112">
        <v>3100000</v>
      </c>
      <c r="Q194" s="112">
        <v>2017</v>
      </c>
      <c r="R194" s="112" t="s">
        <v>46</v>
      </c>
      <c r="S194" s="112">
        <v>1</v>
      </c>
      <c r="T194" s="112">
        <v>1</v>
      </c>
      <c r="U194" s="112" t="s">
        <v>1253</v>
      </c>
      <c r="V194" s="113" t="s">
        <v>1254</v>
      </c>
      <c r="W194" s="113" t="s">
        <v>323</v>
      </c>
      <c r="X194" s="113"/>
      <c r="Y194" s="113"/>
      <c r="Z194" s="113"/>
      <c r="AA194" s="113"/>
      <c r="AB194" s="113"/>
      <c r="AC194" s="113"/>
      <c r="AD194" s="113"/>
      <c r="AE194" s="113">
        <v>5</v>
      </c>
      <c r="AF194" s="113" t="s">
        <v>1255</v>
      </c>
      <c r="AG194" s="113"/>
      <c r="AH194" s="113"/>
      <c r="AI194" s="113"/>
      <c r="AJ194" s="2"/>
    </row>
    <row r="195" spans="1:41" ht="17.149999999999999" customHeight="1">
      <c r="A195" s="41" t="s">
        <v>1256</v>
      </c>
      <c r="B195" s="41" t="s">
        <v>1198</v>
      </c>
      <c r="C195" s="41" t="s">
        <v>1257</v>
      </c>
      <c r="D195" s="144" t="s">
        <v>1258</v>
      </c>
      <c r="E195" s="144" t="s">
        <v>1258</v>
      </c>
      <c r="F195" s="1" t="s">
        <v>1257</v>
      </c>
      <c r="G195" s="1"/>
      <c r="H195" s="14" t="s">
        <v>41</v>
      </c>
      <c r="I195" s="41"/>
      <c r="J195" s="41" t="s">
        <v>1259</v>
      </c>
      <c r="K195" s="41" t="s">
        <v>1260</v>
      </c>
      <c r="L195" s="14" t="s">
        <v>45</v>
      </c>
      <c r="M195" s="41"/>
      <c r="N195" s="41"/>
      <c r="O195" s="41"/>
      <c r="P195" s="41">
        <v>660000</v>
      </c>
      <c r="Q195" s="41">
        <v>2025</v>
      </c>
      <c r="R195" s="41">
        <v>1</v>
      </c>
      <c r="S195" s="41"/>
      <c r="T195" s="41"/>
      <c r="U195" s="41" t="s">
        <v>1261</v>
      </c>
      <c r="V195" s="42" t="s">
        <v>40</v>
      </c>
      <c r="W195" s="42" t="s">
        <v>1262</v>
      </c>
      <c r="X195" s="42" t="s">
        <v>40</v>
      </c>
      <c r="Y195" s="42"/>
      <c r="Z195" s="42">
        <v>8</v>
      </c>
      <c r="AA195" s="42"/>
      <c r="AB195" s="42"/>
      <c r="AC195" s="6"/>
      <c r="AD195" s="6"/>
      <c r="AE195" s="42">
        <v>1</v>
      </c>
      <c r="AF195" s="42" t="s">
        <v>1263</v>
      </c>
      <c r="AG195" s="42"/>
      <c r="AH195" s="42" t="s">
        <v>55</v>
      </c>
      <c r="AI195" s="42"/>
      <c r="AJ195" s="2" t="s">
        <v>57</v>
      </c>
    </row>
    <row r="196" spans="1:41" s="42" customFormat="1" ht="17.149999999999999" customHeight="1">
      <c r="A196" s="41" t="s">
        <v>1256</v>
      </c>
      <c r="B196" s="41" t="s">
        <v>1198</v>
      </c>
      <c r="C196" s="90" t="s">
        <v>1264</v>
      </c>
      <c r="D196" s="144" t="s">
        <v>1265</v>
      </c>
      <c r="E196" s="144" t="s">
        <v>1266</v>
      </c>
      <c r="F196" s="17" t="s">
        <v>1264</v>
      </c>
      <c r="G196" s="17" t="s">
        <v>40</v>
      </c>
      <c r="H196" s="14" t="s">
        <v>41</v>
      </c>
      <c r="I196" s="41"/>
      <c r="J196" s="41" t="s">
        <v>1259</v>
      </c>
      <c r="K196" s="41" t="s">
        <v>1267</v>
      </c>
      <c r="L196" s="14" t="s">
        <v>45</v>
      </c>
      <c r="M196" s="41"/>
      <c r="N196" s="41"/>
      <c r="O196" s="41"/>
      <c r="P196" s="41">
        <v>140000</v>
      </c>
      <c r="Q196" s="41">
        <v>2025</v>
      </c>
      <c r="R196" s="41">
        <v>1</v>
      </c>
      <c r="S196" s="41"/>
      <c r="T196" s="41"/>
      <c r="U196" s="41" t="s">
        <v>1268</v>
      </c>
      <c r="V196" s="42" t="s">
        <v>40</v>
      </c>
      <c r="W196" s="42" t="s">
        <v>1262</v>
      </c>
      <c r="X196" s="42" t="s">
        <v>40</v>
      </c>
      <c r="Z196" s="42" t="s">
        <v>1269</v>
      </c>
      <c r="AA196" s="42" t="s">
        <v>1270</v>
      </c>
      <c r="AC196" s="6" t="s">
        <v>1271</v>
      </c>
      <c r="AD196" s="6"/>
      <c r="AE196" s="42">
        <v>1</v>
      </c>
      <c r="AF196" s="42" t="s">
        <v>1263</v>
      </c>
      <c r="AJ196" s="2" t="s">
        <v>57</v>
      </c>
      <c r="AK196" s="2"/>
      <c r="AL196" s="2"/>
      <c r="AM196" s="2"/>
      <c r="AN196" s="2"/>
      <c r="AO196" s="2"/>
    </row>
    <row r="197" spans="1:41" ht="17.149999999999999" hidden="1" customHeight="1">
      <c r="A197" s="1" t="s">
        <v>1272</v>
      </c>
      <c r="B197" s="1"/>
      <c r="C197" s="1" t="s">
        <v>1273</v>
      </c>
      <c r="D197" s="1"/>
      <c r="E197" s="1"/>
      <c r="F197" s="1"/>
      <c r="G197" s="1"/>
      <c r="H197" s="1" t="s">
        <v>268</v>
      </c>
      <c r="I197" s="1" t="s">
        <v>269</v>
      </c>
      <c r="J197" s="1" t="s">
        <v>1274</v>
      </c>
      <c r="K197" s="1" t="s">
        <v>1275</v>
      </c>
      <c r="L197" s="1" t="s">
        <v>45</v>
      </c>
      <c r="M197" s="1" t="s">
        <v>46</v>
      </c>
      <c r="N197" s="1">
        <v>3361571</v>
      </c>
      <c r="O197" s="1">
        <v>2023</v>
      </c>
      <c r="P197" s="1">
        <v>2791292</v>
      </c>
      <c r="Q197" s="1">
        <v>2017</v>
      </c>
      <c r="R197" s="1" t="s">
        <v>46</v>
      </c>
      <c r="S197" s="1">
        <v>1</v>
      </c>
      <c r="T197" s="1" t="s">
        <v>46</v>
      </c>
      <c r="U197" s="1" t="s">
        <v>1276</v>
      </c>
    </row>
    <row r="198" spans="1:41" ht="17.149999999999999" hidden="1" customHeight="1">
      <c r="A198" s="1" t="s">
        <v>1277</v>
      </c>
      <c r="B198" s="1" t="s">
        <v>175</v>
      </c>
      <c r="C198" s="1" t="s">
        <v>1278</v>
      </c>
      <c r="D198" s="1"/>
      <c r="E198" s="1"/>
      <c r="F198" s="1"/>
      <c r="G198" s="1"/>
      <c r="H198" s="1" t="s">
        <v>1279</v>
      </c>
      <c r="I198" s="1" t="s">
        <v>46</v>
      </c>
      <c r="J198" s="1" t="s">
        <v>1280</v>
      </c>
      <c r="K198" s="1" t="s">
        <v>1281</v>
      </c>
      <c r="L198" s="1" t="s">
        <v>45</v>
      </c>
      <c r="M198" s="1" t="s">
        <v>46</v>
      </c>
      <c r="N198" s="1">
        <v>2500000</v>
      </c>
      <c r="O198" s="1">
        <v>2019</v>
      </c>
      <c r="P198" s="1">
        <v>2500000</v>
      </c>
      <c r="Q198" s="1">
        <v>2019</v>
      </c>
      <c r="R198" s="1" t="s">
        <v>46</v>
      </c>
      <c r="S198" s="1">
        <v>1</v>
      </c>
      <c r="T198" s="1" t="s">
        <v>46</v>
      </c>
      <c r="U198" s="34" t="s">
        <v>1282</v>
      </c>
      <c r="Z198" s="80"/>
    </row>
    <row r="199" spans="1:41" ht="17.149999999999999" customHeight="1">
      <c r="A199" s="1" t="s">
        <v>1283</v>
      </c>
      <c r="B199" s="1" t="s">
        <v>1198</v>
      </c>
      <c r="C199" s="1" t="s">
        <v>1284</v>
      </c>
      <c r="D199" s="144" t="s">
        <v>1285</v>
      </c>
      <c r="E199" s="1" t="s">
        <v>1284</v>
      </c>
      <c r="F199" s="1" t="s">
        <v>62</v>
      </c>
      <c r="G199" s="1" t="s">
        <v>40</v>
      </c>
      <c r="H199" s="1" t="s">
        <v>640</v>
      </c>
      <c r="I199" s="1" t="s">
        <v>46</v>
      </c>
      <c r="J199" s="1" t="s">
        <v>1286</v>
      </c>
      <c r="K199" s="1" t="s">
        <v>1287</v>
      </c>
      <c r="L199" s="1" t="s">
        <v>45</v>
      </c>
      <c r="M199" s="1" t="s">
        <v>46</v>
      </c>
      <c r="N199" s="1">
        <v>256000</v>
      </c>
      <c r="O199" s="1">
        <v>2016</v>
      </c>
      <c r="P199" s="1">
        <v>256000</v>
      </c>
      <c r="Q199" s="1">
        <v>2016</v>
      </c>
      <c r="R199" s="1" t="s">
        <v>46</v>
      </c>
      <c r="S199" s="1">
        <v>1</v>
      </c>
      <c r="T199" s="1">
        <v>1</v>
      </c>
      <c r="U199" s="1" t="s">
        <v>1288</v>
      </c>
      <c r="V199" s="2" t="s">
        <v>40</v>
      </c>
      <c r="W199" s="2" t="s">
        <v>1289</v>
      </c>
      <c r="X199" s="2" t="s">
        <v>40</v>
      </c>
      <c r="Z199" s="2" t="s">
        <v>1290</v>
      </c>
      <c r="AA199" s="11"/>
      <c r="AE199" s="2">
        <v>1</v>
      </c>
      <c r="AF199" s="2" t="s">
        <v>1291</v>
      </c>
      <c r="AJ199" s="2" t="s">
        <v>57</v>
      </c>
    </row>
    <row r="200" spans="1:41" ht="17.149999999999999" hidden="1" customHeight="1">
      <c r="A200" s="1" t="s">
        <v>1292</v>
      </c>
      <c r="B200" s="1"/>
      <c r="C200" s="1" t="s">
        <v>1293</v>
      </c>
      <c r="D200" s="1"/>
      <c r="E200" s="1"/>
      <c r="F200" s="1"/>
      <c r="G200" s="1"/>
      <c r="H200" s="1" t="s">
        <v>268</v>
      </c>
      <c r="I200" s="1" t="s">
        <v>1294</v>
      </c>
      <c r="J200" s="1" t="s">
        <v>1274</v>
      </c>
      <c r="K200" s="1" t="s">
        <v>1295</v>
      </c>
      <c r="L200" s="1" t="s">
        <v>45</v>
      </c>
      <c r="M200" s="1" t="s">
        <v>46</v>
      </c>
      <c r="N200" s="1">
        <v>2250000</v>
      </c>
      <c r="O200" s="1">
        <v>2022</v>
      </c>
      <c r="P200" s="1">
        <v>2250000</v>
      </c>
      <c r="Q200" s="1">
        <v>2019</v>
      </c>
      <c r="R200" s="1" t="s">
        <v>46</v>
      </c>
      <c r="S200" s="1">
        <v>1</v>
      </c>
      <c r="T200" s="1" t="s">
        <v>46</v>
      </c>
      <c r="U200" s="1" t="s">
        <v>1296</v>
      </c>
      <c r="AA200" s="78" t="s">
        <v>1297</v>
      </c>
    </row>
    <row r="201" spans="1:41" ht="17.149999999999999" customHeight="1">
      <c r="A201" s="14" t="s">
        <v>1298</v>
      </c>
      <c r="B201" s="14" t="s">
        <v>37</v>
      </c>
      <c r="C201" s="56" t="s">
        <v>1299</v>
      </c>
      <c r="D201" s="17" t="s">
        <v>1299</v>
      </c>
      <c r="E201" s="17" t="s">
        <v>1299</v>
      </c>
      <c r="F201" s="1" t="s">
        <v>62</v>
      </c>
      <c r="G201" s="1" t="s">
        <v>40</v>
      </c>
      <c r="H201" s="14" t="s">
        <v>41</v>
      </c>
      <c r="I201" s="14" t="s">
        <v>63</v>
      </c>
      <c r="J201" s="49" t="s">
        <v>1299</v>
      </c>
      <c r="K201" s="14" t="s">
        <v>1300</v>
      </c>
      <c r="L201" s="14" t="s">
        <v>45</v>
      </c>
      <c r="M201" s="14" t="s">
        <v>46</v>
      </c>
      <c r="N201" s="14" t="s">
        <v>46</v>
      </c>
      <c r="O201" s="14" t="s">
        <v>46</v>
      </c>
      <c r="P201" s="48">
        <v>114473</v>
      </c>
      <c r="Q201" s="16">
        <v>2024</v>
      </c>
      <c r="R201" s="14" t="s">
        <v>46</v>
      </c>
      <c r="S201" s="14">
        <v>1</v>
      </c>
      <c r="T201" s="14">
        <v>1</v>
      </c>
      <c r="U201" s="14" t="s">
        <v>1301</v>
      </c>
      <c r="V201" s="6" t="s">
        <v>40</v>
      </c>
      <c r="W201" s="6" t="s">
        <v>78</v>
      </c>
      <c r="X201" s="33" t="s">
        <v>40</v>
      </c>
      <c r="Y201" s="33"/>
      <c r="Z201" s="6" t="s">
        <v>1302</v>
      </c>
      <c r="AA201" s="6" t="s">
        <v>1303</v>
      </c>
      <c r="AB201" s="6"/>
      <c r="AC201" s="6" t="s">
        <v>1304</v>
      </c>
      <c r="AD201" s="6" t="s">
        <v>40</v>
      </c>
      <c r="AE201" s="2">
        <v>1</v>
      </c>
      <c r="AF201" t="s">
        <v>53</v>
      </c>
      <c r="AG201" s="2" t="s">
        <v>71</v>
      </c>
      <c r="AH201" s="2" t="s">
        <v>55</v>
      </c>
      <c r="AJ201" s="2" t="s">
        <v>57</v>
      </c>
    </row>
    <row r="202" spans="1:41" ht="17.149999999999999" customHeight="1">
      <c r="A202" s="41" t="s">
        <v>1305</v>
      </c>
      <c r="B202" s="41" t="s">
        <v>37</v>
      </c>
      <c r="C202" s="41" t="s">
        <v>1306</v>
      </c>
      <c r="D202" s="1" t="s">
        <v>1306</v>
      </c>
      <c r="E202" s="1" t="s">
        <v>1307</v>
      </c>
      <c r="F202" s="1" t="s">
        <v>62</v>
      </c>
      <c r="G202" s="1" t="s">
        <v>40</v>
      </c>
      <c r="H202" s="41" t="s">
        <v>249</v>
      </c>
      <c r="I202" s="41" t="s">
        <v>1308</v>
      </c>
      <c r="J202" s="41" t="s">
        <v>1309</v>
      </c>
      <c r="K202" s="41" t="s">
        <v>1310</v>
      </c>
      <c r="L202" s="41" t="s">
        <v>45</v>
      </c>
      <c r="M202" s="41" t="s">
        <v>1311</v>
      </c>
      <c r="N202" s="41">
        <v>718473</v>
      </c>
      <c r="O202" s="41">
        <v>2018</v>
      </c>
      <c r="P202" s="41">
        <v>767474</v>
      </c>
      <c r="Q202" s="41">
        <v>2018</v>
      </c>
      <c r="R202" s="41" t="s">
        <v>46</v>
      </c>
      <c r="S202" s="41">
        <v>1</v>
      </c>
      <c r="T202" s="41">
        <v>1</v>
      </c>
      <c r="U202" s="41" t="s">
        <v>1312</v>
      </c>
      <c r="V202" s="42" t="s">
        <v>1313</v>
      </c>
      <c r="W202" s="42" t="s">
        <v>1314</v>
      </c>
      <c r="X202" s="42" t="s">
        <v>40</v>
      </c>
      <c r="Y202" s="42" t="s">
        <v>1315</v>
      </c>
      <c r="Z202" s="42" t="s">
        <v>1316</v>
      </c>
      <c r="AA202" s="42" t="s">
        <v>1317</v>
      </c>
      <c r="AB202" s="42"/>
      <c r="AC202" s="42"/>
      <c r="AD202" s="42"/>
      <c r="AE202" s="42">
        <v>2</v>
      </c>
      <c r="AF202" s="42" t="s">
        <v>1263</v>
      </c>
      <c r="AG202" s="42"/>
      <c r="AH202" s="42"/>
      <c r="AI202" s="42"/>
      <c r="AJ202" s="42" t="s">
        <v>1318</v>
      </c>
      <c r="AK202" s="42"/>
      <c r="AL202" s="42"/>
      <c r="AM202" s="42"/>
      <c r="AN202" s="42"/>
      <c r="AO202" s="42"/>
    </row>
    <row r="203" spans="1:41" ht="17.149999999999999" customHeight="1">
      <c r="A203" s="41" t="s">
        <v>1319</v>
      </c>
      <c r="B203" s="41" t="s">
        <v>37</v>
      </c>
      <c r="C203" s="41" t="s">
        <v>1320</v>
      </c>
      <c r="D203" s="144" t="s">
        <v>1320</v>
      </c>
      <c r="E203" s="144" t="s">
        <v>1321</v>
      </c>
      <c r="F203" s="144" t="s">
        <v>1322</v>
      </c>
      <c r="G203" s="1" t="s">
        <v>40</v>
      </c>
      <c r="H203" s="41" t="s">
        <v>177</v>
      </c>
      <c r="I203" s="41" t="s">
        <v>1323</v>
      </c>
      <c r="J203" s="41" t="s">
        <v>1324</v>
      </c>
      <c r="K203" s="41" t="s">
        <v>1325</v>
      </c>
      <c r="L203" s="41" t="s">
        <v>45</v>
      </c>
      <c r="M203" s="41" t="s">
        <v>46</v>
      </c>
      <c r="N203" s="41">
        <v>1150000</v>
      </c>
      <c r="O203" s="41">
        <v>2018</v>
      </c>
      <c r="P203" s="41">
        <v>1150000</v>
      </c>
      <c r="Q203" s="41">
        <v>2018</v>
      </c>
      <c r="R203" s="41" t="s">
        <v>46</v>
      </c>
      <c r="S203" s="41">
        <v>1</v>
      </c>
      <c r="T203" s="41">
        <v>1</v>
      </c>
      <c r="U203" s="41" t="s">
        <v>1326</v>
      </c>
      <c r="V203" s="42" t="s">
        <v>40</v>
      </c>
      <c r="W203" s="42" t="s">
        <v>1327</v>
      </c>
      <c r="X203" s="42" t="s">
        <v>40</v>
      </c>
      <c r="Y203" s="42"/>
      <c r="Z203" s="42" t="s">
        <v>1328</v>
      </c>
      <c r="AA203" s="42" t="s">
        <v>1329</v>
      </c>
      <c r="AB203" s="42"/>
      <c r="AC203" s="5" t="s">
        <v>1330</v>
      </c>
      <c r="AD203" s="42"/>
      <c r="AE203" s="42">
        <v>1</v>
      </c>
      <c r="AF203" s="42" t="s">
        <v>404</v>
      </c>
      <c r="AG203" s="42"/>
      <c r="AJ203" s="2" t="s">
        <v>57</v>
      </c>
    </row>
    <row r="204" spans="1:41" ht="17.149999999999999" customHeight="1">
      <c r="A204" s="14" t="s">
        <v>1331</v>
      </c>
      <c r="B204" s="14" t="s">
        <v>37</v>
      </c>
      <c r="C204" s="64" t="s">
        <v>1332</v>
      </c>
      <c r="D204" t="s">
        <v>1333</v>
      </c>
      <c r="E204" s="154" t="s">
        <v>1334</v>
      </c>
      <c r="F204" s="144" t="s">
        <v>1335</v>
      </c>
      <c r="G204" s="168" t="s">
        <v>40</v>
      </c>
      <c r="H204" s="14" t="s">
        <v>41</v>
      </c>
      <c r="I204" s="14" t="s">
        <v>63</v>
      </c>
      <c r="J204" s="14" t="s">
        <v>1336</v>
      </c>
      <c r="K204" s="14" t="s">
        <v>1337</v>
      </c>
      <c r="L204" s="14" t="s">
        <v>45</v>
      </c>
      <c r="M204" s="14" t="s">
        <v>46</v>
      </c>
      <c r="N204" s="14" t="s">
        <v>46</v>
      </c>
      <c r="O204" s="14" t="s">
        <v>46</v>
      </c>
      <c r="P204" s="16">
        <v>157137</v>
      </c>
      <c r="Q204" s="16">
        <v>2025</v>
      </c>
      <c r="R204" s="14" t="s">
        <v>46</v>
      </c>
      <c r="S204" s="14">
        <v>1</v>
      </c>
      <c r="T204" s="14">
        <v>1</v>
      </c>
      <c r="U204" s="14" t="s">
        <v>1338</v>
      </c>
      <c r="V204" s="6" t="s">
        <v>40</v>
      </c>
      <c r="W204" s="6" t="s">
        <v>48</v>
      </c>
      <c r="X204" s="33" t="s">
        <v>40</v>
      </c>
      <c r="Y204" s="33"/>
      <c r="Z204" s="6" t="s">
        <v>1339</v>
      </c>
      <c r="AA204" s="6" t="s">
        <v>1340</v>
      </c>
      <c r="AB204" s="6"/>
      <c r="AC204" s="6" t="s">
        <v>1341</v>
      </c>
      <c r="AD204" s="33" t="s">
        <v>40</v>
      </c>
      <c r="AE204" s="2">
        <v>1</v>
      </c>
      <c r="AF204" t="s">
        <v>53</v>
      </c>
      <c r="AJ204" s="2" t="s">
        <v>57</v>
      </c>
    </row>
    <row r="205" spans="1:41" ht="17.149999999999999" hidden="1" customHeight="1">
      <c r="A205" s="106" t="s">
        <v>1342</v>
      </c>
      <c r="B205" s="106"/>
      <c r="C205" s="63" t="s">
        <v>1343</v>
      </c>
      <c r="D205" s="61"/>
      <c r="E205" s="61"/>
      <c r="F205" s="61"/>
      <c r="G205" s="61"/>
      <c r="H205" s="106" t="s">
        <v>41</v>
      </c>
      <c r="I205" s="106" t="s">
        <v>1344</v>
      </c>
      <c r="J205" s="106" t="s">
        <v>1344</v>
      </c>
      <c r="K205" s="106" t="s">
        <v>1345</v>
      </c>
      <c r="L205" s="106" t="s">
        <v>45</v>
      </c>
      <c r="M205" s="106" t="s">
        <v>1346</v>
      </c>
      <c r="N205" s="106">
        <v>2000000</v>
      </c>
      <c r="O205" s="106">
        <v>2016</v>
      </c>
      <c r="P205" s="106">
        <v>1960000</v>
      </c>
      <c r="Q205" s="106">
        <v>2015</v>
      </c>
      <c r="R205" s="106" t="s">
        <v>46</v>
      </c>
      <c r="S205" s="106">
        <v>1</v>
      </c>
      <c r="T205" s="106">
        <v>1</v>
      </c>
      <c r="U205" s="106" t="s">
        <v>1347</v>
      </c>
      <c r="V205" s="107"/>
      <c r="W205" s="107"/>
      <c r="X205" s="107"/>
      <c r="Y205" s="107"/>
      <c r="Z205" s="107"/>
      <c r="AA205" s="108" t="s">
        <v>910</v>
      </c>
      <c r="AB205" s="109" t="s">
        <v>912</v>
      </c>
      <c r="AC205" s="109"/>
      <c r="AD205" s="109"/>
      <c r="AE205" s="109"/>
      <c r="AF205" s="109"/>
      <c r="AG205" s="109"/>
      <c r="AH205" s="109"/>
      <c r="AI205" s="109"/>
      <c r="AJ205" s="109"/>
    </row>
    <row r="206" spans="1:41" ht="17.149999999999999" customHeight="1">
      <c r="A206" s="14" t="s">
        <v>1348</v>
      </c>
      <c r="B206" s="14"/>
      <c r="C206" s="70" t="s">
        <v>1349</v>
      </c>
      <c r="D206" s="144" t="s">
        <v>1349</v>
      </c>
      <c r="E206" s="144" t="s">
        <v>1350</v>
      </c>
      <c r="F206" s="17" t="s">
        <v>62</v>
      </c>
      <c r="G206" t="s">
        <v>40</v>
      </c>
      <c r="H206" s="14" t="s">
        <v>41</v>
      </c>
      <c r="I206" s="14" t="s">
        <v>63</v>
      </c>
      <c r="J206" s="14" t="s">
        <v>1351</v>
      </c>
      <c r="K206" s="14" t="s">
        <v>1352</v>
      </c>
      <c r="L206" s="14" t="s">
        <v>45</v>
      </c>
      <c r="M206" s="14" t="s">
        <v>46</v>
      </c>
      <c r="N206" s="14" t="s">
        <v>46</v>
      </c>
      <c r="O206" s="14" t="s">
        <v>46</v>
      </c>
      <c r="P206" s="50">
        <v>74229</v>
      </c>
      <c r="Q206" s="16">
        <v>2023</v>
      </c>
      <c r="R206" s="14" t="s">
        <v>46</v>
      </c>
      <c r="S206" s="14">
        <v>1</v>
      </c>
      <c r="T206" s="14">
        <v>1</v>
      </c>
      <c r="U206" s="14" t="s">
        <v>1353</v>
      </c>
      <c r="V206" s="6" t="s">
        <v>40</v>
      </c>
      <c r="W206" s="6" t="s">
        <v>1354</v>
      </c>
      <c r="X206" s="33" t="s">
        <v>40</v>
      </c>
      <c r="Y206" s="33"/>
      <c r="Z206" s="6" t="s">
        <v>1355</v>
      </c>
      <c r="AA206" s="6"/>
      <c r="AB206" s="6"/>
      <c r="AC206" s="6"/>
      <c r="AD206" s="6"/>
      <c r="AF206"/>
      <c r="AH206" s="2" t="s">
        <v>55</v>
      </c>
      <c r="AJ206" s="2" t="s">
        <v>57</v>
      </c>
    </row>
    <row r="207" spans="1:41" ht="17.149999999999999" hidden="1" customHeight="1">
      <c r="A207" s="86" t="s">
        <v>1356</v>
      </c>
      <c r="B207" s="86" t="s">
        <v>37</v>
      </c>
      <c r="C207" s="86" t="s">
        <v>1357</v>
      </c>
      <c r="D207" s="1"/>
      <c r="E207" s="1"/>
      <c r="F207" s="1"/>
      <c r="G207" s="1"/>
      <c r="H207" s="86" t="s">
        <v>1203</v>
      </c>
      <c r="I207" s="86" t="s">
        <v>46</v>
      </c>
      <c r="J207" s="86" t="s">
        <v>1358</v>
      </c>
      <c r="K207" s="86" t="s">
        <v>1359</v>
      </c>
      <c r="L207" s="86" t="s">
        <v>45</v>
      </c>
      <c r="M207" s="86" t="s">
        <v>46</v>
      </c>
      <c r="N207" s="86" t="s">
        <v>46</v>
      </c>
      <c r="O207" s="86" t="s">
        <v>46</v>
      </c>
      <c r="P207" s="86">
        <v>1800000</v>
      </c>
      <c r="Q207" s="86">
        <v>2019</v>
      </c>
      <c r="R207" s="86" t="s">
        <v>46</v>
      </c>
      <c r="S207" s="86">
        <v>1</v>
      </c>
      <c r="T207" s="86" t="s">
        <v>46</v>
      </c>
      <c r="U207" s="86" t="s">
        <v>1360</v>
      </c>
      <c r="V207" s="87" t="s">
        <v>40</v>
      </c>
      <c r="W207" s="87" t="s">
        <v>78</v>
      </c>
      <c r="X207" s="88" t="s">
        <v>103</v>
      </c>
      <c r="Y207" s="88"/>
      <c r="Z207" s="87" t="s">
        <v>1361</v>
      </c>
      <c r="AA207" s="89" t="s">
        <v>1362</v>
      </c>
      <c r="AB207" s="87"/>
      <c r="AC207" s="87" t="s">
        <v>1363</v>
      </c>
      <c r="AD207" s="87"/>
      <c r="AE207" s="87">
        <v>1</v>
      </c>
      <c r="AF207" s="87" t="s">
        <v>53</v>
      </c>
      <c r="AG207" s="87" t="s">
        <v>1364</v>
      </c>
    </row>
    <row r="208" spans="1:41" ht="17.149999999999999" hidden="1" customHeight="1">
      <c r="A208" s="1" t="s">
        <v>1365</v>
      </c>
      <c r="B208" s="1"/>
      <c r="C208" s="1" t="s">
        <v>1366</v>
      </c>
      <c r="D208" s="1"/>
      <c r="E208" s="1"/>
      <c r="F208" s="1"/>
      <c r="G208" s="1"/>
      <c r="H208" s="1" t="s">
        <v>1367</v>
      </c>
      <c r="I208" s="1" t="s">
        <v>46</v>
      </c>
      <c r="J208" s="1" t="s">
        <v>1368</v>
      </c>
      <c r="K208" s="1" t="s">
        <v>1369</v>
      </c>
      <c r="L208" s="1" t="s">
        <v>118</v>
      </c>
      <c r="M208" s="1" t="s">
        <v>1370</v>
      </c>
      <c r="N208" s="1">
        <v>1753771</v>
      </c>
      <c r="O208" s="1">
        <v>2017</v>
      </c>
      <c r="P208" s="1">
        <v>1751744</v>
      </c>
      <c r="Q208" s="1">
        <v>2017</v>
      </c>
      <c r="R208" s="1" t="s">
        <v>46</v>
      </c>
      <c r="S208" s="1">
        <v>1</v>
      </c>
      <c r="T208" s="1">
        <v>1</v>
      </c>
      <c r="U208" s="1" t="s">
        <v>1371</v>
      </c>
      <c r="AA208" s="11" t="s">
        <v>1372</v>
      </c>
      <c r="AC208" s="18"/>
      <c r="AD208" s="18"/>
    </row>
    <row r="209" spans="1:37" ht="17.149999999999999" hidden="1" customHeight="1">
      <c r="A209" s="1" t="s">
        <v>1373</v>
      </c>
      <c r="B209" s="1"/>
      <c r="C209" s="1" t="s">
        <v>1374</v>
      </c>
      <c r="D209" s="1"/>
      <c r="E209" s="1"/>
      <c r="F209" s="1"/>
      <c r="G209" s="1"/>
      <c r="H209" s="1" t="s">
        <v>177</v>
      </c>
      <c r="I209" s="1" t="s">
        <v>345</v>
      </c>
      <c r="J209" s="1" t="s">
        <v>1375</v>
      </c>
      <c r="K209" s="1" t="s">
        <v>1376</v>
      </c>
      <c r="L209" s="1" t="s">
        <v>45</v>
      </c>
      <c r="M209" s="1" t="s">
        <v>46</v>
      </c>
      <c r="N209" s="1">
        <v>1380000</v>
      </c>
      <c r="O209" s="1">
        <v>2019</v>
      </c>
      <c r="P209" s="1">
        <v>1700000</v>
      </c>
      <c r="Q209" s="1">
        <v>2015</v>
      </c>
      <c r="R209" s="1" t="s">
        <v>46</v>
      </c>
      <c r="S209" s="1">
        <v>1</v>
      </c>
      <c r="T209" s="1">
        <v>1</v>
      </c>
      <c r="U209" s="1" t="s">
        <v>1377</v>
      </c>
      <c r="AA209" s="54" t="s">
        <v>1378</v>
      </c>
      <c r="AC209" s="18"/>
      <c r="AD209" s="18"/>
      <c r="AE209" s="2">
        <v>4</v>
      </c>
      <c r="AF209" s="2" t="s">
        <v>53</v>
      </c>
    </row>
    <row r="210" spans="1:37" ht="17.149999999999999" customHeight="1">
      <c r="A210" s="14" t="s">
        <v>1379</v>
      </c>
      <c r="B210" s="14" t="s">
        <v>37</v>
      </c>
      <c r="C210" s="56" t="s">
        <v>1380</v>
      </c>
      <c r="D210" t="s">
        <v>1381</v>
      </c>
      <c r="E210" t="s">
        <v>1381</v>
      </c>
      <c r="F210" s="17" t="s">
        <v>62</v>
      </c>
      <c r="G210" s="61"/>
      <c r="H210" s="14" t="s">
        <v>41</v>
      </c>
      <c r="I210" s="14" t="s">
        <v>42</v>
      </c>
      <c r="J210" s="14" t="s">
        <v>1382</v>
      </c>
      <c r="K210" s="14" t="s">
        <v>1383</v>
      </c>
      <c r="L210" s="14" t="s">
        <v>45</v>
      </c>
      <c r="M210" s="14" t="s">
        <v>46</v>
      </c>
      <c r="N210" s="14" t="s">
        <v>46</v>
      </c>
      <c r="O210" s="14" t="s">
        <v>46</v>
      </c>
      <c r="P210" s="14">
        <v>120261</v>
      </c>
      <c r="Q210" s="14">
        <v>2023</v>
      </c>
      <c r="R210" s="14" t="s">
        <v>46</v>
      </c>
      <c r="S210" s="14">
        <v>1</v>
      </c>
      <c r="T210" s="14">
        <v>1</v>
      </c>
      <c r="U210" s="14" t="s">
        <v>1384</v>
      </c>
      <c r="V210" s="6" t="s">
        <v>40</v>
      </c>
      <c r="W210" s="6" t="s">
        <v>78</v>
      </c>
      <c r="X210" s="6" t="s">
        <v>40</v>
      </c>
      <c r="Y210" s="6"/>
      <c r="Z210" s="6" t="s">
        <v>1385</v>
      </c>
      <c r="AA210" s="6" t="s">
        <v>1386</v>
      </c>
      <c r="AB210" s="6" t="s">
        <v>1387</v>
      </c>
      <c r="AC210" s="6" t="s">
        <v>1388</v>
      </c>
      <c r="AD210" s="6" t="s">
        <v>40</v>
      </c>
      <c r="AE210" s="2">
        <v>1</v>
      </c>
      <c r="AF210" t="s">
        <v>53</v>
      </c>
      <c r="AJ210" s="42" t="s">
        <v>57</v>
      </c>
    </row>
    <row r="211" spans="1:37" ht="17.149999999999999" hidden="1" customHeight="1">
      <c r="A211" s="1" t="s">
        <v>1389</v>
      </c>
      <c r="B211" s="1"/>
      <c r="C211" s="1" t="s">
        <v>1390</v>
      </c>
      <c r="D211" s="1"/>
      <c r="E211" s="1"/>
      <c r="F211" s="1"/>
      <c r="G211" s="1"/>
      <c r="H211" s="1" t="s">
        <v>1391</v>
      </c>
      <c r="I211" s="1" t="s">
        <v>1392</v>
      </c>
      <c r="J211" s="1" t="s">
        <v>1392</v>
      </c>
      <c r="K211" s="1" t="s">
        <v>1393</v>
      </c>
      <c r="L211" s="1" t="s">
        <v>45</v>
      </c>
      <c r="M211" s="1" t="s">
        <v>46</v>
      </c>
      <c r="N211" s="1" t="s">
        <v>46</v>
      </c>
      <c r="O211" s="1" t="s">
        <v>46</v>
      </c>
      <c r="P211" s="1">
        <v>1680000</v>
      </c>
      <c r="Q211" s="1">
        <v>2018</v>
      </c>
      <c r="R211" s="1" t="s">
        <v>46</v>
      </c>
      <c r="S211" s="1">
        <v>1</v>
      </c>
      <c r="T211" s="1" t="s">
        <v>46</v>
      </c>
      <c r="U211" s="1" t="s">
        <v>1394</v>
      </c>
      <c r="AA211" s="78" t="s">
        <v>1395</v>
      </c>
    </row>
    <row r="212" spans="1:37" ht="17.149999999999999" hidden="1" customHeight="1">
      <c r="A212" s="1" t="s">
        <v>1396</v>
      </c>
      <c r="B212" s="1" t="s">
        <v>167</v>
      </c>
      <c r="C212" s="1" t="s">
        <v>1397</v>
      </c>
      <c r="D212" s="1"/>
      <c r="E212" s="1"/>
      <c r="F212" s="1"/>
      <c r="G212" s="1"/>
      <c r="H212" s="1" t="s">
        <v>110</v>
      </c>
      <c r="I212" s="1" t="s">
        <v>1398</v>
      </c>
      <c r="J212" s="1" t="s">
        <v>1399</v>
      </c>
      <c r="K212" s="1" t="s">
        <v>1400</v>
      </c>
      <c r="L212" s="1" t="s">
        <v>45</v>
      </c>
      <c r="M212" s="1" t="s">
        <v>46</v>
      </c>
      <c r="N212" s="1">
        <v>1576328</v>
      </c>
      <c r="O212" s="1">
        <v>2015</v>
      </c>
      <c r="P212" s="1">
        <v>1576328</v>
      </c>
      <c r="Q212" s="1">
        <v>2015</v>
      </c>
      <c r="R212" s="1" t="s">
        <v>46</v>
      </c>
      <c r="S212" s="1">
        <v>1</v>
      </c>
      <c r="T212" s="1">
        <v>1</v>
      </c>
      <c r="U212" s="1" t="s">
        <v>1401</v>
      </c>
      <c r="AA212" s="11" t="s">
        <v>1372</v>
      </c>
      <c r="AC212" s="18"/>
      <c r="AD212" s="18"/>
    </row>
    <row r="213" spans="1:37" ht="17.149999999999999" hidden="1" customHeight="1">
      <c r="A213" s="1" t="s">
        <v>1402</v>
      </c>
      <c r="B213" s="1"/>
      <c r="C213" s="1" t="s">
        <v>1403</v>
      </c>
      <c r="D213" s="1"/>
      <c r="E213" s="1"/>
      <c r="F213" s="1"/>
      <c r="G213" s="1"/>
      <c r="H213" s="1" t="s">
        <v>268</v>
      </c>
      <c r="I213" s="1" t="s">
        <v>1404</v>
      </c>
      <c r="J213" s="1" t="s">
        <v>1405</v>
      </c>
      <c r="K213" s="1" t="s">
        <v>1406</v>
      </c>
      <c r="L213" s="1" t="s">
        <v>45</v>
      </c>
      <c r="M213" s="1" t="s">
        <v>46</v>
      </c>
      <c r="N213" s="1" t="s">
        <v>46</v>
      </c>
      <c r="O213" s="1" t="s">
        <v>46</v>
      </c>
      <c r="P213" s="1">
        <v>1562032</v>
      </c>
      <c r="Q213" s="1">
        <v>2018</v>
      </c>
      <c r="R213" s="1" t="s">
        <v>46</v>
      </c>
      <c r="S213" s="1">
        <v>1</v>
      </c>
      <c r="T213" s="1">
        <v>1</v>
      </c>
      <c r="U213" s="1" t="s">
        <v>1407</v>
      </c>
      <c r="AA213" s="5" t="s">
        <v>1408</v>
      </c>
      <c r="AB213" s="6"/>
      <c r="AC213" s="5" t="s">
        <v>1409</v>
      </c>
      <c r="AD213" s="8" t="s">
        <v>286</v>
      </c>
      <c r="AE213" s="2">
        <v>1</v>
      </c>
      <c r="AF213" t="s">
        <v>53</v>
      </c>
      <c r="AG213" s="2" t="s">
        <v>145</v>
      </c>
    </row>
    <row r="214" spans="1:37" ht="17.149999999999999" hidden="1" customHeight="1">
      <c r="A214" s="1" t="s">
        <v>1410</v>
      </c>
      <c r="B214" s="1"/>
      <c r="C214" s="1" t="s">
        <v>1411</v>
      </c>
      <c r="D214" s="1"/>
      <c r="E214" s="1"/>
      <c r="F214" s="1"/>
      <c r="G214" s="1"/>
      <c r="H214" s="1" t="s">
        <v>177</v>
      </c>
      <c r="I214" s="1" t="s">
        <v>1412</v>
      </c>
      <c r="J214" s="1" t="s">
        <v>1413</v>
      </c>
      <c r="K214" s="1" t="s">
        <v>1414</v>
      </c>
      <c r="L214" s="1" t="s">
        <v>118</v>
      </c>
      <c r="M214" s="1" t="s">
        <v>1415</v>
      </c>
      <c r="N214" s="1">
        <v>1500000</v>
      </c>
      <c r="O214" s="1">
        <v>2019</v>
      </c>
      <c r="P214" s="1">
        <v>1500000</v>
      </c>
      <c r="Q214" s="1">
        <v>2019</v>
      </c>
      <c r="R214" s="1">
        <v>1</v>
      </c>
      <c r="S214" s="1">
        <v>1</v>
      </c>
      <c r="T214" s="1">
        <v>1</v>
      </c>
      <c r="U214" s="1" t="s">
        <v>1416</v>
      </c>
    </row>
    <row r="215" spans="1:37" ht="17.149999999999999" customHeight="1">
      <c r="A215" s="1" t="s">
        <v>1417</v>
      </c>
      <c r="B215" s="1" t="s">
        <v>857</v>
      </c>
      <c r="C215" s="1" t="s">
        <v>1418</v>
      </c>
      <c r="D215" s="1" t="s">
        <v>1419</v>
      </c>
      <c r="E215" s="1" t="s">
        <v>1419</v>
      </c>
      <c r="F215" s="1" t="s">
        <v>1420</v>
      </c>
      <c r="G215" s="1" t="s">
        <v>286</v>
      </c>
      <c r="H215" s="1" t="s">
        <v>619</v>
      </c>
      <c r="I215" s="1" t="s">
        <v>46</v>
      </c>
      <c r="J215" s="1" t="s">
        <v>1421</v>
      </c>
      <c r="K215" s="1" t="s">
        <v>1422</v>
      </c>
      <c r="L215" s="1" t="s">
        <v>118</v>
      </c>
      <c r="M215" s="1" t="s">
        <v>1423</v>
      </c>
      <c r="N215" s="1">
        <v>1200000</v>
      </c>
      <c r="O215" s="1">
        <v>2025</v>
      </c>
      <c r="P215" s="1">
        <v>1200000</v>
      </c>
      <c r="Q215" s="1">
        <v>2025</v>
      </c>
      <c r="R215" s="1">
        <v>1</v>
      </c>
      <c r="S215" s="1">
        <v>1</v>
      </c>
      <c r="T215" s="1">
        <v>1</v>
      </c>
      <c r="U215" s="1" t="s">
        <v>1424</v>
      </c>
      <c r="V215" s="2" t="s">
        <v>40</v>
      </c>
      <c r="W215" s="2" t="s">
        <v>78</v>
      </c>
      <c r="X215" s="2" t="s">
        <v>40</v>
      </c>
      <c r="Y215" s="2" t="s">
        <v>1425</v>
      </c>
      <c r="Z215" s="2" t="s">
        <v>1426</v>
      </c>
      <c r="AA215" s="11" t="s">
        <v>1427</v>
      </c>
      <c r="AD215" s="2" t="s">
        <v>40</v>
      </c>
      <c r="AE215" s="2">
        <v>7</v>
      </c>
      <c r="AF215" s="2" t="s">
        <v>1263</v>
      </c>
      <c r="AJ215" s="2" t="s">
        <v>1428</v>
      </c>
      <c r="AK215" s="2" t="s">
        <v>1429</v>
      </c>
    </row>
    <row r="216" spans="1:37" ht="17.149999999999999" hidden="1" customHeight="1">
      <c r="A216" s="1" t="s">
        <v>1430</v>
      </c>
      <c r="B216" s="1"/>
      <c r="C216" s="1" t="s">
        <v>1431</v>
      </c>
      <c r="D216" s="1"/>
      <c r="E216" s="1"/>
      <c r="F216" s="1"/>
      <c r="G216" s="1"/>
      <c r="H216" s="1" t="s">
        <v>674</v>
      </c>
      <c r="I216" s="1" t="s">
        <v>46</v>
      </c>
      <c r="J216" s="1" t="s">
        <v>1432</v>
      </c>
      <c r="K216" s="1" t="s">
        <v>1433</v>
      </c>
      <c r="L216" s="1" t="s">
        <v>45</v>
      </c>
      <c r="M216" s="1" t="s">
        <v>46</v>
      </c>
      <c r="N216" s="1">
        <v>1500000</v>
      </c>
      <c r="O216" s="1">
        <v>2019</v>
      </c>
      <c r="P216" s="1">
        <v>1500000</v>
      </c>
      <c r="Q216" s="1">
        <v>2019</v>
      </c>
      <c r="R216" s="1" t="s">
        <v>46</v>
      </c>
      <c r="S216" s="1">
        <v>1</v>
      </c>
      <c r="T216" s="1">
        <v>1</v>
      </c>
      <c r="U216" s="1" t="s">
        <v>1434</v>
      </c>
    </row>
    <row r="217" spans="1:37" ht="17.149999999999999" hidden="1" customHeight="1">
      <c r="A217" s="1" t="s">
        <v>1435</v>
      </c>
      <c r="B217" s="1" t="s">
        <v>167</v>
      </c>
      <c r="C217" s="1" t="s">
        <v>1436</v>
      </c>
      <c r="D217" s="1"/>
      <c r="E217" s="1"/>
      <c r="F217" s="1"/>
      <c r="G217" s="1"/>
      <c r="H217" s="1" t="s">
        <v>110</v>
      </c>
      <c r="I217" s="1" t="s">
        <v>1437</v>
      </c>
      <c r="J217" s="1" t="s">
        <v>1438</v>
      </c>
      <c r="K217" s="1" t="s">
        <v>1439</v>
      </c>
      <c r="L217" s="1" t="s">
        <v>118</v>
      </c>
      <c r="M217" s="1" t="s">
        <v>1440</v>
      </c>
      <c r="N217" s="1">
        <v>1450225</v>
      </c>
      <c r="O217" s="1">
        <v>2015</v>
      </c>
      <c r="P217" s="1">
        <v>1450225</v>
      </c>
      <c r="Q217" s="1">
        <v>2015</v>
      </c>
      <c r="R217" s="1" t="s">
        <v>46</v>
      </c>
      <c r="S217" s="1">
        <v>1</v>
      </c>
      <c r="T217" s="1">
        <v>1</v>
      </c>
      <c r="U217" s="1" t="s">
        <v>1441</v>
      </c>
    </row>
    <row r="218" spans="1:37" ht="17.149999999999999" hidden="1" customHeight="1">
      <c r="A218" s="1" t="s">
        <v>1442</v>
      </c>
      <c r="B218" s="1"/>
      <c r="C218" s="1" t="s">
        <v>1443</v>
      </c>
      <c r="D218" s="1"/>
      <c r="E218" s="1"/>
      <c r="F218" s="1"/>
      <c r="G218" s="1"/>
      <c r="H218" s="1" t="s">
        <v>1203</v>
      </c>
      <c r="I218" s="1" t="s">
        <v>46</v>
      </c>
      <c r="J218" s="1" t="s">
        <v>1444</v>
      </c>
      <c r="K218" s="1" t="s">
        <v>1445</v>
      </c>
      <c r="L218" s="1" t="s">
        <v>45</v>
      </c>
      <c r="M218" s="1" t="s">
        <v>46</v>
      </c>
      <c r="N218" s="1" t="s">
        <v>46</v>
      </c>
      <c r="O218" s="1" t="s">
        <v>46</v>
      </c>
      <c r="P218" s="1">
        <v>1400000</v>
      </c>
      <c r="Q218" s="1">
        <v>2015</v>
      </c>
      <c r="R218" s="1" t="s">
        <v>46</v>
      </c>
      <c r="S218" s="1">
        <v>1</v>
      </c>
      <c r="T218" s="1" t="s">
        <v>46</v>
      </c>
      <c r="U218" s="1" t="s">
        <v>1446</v>
      </c>
    </row>
    <row r="219" spans="1:37" ht="17.149999999999999" hidden="1" customHeight="1">
      <c r="A219" s="35"/>
      <c r="B219" s="35"/>
      <c r="C219" s="35" t="s">
        <v>1447</v>
      </c>
      <c r="D219" s="1"/>
      <c r="E219" s="1"/>
      <c r="F219" s="1"/>
      <c r="G219" s="1"/>
      <c r="H219" s="35" t="s">
        <v>1203</v>
      </c>
      <c r="I219" s="35"/>
      <c r="J219" s="35"/>
      <c r="K219" s="35"/>
      <c r="L219" s="35"/>
      <c r="M219" s="35"/>
      <c r="N219" s="35"/>
      <c r="O219" s="35"/>
      <c r="P219" s="35">
        <v>1400000</v>
      </c>
      <c r="Q219" s="35"/>
      <c r="R219" s="35">
        <v>1</v>
      </c>
      <c r="S219" s="35"/>
      <c r="T219" s="35"/>
      <c r="U219" s="35"/>
      <c r="V219" s="36" t="s">
        <v>103</v>
      </c>
      <c r="W219" s="36"/>
      <c r="X219" s="36"/>
      <c r="Y219" s="36"/>
      <c r="Z219" s="36"/>
      <c r="AA219" s="36"/>
      <c r="AB219" s="36"/>
      <c r="AC219" s="37"/>
      <c r="AD219" s="37"/>
      <c r="AE219" s="36"/>
      <c r="AF219" s="36"/>
      <c r="AG219" s="36"/>
    </row>
    <row r="220" spans="1:37" ht="17.149999999999999" customHeight="1">
      <c r="A220" s="14" t="s">
        <v>1448</v>
      </c>
      <c r="B220" s="14" t="s">
        <v>772</v>
      </c>
      <c r="C220" s="56" t="s">
        <v>1449</v>
      </c>
      <c r="D220" s="17" t="s">
        <v>1450</v>
      </c>
      <c r="E220" s="17" t="s">
        <v>1450</v>
      </c>
      <c r="F220" s="17" t="s">
        <v>62</v>
      </c>
      <c r="G220" s="61" t="s">
        <v>40</v>
      </c>
      <c r="H220" s="14" t="s">
        <v>41</v>
      </c>
      <c r="I220" s="14" t="s">
        <v>148</v>
      </c>
      <c r="J220" s="14" t="s">
        <v>1451</v>
      </c>
      <c r="K220" s="14" t="s">
        <v>1452</v>
      </c>
      <c r="L220" s="14" t="s">
        <v>45</v>
      </c>
      <c r="M220" s="14" t="s">
        <v>1453</v>
      </c>
      <c r="N220" s="14">
        <v>197662</v>
      </c>
      <c r="O220" s="14">
        <v>2016</v>
      </c>
      <c r="P220" s="14">
        <v>258700</v>
      </c>
      <c r="Q220" s="14">
        <v>2016</v>
      </c>
      <c r="R220" s="14" t="s">
        <v>46</v>
      </c>
      <c r="S220" s="14">
        <v>1</v>
      </c>
      <c r="T220" s="14">
        <v>1</v>
      </c>
      <c r="U220" s="12" t="s">
        <v>1454</v>
      </c>
      <c r="V220" s="6" t="s">
        <v>40</v>
      </c>
      <c r="W220" s="6" t="s">
        <v>411</v>
      </c>
      <c r="X220" s="6" t="s">
        <v>40</v>
      </c>
      <c r="Y220" s="8"/>
      <c r="Z220" s="6" t="s">
        <v>1455</v>
      </c>
      <c r="AA220" s="5" t="s">
        <v>1456</v>
      </c>
      <c r="AB220" s="6"/>
      <c r="AC220" s="6" t="s">
        <v>1457</v>
      </c>
      <c r="AD220" s="8"/>
      <c r="AE220" s="2">
        <v>1</v>
      </c>
      <c r="AF220" s="2" t="s">
        <v>53</v>
      </c>
      <c r="AH220" s="2" t="s">
        <v>55</v>
      </c>
      <c r="AJ220" s="2" t="s">
        <v>1318</v>
      </c>
    </row>
    <row r="221" spans="1:37" ht="17.149999999999999" customHeight="1">
      <c r="A221" s="14" t="s">
        <v>1458</v>
      </c>
      <c r="B221" s="14" t="s">
        <v>37</v>
      </c>
      <c r="C221" s="56" t="s">
        <v>1459</v>
      </c>
      <c r="D221" s="144" t="s">
        <v>1460</v>
      </c>
      <c r="E221" s="144" t="s">
        <v>1461</v>
      </c>
      <c r="F221" s="144" t="s">
        <v>1462</v>
      </c>
      <c r="G221" s="61"/>
      <c r="H221" s="14" t="s">
        <v>41</v>
      </c>
      <c r="I221" s="14" t="s">
        <v>135</v>
      </c>
      <c r="J221" s="14" t="s">
        <v>1463</v>
      </c>
      <c r="K221" s="14" t="s">
        <v>1464</v>
      </c>
      <c r="L221" s="14" t="s">
        <v>45</v>
      </c>
      <c r="M221" s="14" t="s">
        <v>46</v>
      </c>
      <c r="N221" s="14" t="s">
        <v>46</v>
      </c>
      <c r="O221" s="14" t="s">
        <v>46</v>
      </c>
      <c r="P221" s="14">
        <v>94452</v>
      </c>
      <c r="Q221" s="14">
        <v>2024</v>
      </c>
      <c r="R221" s="14" t="s">
        <v>46</v>
      </c>
      <c r="S221" s="14">
        <v>1</v>
      </c>
      <c r="T221" s="14">
        <v>1</v>
      </c>
      <c r="U221" s="14" t="s">
        <v>1465</v>
      </c>
      <c r="V221" s="6" t="s">
        <v>40</v>
      </c>
      <c r="W221" s="6" t="s">
        <v>323</v>
      </c>
      <c r="X221" s="6" t="s">
        <v>40</v>
      </c>
      <c r="Y221" s="6"/>
      <c r="Z221" s="6" t="s">
        <v>1466</v>
      </c>
      <c r="AA221" s="6" t="s">
        <v>1467</v>
      </c>
      <c r="AB221" s="6"/>
      <c r="AC221" s="6" t="s">
        <v>1468</v>
      </c>
      <c r="AD221" s="6" t="s">
        <v>40</v>
      </c>
      <c r="AE221" s="2">
        <v>1</v>
      </c>
      <c r="AF221" s="2" t="s">
        <v>53</v>
      </c>
      <c r="AG221" s="2" t="s">
        <v>71</v>
      </c>
      <c r="AJ221" s="2" t="s">
        <v>57</v>
      </c>
    </row>
    <row r="222" spans="1:37" s="44" customFormat="1" ht="17.149999999999999" hidden="1" customHeight="1">
      <c r="A222" s="141" t="s">
        <v>1469</v>
      </c>
      <c r="B222" s="141"/>
      <c r="C222" s="141" t="s">
        <v>1470</v>
      </c>
      <c r="D222" s="1"/>
      <c r="E222" s="1"/>
      <c r="F222" s="1"/>
      <c r="G222" s="1"/>
      <c r="H222" s="141" t="s">
        <v>249</v>
      </c>
      <c r="I222" s="141" t="s">
        <v>1471</v>
      </c>
      <c r="J222" s="141" t="s">
        <v>1472</v>
      </c>
      <c r="K222" s="141" t="s">
        <v>1473</v>
      </c>
      <c r="L222" s="141" t="s">
        <v>45</v>
      </c>
      <c r="M222" s="141" t="s">
        <v>46</v>
      </c>
      <c r="N222" s="141" t="s">
        <v>46</v>
      </c>
      <c r="O222" s="141" t="s">
        <v>46</v>
      </c>
      <c r="P222" s="141">
        <v>431454</v>
      </c>
      <c r="Q222" s="141">
        <v>2018</v>
      </c>
      <c r="R222" s="141" t="s">
        <v>46</v>
      </c>
      <c r="S222" s="141">
        <v>1</v>
      </c>
      <c r="T222" s="141">
        <v>1</v>
      </c>
      <c r="U222" s="141" t="s">
        <v>1474</v>
      </c>
      <c r="AA222" s="44" t="s">
        <v>1475</v>
      </c>
    </row>
    <row r="223" spans="1:37" ht="17.149999999999999" hidden="1" customHeight="1">
      <c r="A223" s="1" t="s">
        <v>1476</v>
      </c>
      <c r="B223" s="1"/>
      <c r="C223" s="1" t="s">
        <v>1477</v>
      </c>
      <c r="D223" s="1"/>
      <c r="E223" s="1"/>
      <c r="F223" s="1"/>
      <c r="G223" s="1"/>
      <c r="H223" s="1" t="s">
        <v>177</v>
      </c>
      <c r="I223" s="1" t="s">
        <v>236</v>
      </c>
      <c r="J223" s="1" t="s">
        <v>1478</v>
      </c>
      <c r="K223" s="1" t="s">
        <v>1479</v>
      </c>
      <c r="L223" s="1" t="s">
        <v>45</v>
      </c>
      <c r="M223" s="1" t="s">
        <v>46</v>
      </c>
      <c r="N223" s="1" t="s">
        <v>46</v>
      </c>
      <c r="O223" s="1" t="s">
        <v>46</v>
      </c>
      <c r="P223" s="1">
        <v>1343963</v>
      </c>
      <c r="Q223" s="1">
        <v>2015</v>
      </c>
      <c r="R223" s="1">
        <v>1</v>
      </c>
      <c r="S223" s="1">
        <v>1</v>
      </c>
      <c r="T223" s="1" t="s">
        <v>46</v>
      </c>
      <c r="U223" s="1" t="s">
        <v>1480</v>
      </c>
    </row>
    <row r="224" spans="1:37" ht="17.149999999999999" customHeight="1">
      <c r="A224" s="14" t="s">
        <v>1481</v>
      </c>
      <c r="B224" s="14" t="s">
        <v>175</v>
      </c>
      <c r="C224" s="56" t="s">
        <v>1482</v>
      </c>
      <c r="D224" s="144" t="s">
        <v>1482</v>
      </c>
      <c r="E224" s="144" t="s">
        <v>1483</v>
      </c>
      <c r="F224" s="17" t="s">
        <v>62</v>
      </c>
      <c r="G224" s="61" t="s">
        <v>40</v>
      </c>
      <c r="H224" s="14" t="s">
        <v>41</v>
      </c>
      <c r="I224" s="14" t="s">
        <v>135</v>
      </c>
      <c r="J224" s="14" t="s">
        <v>1484</v>
      </c>
      <c r="K224" s="14" t="s">
        <v>1485</v>
      </c>
      <c r="L224" s="14" t="s">
        <v>45</v>
      </c>
      <c r="M224" s="14" t="s">
        <v>46</v>
      </c>
      <c r="N224" s="14" t="s">
        <v>46</v>
      </c>
      <c r="O224" s="14" t="s">
        <v>46</v>
      </c>
      <c r="P224" s="14">
        <v>129800</v>
      </c>
      <c r="Q224" s="14">
        <v>2016</v>
      </c>
      <c r="R224" s="14" t="s">
        <v>46</v>
      </c>
      <c r="S224" s="14">
        <v>1</v>
      </c>
      <c r="T224" s="14">
        <v>1</v>
      </c>
      <c r="U224" s="30" t="s">
        <v>1486</v>
      </c>
      <c r="V224" s="6" t="s">
        <v>40</v>
      </c>
      <c r="W224" s="6" t="s">
        <v>1042</v>
      </c>
      <c r="X224" s="7" t="s">
        <v>40</v>
      </c>
      <c r="Y224" s="7"/>
      <c r="Z224" s="81" t="s">
        <v>1487</v>
      </c>
      <c r="AA224" s="5" t="s">
        <v>1408</v>
      </c>
      <c r="AB224" s="6"/>
      <c r="AC224" s="5"/>
      <c r="AD224" s="8"/>
      <c r="AF224"/>
      <c r="AH224" s="2" t="s">
        <v>55</v>
      </c>
      <c r="AJ224" s="2" t="s">
        <v>57</v>
      </c>
    </row>
    <row r="225" spans="1:36" ht="17.149999999999999" customHeight="1">
      <c r="A225" s="14" t="s">
        <v>1488</v>
      </c>
      <c r="B225" s="14" t="s">
        <v>37</v>
      </c>
      <c r="C225" s="56" t="s">
        <v>1489</v>
      </c>
      <c r="D225" t="s">
        <v>1490</v>
      </c>
      <c r="E225" s="17" t="s">
        <v>1491</v>
      </c>
      <c r="F225" s="17" t="s">
        <v>62</v>
      </c>
      <c r="G225" s="61" t="s">
        <v>40</v>
      </c>
      <c r="H225" s="14" t="s">
        <v>41</v>
      </c>
      <c r="I225" s="14" t="s">
        <v>135</v>
      </c>
      <c r="J225" s="14" t="s">
        <v>1492</v>
      </c>
      <c r="K225" s="14" t="s">
        <v>1493</v>
      </c>
      <c r="L225" s="14" t="s">
        <v>45</v>
      </c>
      <c r="M225" s="14" t="s">
        <v>46</v>
      </c>
      <c r="N225" s="14" t="s">
        <v>46</v>
      </c>
      <c r="O225" s="14" t="s">
        <v>46</v>
      </c>
      <c r="P225" s="16">
        <v>700000</v>
      </c>
      <c r="Q225" s="16">
        <v>2025</v>
      </c>
      <c r="R225" s="14" t="s">
        <v>46</v>
      </c>
      <c r="S225" s="14">
        <v>1</v>
      </c>
      <c r="T225" s="14">
        <v>1</v>
      </c>
      <c r="U225" s="14" t="s">
        <v>1494</v>
      </c>
      <c r="V225" s="6" t="s">
        <v>40</v>
      </c>
      <c r="W225" s="6" t="s">
        <v>1495</v>
      </c>
      <c r="X225" s="33" t="s">
        <v>40</v>
      </c>
      <c r="Y225" s="33"/>
      <c r="Z225" s="33" t="s">
        <v>1496</v>
      </c>
      <c r="AA225" s="5" t="s">
        <v>1497</v>
      </c>
      <c r="AB225" s="6"/>
      <c r="AC225" s="6" t="s">
        <v>1498</v>
      </c>
      <c r="AD225" s="6" t="s">
        <v>40</v>
      </c>
      <c r="AE225" s="2">
        <v>1</v>
      </c>
      <c r="AF225" s="2" t="s">
        <v>850</v>
      </c>
      <c r="AG225" s="2" t="s">
        <v>1499</v>
      </c>
      <c r="AJ225" s="42" t="s">
        <v>57</v>
      </c>
    </row>
    <row r="226" spans="1:36" ht="17.149999999999999" customHeight="1">
      <c r="A226" s="1" t="s">
        <v>1500</v>
      </c>
      <c r="B226" s="1" t="s">
        <v>772</v>
      </c>
      <c r="C226" s="1" t="s">
        <v>1501</v>
      </c>
      <c r="D226" s="150" t="s">
        <v>1502</v>
      </c>
      <c r="E226" s="144" t="s">
        <v>1503</v>
      </c>
      <c r="F226" s="17" t="s">
        <v>62</v>
      </c>
      <c r="G226" s="1" t="s">
        <v>40</v>
      </c>
      <c r="H226" s="1" t="s">
        <v>313</v>
      </c>
      <c r="I226" s="1" t="s">
        <v>455</v>
      </c>
      <c r="J226" s="1" t="s">
        <v>455</v>
      </c>
      <c r="K226" s="1" t="s">
        <v>1504</v>
      </c>
      <c r="L226" s="1" t="s">
        <v>118</v>
      </c>
      <c r="M226" s="1" t="s">
        <v>1505</v>
      </c>
      <c r="N226" s="1" t="s">
        <v>46</v>
      </c>
      <c r="O226" s="1" t="s">
        <v>46</v>
      </c>
      <c r="P226" s="1">
        <v>1700000</v>
      </c>
      <c r="Q226" s="1">
        <v>2019</v>
      </c>
      <c r="R226" s="1">
        <v>1</v>
      </c>
      <c r="S226" s="1">
        <v>1</v>
      </c>
      <c r="T226" s="1">
        <v>1</v>
      </c>
      <c r="U226" s="1" t="s">
        <v>1506</v>
      </c>
      <c r="V226" s="2" t="s">
        <v>40</v>
      </c>
      <c r="W226" s="2" t="s">
        <v>1507</v>
      </c>
      <c r="X226" s="2" t="s">
        <v>40</v>
      </c>
      <c r="Z226" s="2" t="s">
        <v>1508</v>
      </c>
      <c r="AA226" s="5"/>
      <c r="AB226" s="6"/>
      <c r="AC226" s="5"/>
      <c r="AD226" s="8" t="s">
        <v>286</v>
      </c>
      <c r="AE226" s="2">
        <v>1</v>
      </c>
      <c r="AF226" t="s">
        <v>53</v>
      </c>
      <c r="AG226" s="2" t="s">
        <v>145</v>
      </c>
      <c r="AJ226" s="2" t="s">
        <v>57</v>
      </c>
    </row>
    <row r="227" spans="1:36" ht="17.149999999999999" hidden="1" customHeight="1">
      <c r="A227" s="1" t="s">
        <v>1509</v>
      </c>
      <c r="B227" s="1" t="s">
        <v>167</v>
      </c>
      <c r="C227" s="1" t="s">
        <v>1510</v>
      </c>
      <c r="D227" s="1"/>
      <c r="E227" s="1"/>
      <c r="F227" s="1"/>
      <c r="G227" s="1"/>
      <c r="H227" s="1" t="s">
        <v>110</v>
      </c>
      <c r="I227" s="1" t="s">
        <v>1511</v>
      </c>
      <c r="J227" s="1" t="s">
        <v>1512</v>
      </c>
      <c r="K227" s="1" t="s">
        <v>1513</v>
      </c>
      <c r="L227" s="1" t="s">
        <v>118</v>
      </c>
      <c r="M227" s="1" t="s">
        <v>1514</v>
      </c>
      <c r="N227" s="1">
        <v>1305000</v>
      </c>
      <c r="O227" s="1">
        <v>2018</v>
      </c>
      <c r="P227" s="1">
        <v>1277000</v>
      </c>
      <c r="Q227" s="1">
        <v>2015</v>
      </c>
      <c r="R227" s="1" t="s">
        <v>46</v>
      </c>
      <c r="S227" s="1">
        <v>1</v>
      </c>
      <c r="T227" s="1">
        <v>1</v>
      </c>
      <c r="U227" s="1" t="s">
        <v>1515</v>
      </c>
    </row>
    <row r="228" spans="1:36" ht="17.149999999999999" hidden="1" customHeight="1">
      <c r="A228" s="1" t="s">
        <v>1516</v>
      </c>
      <c r="B228" s="1"/>
      <c r="C228" s="1" t="s">
        <v>1517</v>
      </c>
      <c r="D228" s="1"/>
      <c r="E228" s="1"/>
      <c r="F228" s="1"/>
      <c r="G228" s="1"/>
      <c r="H228" s="1" t="s">
        <v>674</v>
      </c>
      <c r="I228" s="1" t="s">
        <v>46</v>
      </c>
      <c r="J228" s="1" t="s">
        <v>1432</v>
      </c>
      <c r="K228" s="1" t="s">
        <v>1518</v>
      </c>
      <c r="L228" s="1" t="s">
        <v>118</v>
      </c>
      <c r="M228" s="1" t="s">
        <v>46</v>
      </c>
      <c r="N228" s="1">
        <v>1323637</v>
      </c>
      <c r="O228" s="1">
        <v>2016</v>
      </c>
      <c r="P228" s="1">
        <v>1272016</v>
      </c>
      <c r="Q228" s="1">
        <v>2016</v>
      </c>
      <c r="R228" s="1" t="s">
        <v>46</v>
      </c>
      <c r="S228" s="1">
        <v>1</v>
      </c>
      <c r="T228" s="1">
        <v>1</v>
      </c>
      <c r="U228" s="1" t="s">
        <v>1519</v>
      </c>
    </row>
    <row r="229" spans="1:36" ht="17.149999999999999" hidden="1" customHeight="1">
      <c r="A229" s="1" t="s">
        <v>1520</v>
      </c>
      <c r="B229" s="1"/>
      <c r="C229" s="1" t="s">
        <v>1521</v>
      </c>
      <c r="D229" s="1"/>
      <c r="E229" s="1"/>
      <c r="F229" s="1"/>
      <c r="G229" s="1"/>
      <c r="H229" s="1" t="s">
        <v>1171</v>
      </c>
      <c r="I229" s="1" t="s">
        <v>46</v>
      </c>
      <c r="J229" s="1" t="s">
        <v>1522</v>
      </c>
      <c r="K229" s="1" t="s">
        <v>1523</v>
      </c>
      <c r="L229" s="1" t="s">
        <v>118</v>
      </c>
      <c r="M229" s="1" t="s">
        <v>1524</v>
      </c>
      <c r="N229" s="1">
        <v>1290000</v>
      </c>
      <c r="O229" s="1">
        <v>2017</v>
      </c>
      <c r="P229" s="1">
        <v>1270000</v>
      </c>
      <c r="Q229" s="1">
        <v>2017</v>
      </c>
      <c r="R229" s="1" t="s">
        <v>46</v>
      </c>
      <c r="S229" s="1">
        <v>1</v>
      </c>
      <c r="T229" s="1" t="s">
        <v>46</v>
      </c>
      <c r="U229" s="1" t="s">
        <v>1525</v>
      </c>
    </row>
    <row r="230" spans="1:36" ht="17.149999999999999" hidden="1" customHeight="1">
      <c r="A230" s="1" t="s">
        <v>1526</v>
      </c>
      <c r="B230" s="1"/>
      <c r="C230" s="1" t="s">
        <v>1527</v>
      </c>
      <c r="D230" s="1"/>
      <c r="E230" s="1"/>
      <c r="F230" s="1"/>
      <c r="G230" s="1"/>
      <c r="H230" s="1" t="s">
        <v>268</v>
      </c>
      <c r="I230" s="1" t="s">
        <v>1404</v>
      </c>
      <c r="J230" s="1" t="s">
        <v>1528</v>
      </c>
      <c r="K230" s="1" t="s">
        <v>1529</v>
      </c>
      <c r="L230" s="1" t="s">
        <v>45</v>
      </c>
      <c r="M230" s="1" t="s">
        <v>46</v>
      </c>
      <c r="N230" s="1" t="s">
        <v>46</v>
      </c>
      <c r="O230" s="1" t="s">
        <v>46</v>
      </c>
      <c r="P230" s="1">
        <v>1253660</v>
      </c>
      <c r="Q230" s="1">
        <v>2019</v>
      </c>
      <c r="R230" s="1" t="s">
        <v>46</v>
      </c>
      <c r="S230" s="1">
        <v>1</v>
      </c>
      <c r="T230" s="1">
        <v>1</v>
      </c>
      <c r="U230" s="1" t="s">
        <v>1530</v>
      </c>
    </row>
    <row r="231" spans="1:36" ht="17.149999999999999" customHeight="1">
      <c r="A231" s="41" t="s">
        <v>1531</v>
      </c>
      <c r="B231" s="41" t="s">
        <v>37</v>
      </c>
      <c r="C231" s="41" t="s">
        <v>1532</v>
      </c>
      <c r="D231" s="144" t="s">
        <v>1533</v>
      </c>
      <c r="E231" s="144" t="s">
        <v>1534</v>
      </c>
      <c r="F231" s="17" t="s">
        <v>62</v>
      </c>
      <c r="G231" s="1"/>
      <c r="H231" s="41" t="s">
        <v>1203</v>
      </c>
      <c r="I231" s="41" t="s">
        <v>46</v>
      </c>
      <c r="J231" s="41" t="s">
        <v>1535</v>
      </c>
      <c r="K231" s="41" t="s">
        <v>1536</v>
      </c>
      <c r="L231" s="41" t="s">
        <v>45</v>
      </c>
      <c r="M231" s="41" t="s">
        <v>46</v>
      </c>
      <c r="N231" s="41" t="s">
        <v>46</v>
      </c>
      <c r="O231" s="41" t="s">
        <v>46</v>
      </c>
      <c r="P231" s="41">
        <v>646040</v>
      </c>
      <c r="Q231" s="41">
        <v>2018</v>
      </c>
      <c r="R231" s="41" t="s">
        <v>46</v>
      </c>
      <c r="S231" s="41">
        <v>1</v>
      </c>
      <c r="T231" s="41" t="s">
        <v>46</v>
      </c>
      <c r="U231" s="41" t="s">
        <v>1537</v>
      </c>
      <c r="V231" s="42" t="s">
        <v>40</v>
      </c>
      <c r="W231" s="42" t="s">
        <v>78</v>
      </c>
      <c r="X231" s="42" t="s">
        <v>40</v>
      </c>
      <c r="Y231" s="42"/>
      <c r="Z231" s="42" t="s">
        <v>1538</v>
      </c>
      <c r="AA231" s="42" t="s">
        <v>1539</v>
      </c>
      <c r="AB231" s="42"/>
      <c r="AC231" s="42" t="s">
        <v>1539</v>
      </c>
      <c r="AD231" s="42"/>
      <c r="AE231" s="42"/>
      <c r="AF231" s="42"/>
      <c r="AG231" s="42"/>
      <c r="AJ231" s="117" t="s">
        <v>57</v>
      </c>
    </row>
    <row r="232" spans="1:36" ht="17.149999999999999" hidden="1" customHeight="1">
      <c r="A232" s="1" t="s">
        <v>1540</v>
      </c>
      <c r="B232" s="1" t="s">
        <v>167</v>
      </c>
      <c r="C232" s="1" t="s">
        <v>1541</v>
      </c>
      <c r="D232" s="1"/>
      <c r="E232" s="1"/>
      <c r="F232" s="1"/>
      <c r="G232" s="1"/>
      <c r="H232" s="1" t="s">
        <v>110</v>
      </c>
      <c r="I232" s="1" t="s">
        <v>300</v>
      </c>
      <c r="J232" s="1" t="s">
        <v>1542</v>
      </c>
      <c r="K232" s="1" t="s">
        <v>1543</v>
      </c>
      <c r="L232" s="1" t="s">
        <v>45</v>
      </c>
      <c r="M232" s="1" t="s">
        <v>46</v>
      </c>
      <c r="N232" s="1">
        <v>1200000</v>
      </c>
      <c r="O232" s="1">
        <v>2019</v>
      </c>
      <c r="P232" s="1">
        <v>1200000</v>
      </c>
      <c r="Q232" s="1">
        <v>2015</v>
      </c>
      <c r="R232" s="1" t="s">
        <v>46</v>
      </c>
      <c r="S232" s="1">
        <v>1</v>
      </c>
      <c r="T232" s="1">
        <v>1</v>
      </c>
      <c r="U232" s="1" t="s">
        <v>1544</v>
      </c>
    </row>
    <row r="233" spans="1:36" ht="17.149999999999999" hidden="1" customHeight="1">
      <c r="A233" s="1"/>
      <c r="B233" s="1"/>
      <c r="C233" s="1" t="s">
        <v>1545</v>
      </c>
      <c r="D233" s="1"/>
      <c r="E233" s="1"/>
      <c r="F233" s="1"/>
      <c r="G233" s="1"/>
      <c r="H233" s="1" t="s">
        <v>1203</v>
      </c>
      <c r="I233" s="1"/>
      <c r="J233" s="1"/>
      <c r="K233" s="1"/>
      <c r="L233" s="1"/>
      <c r="M233" s="1"/>
      <c r="N233" s="1"/>
      <c r="O233" s="1"/>
      <c r="P233" s="1">
        <v>1200000</v>
      </c>
      <c r="Q233" s="1">
        <v>2025</v>
      </c>
      <c r="R233" s="1">
        <v>1</v>
      </c>
      <c r="S233" s="1"/>
      <c r="T233" s="1"/>
      <c r="U233" s="1"/>
      <c r="AC233" s="18"/>
      <c r="AD233" s="18"/>
    </row>
    <row r="234" spans="1:36" ht="17.149999999999999" hidden="1" customHeight="1">
      <c r="A234" s="1" t="s">
        <v>1546</v>
      </c>
      <c r="B234" s="1" t="s">
        <v>37</v>
      </c>
      <c r="C234" s="1" t="s">
        <v>1547</v>
      </c>
      <c r="D234" s="1"/>
      <c r="E234" s="1"/>
      <c r="F234" s="1"/>
      <c r="G234" s="1"/>
      <c r="H234" s="1" t="s">
        <v>177</v>
      </c>
      <c r="I234" s="1" t="s">
        <v>345</v>
      </c>
      <c r="J234" s="1" t="s">
        <v>1548</v>
      </c>
      <c r="K234" s="1" t="s">
        <v>1549</v>
      </c>
      <c r="L234" s="1" t="s">
        <v>45</v>
      </c>
      <c r="M234" s="1" t="s">
        <v>46</v>
      </c>
      <c r="N234" s="1">
        <v>1190000</v>
      </c>
      <c r="O234" s="1">
        <v>2019</v>
      </c>
      <c r="P234" s="1">
        <v>1190000</v>
      </c>
      <c r="Q234" s="1">
        <v>2019</v>
      </c>
      <c r="R234" s="1" t="s">
        <v>46</v>
      </c>
      <c r="S234" s="1">
        <v>1</v>
      </c>
      <c r="T234" s="1">
        <v>1</v>
      </c>
      <c r="U234" s="1" t="s">
        <v>1550</v>
      </c>
      <c r="V234" s="2" t="s">
        <v>1551</v>
      </c>
    </row>
    <row r="235" spans="1:36" ht="17.149999999999999" customHeight="1">
      <c r="A235" s="169" t="s">
        <v>1552</v>
      </c>
      <c r="B235" s="169" t="s">
        <v>167</v>
      </c>
      <c r="C235" s="145" t="s">
        <v>1553</v>
      </c>
      <c r="D235" s="146" t="s">
        <v>1553</v>
      </c>
      <c r="E235" s="146" t="s">
        <v>1553</v>
      </c>
      <c r="F235" s="146" t="s">
        <v>1139</v>
      </c>
      <c r="G235" s="146" t="s">
        <v>40</v>
      </c>
      <c r="H235" s="169" t="s">
        <v>110</v>
      </c>
      <c r="I235" s="169" t="s">
        <v>243</v>
      </c>
      <c r="J235" s="169" t="s">
        <v>1554</v>
      </c>
      <c r="K235" s="169" t="s">
        <v>1555</v>
      </c>
      <c r="L235" s="169" t="s">
        <v>45</v>
      </c>
      <c r="M235" s="169" t="s">
        <v>46</v>
      </c>
      <c r="N235" s="169">
        <v>1869995</v>
      </c>
      <c r="O235" s="169">
        <v>2018</v>
      </c>
      <c r="P235" s="169">
        <v>1884726</v>
      </c>
      <c r="Q235" s="169">
        <v>2018</v>
      </c>
      <c r="R235" s="169" t="s">
        <v>46</v>
      </c>
      <c r="S235" s="169">
        <v>1</v>
      </c>
      <c r="T235" s="169">
        <v>1</v>
      </c>
      <c r="U235" s="169" t="s">
        <v>1142</v>
      </c>
      <c r="V235" s="170" t="s">
        <v>40</v>
      </c>
      <c r="W235" s="170" t="s">
        <v>1556</v>
      </c>
      <c r="X235" s="170" t="s">
        <v>40</v>
      </c>
      <c r="Y235" s="170"/>
      <c r="Z235" s="170" t="s">
        <v>1557</v>
      </c>
      <c r="AA235" s="170" t="s">
        <v>1558</v>
      </c>
      <c r="AB235" s="170" t="s">
        <v>1559</v>
      </c>
      <c r="AC235" s="170"/>
      <c r="AD235" s="170" t="s">
        <v>40</v>
      </c>
      <c r="AE235" s="170">
        <v>4</v>
      </c>
      <c r="AF235" s="170" t="s">
        <v>53</v>
      </c>
      <c r="AG235" s="170"/>
      <c r="AH235" s="170"/>
      <c r="AI235" s="170"/>
      <c r="AJ235" t="s">
        <v>1560</v>
      </c>
    </row>
    <row r="236" spans="1:36" ht="17.149999999999999" hidden="1" customHeight="1">
      <c r="A236" s="1" t="s">
        <v>1561</v>
      </c>
      <c r="B236" s="1"/>
      <c r="C236" s="141" t="s">
        <v>1562</v>
      </c>
      <c r="D236" s="1"/>
      <c r="E236" s="1"/>
      <c r="F236" s="1"/>
      <c r="G236" s="1"/>
      <c r="H236" s="1" t="s">
        <v>249</v>
      </c>
      <c r="I236" s="1" t="s">
        <v>1563</v>
      </c>
      <c r="J236" s="1" t="s">
        <v>1564</v>
      </c>
      <c r="K236" s="1" t="s">
        <v>1565</v>
      </c>
      <c r="L236" s="1" t="s">
        <v>45</v>
      </c>
      <c r="M236" s="1" t="s">
        <v>1566</v>
      </c>
      <c r="N236" s="1" t="s">
        <v>46</v>
      </c>
      <c r="O236" s="1" t="s">
        <v>46</v>
      </c>
      <c r="P236" s="1">
        <v>277173</v>
      </c>
      <c r="Q236" s="1">
        <v>2018</v>
      </c>
      <c r="R236" s="1" t="s">
        <v>46</v>
      </c>
      <c r="S236" s="1">
        <v>1</v>
      </c>
      <c r="T236" s="1">
        <v>1</v>
      </c>
      <c r="U236" s="1" t="s">
        <v>1567</v>
      </c>
    </row>
    <row r="237" spans="1:36" ht="17.149999999999999" customHeight="1">
      <c r="A237" s="41" t="s">
        <v>1568</v>
      </c>
      <c r="B237" s="41" t="s">
        <v>37</v>
      </c>
      <c r="C237" s="41" t="s">
        <v>1569</v>
      </c>
      <c r="D237" s="144" t="s">
        <v>1570</v>
      </c>
      <c r="E237" s="144" t="s">
        <v>1569</v>
      </c>
      <c r="F237" s="144" t="s">
        <v>1571</v>
      </c>
      <c r="G237" s="1" t="s">
        <v>40</v>
      </c>
      <c r="H237" s="41" t="s">
        <v>500</v>
      </c>
      <c r="I237" s="41" t="s">
        <v>46</v>
      </c>
      <c r="J237" s="41" t="s">
        <v>1572</v>
      </c>
      <c r="K237" s="41" t="s">
        <v>1573</v>
      </c>
      <c r="L237" s="41" t="s">
        <v>45</v>
      </c>
      <c r="M237" s="41" t="s">
        <v>46</v>
      </c>
      <c r="N237" s="41">
        <v>1229632</v>
      </c>
      <c r="O237" s="41">
        <v>2023</v>
      </c>
      <c r="P237" s="41">
        <v>1229632</v>
      </c>
      <c r="Q237" s="41">
        <v>2023</v>
      </c>
      <c r="R237" s="41" t="s">
        <v>46</v>
      </c>
      <c r="S237" s="41">
        <v>1</v>
      </c>
      <c r="T237" s="41">
        <v>1</v>
      </c>
      <c r="U237" s="41" t="s">
        <v>1574</v>
      </c>
      <c r="V237" s="42" t="s">
        <v>40</v>
      </c>
      <c r="W237" s="42" t="s">
        <v>1575</v>
      </c>
      <c r="X237" s="42" t="s">
        <v>40</v>
      </c>
      <c r="Y237" s="42"/>
      <c r="Z237" s="42" t="s">
        <v>1576</v>
      </c>
      <c r="AA237" s="42" t="s">
        <v>1577</v>
      </c>
      <c r="AB237" s="42"/>
      <c r="AC237" s="42"/>
      <c r="AD237" s="42"/>
      <c r="AH237" s="2" t="s">
        <v>55</v>
      </c>
      <c r="AI237" s="2" t="s">
        <v>1578</v>
      </c>
      <c r="AJ237" s="2" t="s">
        <v>57</v>
      </c>
    </row>
    <row r="238" spans="1:36" ht="17.149999999999999" hidden="1" customHeight="1">
      <c r="A238" s="1" t="s">
        <v>1579</v>
      </c>
      <c r="B238" s="1"/>
      <c r="C238" s="1" t="s">
        <v>1580</v>
      </c>
      <c r="D238" s="1"/>
      <c r="E238" s="1"/>
      <c r="F238" s="1"/>
      <c r="G238" s="1"/>
      <c r="H238" s="1" t="s">
        <v>1203</v>
      </c>
      <c r="I238" s="1" t="s">
        <v>46</v>
      </c>
      <c r="J238" s="1" t="s">
        <v>1581</v>
      </c>
      <c r="K238" s="1" t="s">
        <v>1582</v>
      </c>
      <c r="L238" s="1" t="s">
        <v>45</v>
      </c>
      <c r="M238" s="1" t="s">
        <v>46</v>
      </c>
      <c r="N238" s="1" t="s">
        <v>46</v>
      </c>
      <c r="O238" s="1" t="s">
        <v>46</v>
      </c>
      <c r="P238" s="1">
        <v>1130000</v>
      </c>
      <c r="Q238" s="1">
        <v>2017</v>
      </c>
      <c r="R238" s="1" t="s">
        <v>46</v>
      </c>
      <c r="S238" s="1">
        <v>1</v>
      </c>
      <c r="T238" s="1" t="s">
        <v>46</v>
      </c>
      <c r="U238" s="1" t="s">
        <v>1583</v>
      </c>
    </row>
    <row r="239" spans="1:36" ht="17.149999999999999" customHeight="1">
      <c r="A239" s="121" t="s">
        <v>1248</v>
      </c>
      <c r="B239" s="121" t="s">
        <v>857</v>
      </c>
      <c r="C239" s="121" t="s">
        <v>1584</v>
      </c>
      <c r="D239" s="144" t="s">
        <v>1585</v>
      </c>
      <c r="E239" s="144" t="s">
        <v>1585</v>
      </c>
      <c r="F239" s="115" t="s">
        <v>1249</v>
      </c>
      <c r="G239" s="115" t="s">
        <v>40</v>
      </c>
      <c r="H239" s="121" t="s">
        <v>110</v>
      </c>
      <c r="I239" s="121"/>
      <c r="J239" s="121" t="s">
        <v>1586</v>
      </c>
      <c r="K239" s="121"/>
      <c r="L239" s="121"/>
      <c r="M239" s="121"/>
      <c r="N239" s="122">
        <v>864000</v>
      </c>
      <c r="O239" s="121">
        <v>2024</v>
      </c>
      <c r="P239" s="122">
        <v>864000</v>
      </c>
      <c r="Q239" s="121">
        <v>2024</v>
      </c>
      <c r="R239" s="121"/>
      <c r="S239" s="121"/>
      <c r="T239" s="121"/>
      <c r="U239" s="121" t="s">
        <v>1253</v>
      </c>
      <c r="V239" s="123" t="s">
        <v>40</v>
      </c>
      <c r="W239" s="123" t="s">
        <v>323</v>
      </c>
      <c r="X239" s="123" t="s">
        <v>40</v>
      </c>
      <c r="Y239" s="123"/>
      <c r="Z239" s="123" t="s">
        <v>1587</v>
      </c>
      <c r="AA239" s="124" t="s">
        <v>1588</v>
      </c>
      <c r="AB239" s="123" t="s">
        <v>1589</v>
      </c>
      <c r="AC239" s="7"/>
      <c r="AD239" s="123" t="s">
        <v>40</v>
      </c>
      <c r="AE239" s="123" t="s">
        <v>404</v>
      </c>
      <c r="AF239" s="123">
        <v>1</v>
      </c>
      <c r="AG239" s="123"/>
      <c r="AH239" s="123"/>
      <c r="AI239" s="123"/>
      <c r="AJ239" s="2" t="s">
        <v>1590</v>
      </c>
    </row>
    <row r="240" spans="1:36" ht="17.149999999999999" hidden="1" customHeight="1">
      <c r="A240" s="1" t="s">
        <v>1591</v>
      </c>
      <c r="B240" s="1"/>
      <c r="C240" s="1" t="s">
        <v>1592</v>
      </c>
      <c r="D240" s="1"/>
      <c r="E240" s="1"/>
      <c r="F240" s="1"/>
      <c r="G240" s="1"/>
      <c r="H240" s="1" t="s">
        <v>1203</v>
      </c>
      <c r="I240" s="1" t="s">
        <v>46</v>
      </c>
      <c r="J240" s="1" t="s">
        <v>1593</v>
      </c>
      <c r="K240" s="1" t="s">
        <v>1594</v>
      </c>
      <c r="L240" s="1" t="s">
        <v>45</v>
      </c>
      <c r="M240" s="1" t="s">
        <v>46</v>
      </c>
      <c r="N240" s="1" t="s">
        <v>46</v>
      </c>
      <c r="O240" s="1" t="s">
        <v>46</v>
      </c>
      <c r="P240" s="1">
        <v>1100000</v>
      </c>
      <c r="Q240" s="1">
        <v>2018</v>
      </c>
      <c r="R240" s="1" t="s">
        <v>46</v>
      </c>
      <c r="S240" s="1">
        <v>1</v>
      </c>
      <c r="T240" s="1" t="s">
        <v>46</v>
      </c>
      <c r="U240" s="1" t="s">
        <v>1595</v>
      </c>
    </row>
    <row r="241" spans="1:36" ht="17.149999999999999" customHeight="1">
      <c r="A241" s="125" t="s">
        <v>1248</v>
      </c>
      <c r="B241" s="41" t="s">
        <v>857</v>
      </c>
      <c r="C241" s="125" t="s">
        <v>1596</v>
      </c>
      <c r="D241" s="144" t="s">
        <v>1597</v>
      </c>
      <c r="E241" s="144" t="s">
        <v>1597</v>
      </c>
      <c r="F241" s="115" t="s">
        <v>1249</v>
      </c>
      <c r="G241" s="72" t="s">
        <v>40</v>
      </c>
      <c r="H241" s="125" t="s">
        <v>110</v>
      </c>
      <c r="I241" s="41"/>
      <c r="J241" s="41" t="s">
        <v>1598</v>
      </c>
      <c r="K241" s="41"/>
      <c r="L241" s="41"/>
      <c r="M241" s="41"/>
      <c r="N241" s="126">
        <v>245000</v>
      </c>
      <c r="O241" s="41">
        <v>2024</v>
      </c>
      <c r="P241" s="126">
        <v>245000</v>
      </c>
      <c r="Q241" s="41">
        <v>2024</v>
      </c>
      <c r="R241" s="41"/>
      <c r="S241" s="41"/>
      <c r="T241" s="41"/>
      <c r="U241" s="125" t="s">
        <v>1253</v>
      </c>
      <c r="V241" s="42" t="s">
        <v>40</v>
      </c>
      <c r="W241" s="84" t="s">
        <v>323</v>
      </c>
      <c r="X241" s="42" t="s">
        <v>40</v>
      </c>
      <c r="Y241" s="42"/>
      <c r="Z241" s="42" t="s">
        <v>1599</v>
      </c>
      <c r="AA241" s="5" t="s">
        <v>1600</v>
      </c>
      <c r="AB241" s="42" t="s">
        <v>1589</v>
      </c>
      <c r="AC241" s="6"/>
      <c r="AD241" s="42" t="s">
        <v>40</v>
      </c>
      <c r="AE241" s="42" t="s">
        <v>404</v>
      </c>
      <c r="AF241" s="42">
        <v>1</v>
      </c>
      <c r="AG241" s="42"/>
      <c r="AH241" s="42"/>
      <c r="AI241" s="42"/>
      <c r="AJ241" s="2" t="s">
        <v>1590</v>
      </c>
    </row>
    <row r="242" spans="1:36" ht="17.149999999999999" hidden="1" customHeight="1">
      <c r="A242" s="1" t="s">
        <v>1601</v>
      </c>
      <c r="B242" s="1"/>
      <c r="C242" s="1" t="s">
        <v>1602</v>
      </c>
      <c r="D242" s="1"/>
      <c r="E242" s="1"/>
      <c r="F242" s="1"/>
      <c r="G242" s="1"/>
      <c r="H242" s="1" t="s">
        <v>249</v>
      </c>
      <c r="I242" s="1" t="s">
        <v>1603</v>
      </c>
      <c r="J242" s="1" t="s">
        <v>1604</v>
      </c>
      <c r="K242" s="1" t="s">
        <v>1605</v>
      </c>
      <c r="L242" s="1" t="s">
        <v>45</v>
      </c>
      <c r="M242" s="1" t="s">
        <v>46</v>
      </c>
      <c r="N242" s="1" t="s">
        <v>46</v>
      </c>
      <c r="O242" s="1" t="s">
        <v>46</v>
      </c>
      <c r="P242" s="1">
        <v>261759</v>
      </c>
      <c r="Q242" s="1">
        <v>2018</v>
      </c>
      <c r="R242" s="1" t="s">
        <v>46</v>
      </c>
      <c r="S242" s="1">
        <v>1</v>
      </c>
      <c r="T242" s="1">
        <v>1</v>
      </c>
      <c r="U242" s="1" t="s">
        <v>1606</v>
      </c>
    </row>
    <row r="243" spans="1:36" ht="17.149999999999999" customHeight="1">
      <c r="A243" s="114" t="s">
        <v>1248</v>
      </c>
      <c r="B243" s="115" t="s">
        <v>857</v>
      </c>
      <c r="C243" s="114" t="s">
        <v>1607</v>
      </c>
      <c r="D243" s="144" t="s">
        <v>1608</v>
      </c>
      <c r="E243" s="144" t="s">
        <v>1608</v>
      </c>
      <c r="F243" s="115" t="s">
        <v>1249</v>
      </c>
      <c r="G243" s="115" t="s">
        <v>40</v>
      </c>
      <c r="H243" s="114" t="s">
        <v>110</v>
      </c>
      <c r="I243" s="115"/>
      <c r="J243" s="115" t="s">
        <v>1609</v>
      </c>
      <c r="K243" s="115"/>
      <c r="L243" s="115"/>
      <c r="M243" s="115"/>
      <c r="N243" s="116">
        <v>393000</v>
      </c>
      <c r="O243" s="115">
        <v>2024</v>
      </c>
      <c r="P243" s="116">
        <v>393000</v>
      </c>
      <c r="Q243" s="115">
        <v>2024</v>
      </c>
      <c r="R243" s="115"/>
      <c r="S243" s="115"/>
      <c r="T243" s="115"/>
      <c r="U243" s="114" t="s">
        <v>1253</v>
      </c>
      <c r="V243" s="117" t="s">
        <v>40</v>
      </c>
      <c r="W243" s="118" t="s">
        <v>323</v>
      </c>
      <c r="X243" s="117" t="s">
        <v>40</v>
      </c>
      <c r="Y243" s="117"/>
      <c r="Z243" s="117" t="s">
        <v>1610</v>
      </c>
      <c r="AA243" s="119" t="s">
        <v>1611</v>
      </c>
      <c r="AB243" s="117" t="s">
        <v>1589</v>
      </c>
      <c r="AC243" s="120"/>
      <c r="AD243" s="117" t="s">
        <v>40</v>
      </c>
      <c r="AE243" s="117" t="s">
        <v>404</v>
      </c>
      <c r="AF243" s="117">
        <v>1</v>
      </c>
      <c r="AG243" s="117"/>
      <c r="AH243" s="117"/>
      <c r="AI243" s="117"/>
      <c r="AJ243" s="2" t="s">
        <v>1590</v>
      </c>
    </row>
    <row r="244" spans="1:36" ht="17.149999999999999" customHeight="1">
      <c r="A244" s="125" t="s">
        <v>1248</v>
      </c>
      <c r="B244" s="41" t="s">
        <v>857</v>
      </c>
      <c r="C244" s="125" t="s">
        <v>1612</v>
      </c>
      <c r="D244" s="144" t="s">
        <v>1613</v>
      </c>
      <c r="E244" s="144" t="s">
        <v>1613</v>
      </c>
      <c r="F244" s="115" t="s">
        <v>1249</v>
      </c>
      <c r="G244" s="72"/>
      <c r="H244" s="125" t="s">
        <v>110</v>
      </c>
      <c r="I244" s="41" t="s">
        <v>40</v>
      </c>
      <c r="J244" s="41" t="s">
        <v>1250</v>
      </c>
      <c r="K244" s="41"/>
      <c r="L244" s="41"/>
      <c r="M244" s="41"/>
      <c r="N244" s="126">
        <v>473000</v>
      </c>
      <c r="O244" s="41">
        <v>2024</v>
      </c>
      <c r="P244" s="126">
        <v>473000</v>
      </c>
      <c r="Q244" s="41">
        <v>2024</v>
      </c>
      <c r="R244" s="41"/>
      <c r="S244" s="41"/>
      <c r="T244" s="41"/>
      <c r="U244" s="125" t="s">
        <v>1253</v>
      </c>
      <c r="V244" s="42" t="s">
        <v>40</v>
      </c>
      <c r="W244" s="84" t="s">
        <v>323</v>
      </c>
      <c r="X244" s="42" t="s">
        <v>40</v>
      </c>
      <c r="Y244" s="42"/>
      <c r="Z244" s="42" t="s">
        <v>1614</v>
      </c>
      <c r="AA244" s="5" t="s">
        <v>1615</v>
      </c>
      <c r="AB244" s="42" t="s">
        <v>1589</v>
      </c>
      <c r="AC244" s="6"/>
      <c r="AD244" s="42" t="s">
        <v>40</v>
      </c>
      <c r="AE244" s="42" t="s">
        <v>404</v>
      </c>
      <c r="AF244" s="42">
        <v>1</v>
      </c>
      <c r="AG244" s="42"/>
      <c r="AH244" s="42"/>
      <c r="AI244" s="42"/>
      <c r="AJ244" s="2" t="s">
        <v>1590</v>
      </c>
    </row>
    <row r="245" spans="1:36" ht="17.149999999999999" hidden="1" customHeight="1">
      <c r="A245" s="21" t="s">
        <v>1616</v>
      </c>
      <c r="B245" s="21" t="s">
        <v>37</v>
      </c>
      <c r="C245" s="60" t="s">
        <v>1617</v>
      </c>
      <c r="D245" s="65"/>
      <c r="E245" s="65"/>
      <c r="F245" s="65"/>
      <c r="G245" s="65"/>
      <c r="H245" s="21" t="s">
        <v>41</v>
      </c>
      <c r="I245" s="21" t="s">
        <v>63</v>
      </c>
      <c r="J245" s="21" t="s">
        <v>1617</v>
      </c>
      <c r="K245" s="21" t="s">
        <v>1618</v>
      </c>
      <c r="L245" s="21" t="s">
        <v>45</v>
      </c>
      <c r="M245" s="21" t="s">
        <v>46</v>
      </c>
      <c r="N245" s="21" t="s">
        <v>46</v>
      </c>
      <c r="O245" s="21" t="s">
        <v>46</v>
      </c>
      <c r="P245" s="21">
        <v>975900</v>
      </c>
      <c r="Q245" s="21">
        <v>2016</v>
      </c>
      <c r="R245" s="21" t="s">
        <v>46</v>
      </c>
      <c r="S245" s="21">
        <v>1</v>
      </c>
      <c r="T245" s="21">
        <v>1</v>
      </c>
      <c r="U245" s="21" t="s">
        <v>1619</v>
      </c>
      <c r="V245" s="22" t="s">
        <v>103</v>
      </c>
      <c r="W245" s="22"/>
      <c r="X245" s="22"/>
      <c r="Y245" s="22"/>
      <c r="Z245" s="22"/>
      <c r="AA245" s="22" t="s">
        <v>1620</v>
      </c>
      <c r="AB245" s="22"/>
      <c r="AC245" s="22"/>
      <c r="AD245" s="22"/>
    </row>
    <row r="246" spans="1:36" ht="17.149999999999999" customHeight="1">
      <c r="A246" s="125" t="s">
        <v>1248</v>
      </c>
      <c r="B246" s="41" t="s">
        <v>857</v>
      </c>
      <c r="C246" s="125" t="s">
        <v>1621</v>
      </c>
      <c r="D246" s="144" t="s">
        <v>1622</v>
      </c>
      <c r="E246" s="144" t="s">
        <v>1622</v>
      </c>
      <c r="F246" s="115" t="s">
        <v>1249</v>
      </c>
      <c r="G246" s="72" t="s">
        <v>40</v>
      </c>
      <c r="H246" s="125" t="s">
        <v>110</v>
      </c>
      <c r="I246" s="41"/>
      <c r="J246" s="41" t="s">
        <v>1623</v>
      </c>
      <c r="K246" s="41"/>
      <c r="L246" s="41"/>
      <c r="M246" s="41"/>
      <c r="N246" s="126">
        <v>273000</v>
      </c>
      <c r="O246" s="41">
        <v>2024</v>
      </c>
      <c r="P246" s="126">
        <v>273000</v>
      </c>
      <c r="Q246" s="41">
        <v>2024</v>
      </c>
      <c r="R246" s="41"/>
      <c r="S246" s="41"/>
      <c r="T246" s="41"/>
      <c r="U246" s="125" t="s">
        <v>1253</v>
      </c>
      <c r="V246" s="42" t="s">
        <v>40</v>
      </c>
      <c r="W246" s="84" t="s">
        <v>323</v>
      </c>
      <c r="X246" s="42" t="s">
        <v>40</v>
      </c>
      <c r="Y246" s="42"/>
      <c r="Z246" s="42" t="s">
        <v>1624</v>
      </c>
      <c r="AA246" s="128" t="s">
        <v>1625</v>
      </c>
      <c r="AB246" s="42" t="s">
        <v>1589</v>
      </c>
      <c r="AC246" s="6"/>
      <c r="AD246" s="42" t="s">
        <v>40</v>
      </c>
      <c r="AE246" s="42" t="s">
        <v>404</v>
      </c>
      <c r="AF246" s="42">
        <v>1</v>
      </c>
      <c r="AG246" s="42"/>
      <c r="AH246" s="42"/>
      <c r="AI246" s="42"/>
      <c r="AJ246" s="2" t="s">
        <v>1590</v>
      </c>
    </row>
    <row r="247" spans="1:36" ht="17.149999999999999" hidden="1" customHeight="1">
      <c r="A247" s="1" t="s">
        <v>1626</v>
      </c>
      <c r="B247" s="1"/>
      <c r="C247" s="1" t="s">
        <v>1627</v>
      </c>
      <c r="D247" s="1"/>
      <c r="E247" s="1"/>
      <c r="F247" s="1"/>
      <c r="G247" s="1"/>
      <c r="H247" s="1" t="s">
        <v>1171</v>
      </c>
      <c r="I247" s="1" t="s">
        <v>46</v>
      </c>
      <c r="J247" s="1" t="s">
        <v>1628</v>
      </c>
      <c r="K247" s="1" t="s">
        <v>1629</v>
      </c>
      <c r="L247" s="1" t="s">
        <v>118</v>
      </c>
      <c r="M247" s="1" t="s">
        <v>1630</v>
      </c>
      <c r="N247" s="1">
        <v>1150977</v>
      </c>
      <c r="O247" s="1">
        <v>2017</v>
      </c>
      <c r="P247" s="1">
        <v>950584</v>
      </c>
      <c r="Q247" s="1">
        <v>2017</v>
      </c>
      <c r="R247" s="1" t="s">
        <v>46</v>
      </c>
      <c r="S247" s="1">
        <v>1</v>
      </c>
      <c r="T247" s="1" t="s">
        <v>46</v>
      </c>
      <c r="U247" s="1" t="s">
        <v>1631</v>
      </c>
    </row>
    <row r="248" spans="1:36" s="159" customFormat="1" ht="17.149999999999999" hidden="1" customHeight="1">
      <c r="A248" s="157" t="s">
        <v>1632</v>
      </c>
      <c r="B248" s="157" t="s">
        <v>37</v>
      </c>
      <c r="C248" s="157" t="s">
        <v>1633</v>
      </c>
      <c r="D248" s="157"/>
      <c r="E248" s="157"/>
      <c r="F248" s="157"/>
      <c r="G248" s="157"/>
      <c r="H248" s="157" t="s">
        <v>1391</v>
      </c>
      <c r="I248" s="157" t="s">
        <v>1634</v>
      </c>
      <c r="J248" s="157" t="s">
        <v>1635</v>
      </c>
      <c r="K248" s="157" t="s">
        <v>1636</v>
      </c>
      <c r="L248" s="157" t="s">
        <v>45</v>
      </c>
      <c r="M248" s="157" t="s">
        <v>46</v>
      </c>
      <c r="N248" s="157">
        <v>400000</v>
      </c>
      <c r="O248" s="157">
        <v>2018</v>
      </c>
      <c r="P248" s="157">
        <v>950000</v>
      </c>
      <c r="Q248" s="157">
        <v>2018</v>
      </c>
      <c r="R248" s="157" t="s">
        <v>46</v>
      </c>
      <c r="S248" s="157">
        <v>1</v>
      </c>
      <c r="T248" s="157">
        <v>1</v>
      </c>
      <c r="U248" s="157" t="s">
        <v>1637</v>
      </c>
      <c r="V248" s="158" t="s">
        <v>1638</v>
      </c>
      <c r="W248" s="159" t="s">
        <v>78</v>
      </c>
      <c r="X248" s="159" t="s">
        <v>1639</v>
      </c>
      <c r="Z248" s="159" t="s">
        <v>1640</v>
      </c>
      <c r="AA248" s="159" t="s">
        <v>1641</v>
      </c>
      <c r="AC248" s="159" t="s">
        <v>1642</v>
      </c>
      <c r="AD248" s="159" t="s">
        <v>40</v>
      </c>
    </row>
    <row r="249" spans="1:36" ht="17.149999999999999" hidden="1" customHeight="1">
      <c r="A249" s="1" t="s">
        <v>1643</v>
      </c>
      <c r="B249" s="1"/>
      <c r="C249" s="1" t="s">
        <v>1644</v>
      </c>
      <c r="D249" s="1"/>
      <c r="E249" s="1"/>
      <c r="F249" s="1"/>
      <c r="G249" s="1"/>
      <c r="H249" s="1" t="s">
        <v>1171</v>
      </c>
      <c r="I249" s="1" t="s">
        <v>46</v>
      </c>
      <c r="J249" s="1" t="s">
        <v>1628</v>
      </c>
      <c r="K249" s="1" t="s">
        <v>1645</v>
      </c>
      <c r="L249" s="1" t="s">
        <v>45</v>
      </c>
      <c r="M249" s="1" t="s">
        <v>46</v>
      </c>
      <c r="N249" s="1">
        <v>1098000</v>
      </c>
      <c r="O249" s="1">
        <v>2018</v>
      </c>
      <c r="P249" s="1">
        <v>902000</v>
      </c>
      <c r="Q249" s="1">
        <v>2018</v>
      </c>
      <c r="R249" s="1" t="s">
        <v>46</v>
      </c>
      <c r="S249" s="1">
        <v>1</v>
      </c>
      <c r="T249" s="1" t="s">
        <v>46</v>
      </c>
      <c r="U249" s="1" t="s">
        <v>1646</v>
      </c>
    </row>
    <row r="250" spans="1:36" ht="17.149999999999999" hidden="1" customHeight="1">
      <c r="A250" s="1" t="s">
        <v>1647</v>
      </c>
      <c r="B250" s="1"/>
      <c r="C250" s="1" t="s">
        <v>1648</v>
      </c>
      <c r="D250" s="1"/>
      <c r="E250" s="1"/>
      <c r="F250" s="1"/>
      <c r="G250" s="1"/>
      <c r="H250" s="1" t="s">
        <v>1279</v>
      </c>
      <c r="I250" s="1" t="s">
        <v>46</v>
      </c>
      <c r="J250" s="1" t="s">
        <v>1649</v>
      </c>
      <c r="K250" s="1" t="s">
        <v>1650</v>
      </c>
      <c r="L250" s="1" t="s">
        <v>45</v>
      </c>
      <c r="M250" s="1" t="s">
        <v>46</v>
      </c>
      <c r="N250" s="1">
        <v>900000</v>
      </c>
      <c r="O250" s="1">
        <v>2019</v>
      </c>
      <c r="P250" s="1">
        <v>900000</v>
      </c>
      <c r="Q250" s="1">
        <v>2019</v>
      </c>
      <c r="R250" s="1" t="s">
        <v>46</v>
      </c>
      <c r="S250" s="1">
        <v>1</v>
      </c>
      <c r="T250" s="1" t="s">
        <v>46</v>
      </c>
      <c r="U250" s="1" t="s">
        <v>1651</v>
      </c>
    </row>
    <row r="251" spans="1:36" ht="17.149999999999999" customHeight="1">
      <c r="A251" s="125" t="s">
        <v>1248</v>
      </c>
      <c r="B251" s="41" t="s">
        <v>857</v>
      </c>
      <c r="C251" s="125" t="s">
        <v>1652</v>
      </c>
      <c r="D251" s="144" t="s">
        <v>1653</v>
      </c>
      <c r="E251" s="144" t="s">
        <v>1653</v>
      </c>
      <c r="F251" s="115" t="s">
        <v>1249</v>
      </c>
      <c r="G251" s="72"/>
      <c r="H251" s="125" t="s">
        <v>110</v>
      </c>
      <c r="I251" s="41"/>
      <c r="J251" s="42" t="s">
        <v>1654</v>
      </c>
      <c r="K251" s="41"/>
      <c r="L251" s="41"/>
      <c r="M251" s="41"/>
      <c r="N251" s="126">
        <v>338000</v>
      </c>
      <c r="O251" s="41">
        <v>2024</v>
      </c>
      <c r="P251" s="126">
        <v>338000</v>
      </c>
      <c r="Q251" s="41">
        <v>2024</v>
      </c>
      <c r="R251" s="41"/>
      <c r="S251" s="41"/>
      <c r="T251" s="41"/>
      <c r="U251" s="125" t="s">
        <v>1253</v>
      </c>
      <c r="V251" s="42" t="s">
        <v>40</v>
      </c>
      <c r="W251" s="84" t="s">
        <v>323</v>
      </c>
      <c r="X251" s="42" t="s">
        <v>40</v>
      </c>
      <c r="Y251" s="42"/>
      <c r="Z251" s="42" t="s">
        <v>1587</v>
      </c>
      <c r="AA251" s="127" t="s">
        <v>1655</v>
      </c>
      <c r="AB251" s="42" t="s">
        <v>1589</v>
      </c>
      <c r="AC251" s="6"/>
      <c r="AD251" s="42" t="s">
        <v>40</v>
      </c>
      <c r="AE251" s="42" t="s">
        <v>404</v>
      </c>
      <c r="AF251" s="42">
        <v>1</v>
      </c>
      <c r="AG251" s="42"/>
      <c r="AH251" s="42"/>
      <c r="AI251" s="42"/>
      <c r="AJ251" s="2" t="s">
        <v>1590</v>
      </c>
    </row>
    <row r="252" spans="1:36" ht="17.149999999999999" hidden="1" customHeight="1">
      <c r="A252" s="1" t="s">
        <v>1656</v>
      </c>
      <c r="B252" s="1" t="s">
        <v>1198</v>
      </c>
      <c r="C252" s="1" t="s">
        <v>1657</v>
      </c>
      <c r="D252" s="1"/>
      <c r="E252" s="1"/>
      <c r="F252" s="1"/>
      <c r="G252" s="1"/>
      <c r="H252" s="1" t="s">
        <v>1047</v>
      </c>
      <c r="I252" s="1" t="s">
        <v>46</v>
      </c>
      <c r="J252" s="1" t="s">
        <v>1658</v>
      </c>
      <c r="K252" s="1" t="s">
        <v>1659</v>
      </c>
      <c r="L252" s="1" t="s">
        <v>45</v>
      </c>
      <c r="M252" s="1" t="s">
        <v>46</v>
      </c>
      <c r="N252" s="1">
        <v>884000</v>
      </c>
      <c r="O252" s="1">
        <v>2017</v>
      </c>
      <c r="P252" s="1">
        <v>884000</v>
      </c>
      <c r="Q252" s="1">
        <v>2017</v>
      </c>
      <c r="R252" s="1" t="s">
        <v>46</v>
      </c>
      <c r="S252" s="1">
        <v>1</v>
      </c>
      <c r="T252" s="1">
        <v>1</v>
      </c>
      <c r="U252" s="1" t="s">
        <v>1660</v>
      </c>
      <c r="AB252" s="2" t="s">
        <v>1661</v>
      </c>
    </row>
    <row r="253" spans="1:36" ht="17.149999999999999" hidden="1" customHeight="1">
      <c r="A253" s="1" t="s">
        <v>1662</v>
      </c>
      <c r="B253" s="1"/>
      <c r="C253" s="1" t="s">
        <v>1663</v>
      </c>
      <c r="D253" s="1"/>
      <c r="E253" s="1"/>
      <c r="F253" s="1"/>
      <c r="G253" s="1"/>
      <c r="H253" s="1" t="s">
        <v>1203</v>
      </c>
      <c r="I253" s="1" t="s">
        <v>46</v>
      </c>
      <c r="J253" s="1" t="s">
        <v>1664</v>
      </c>
      <c r="K253" s="1" t="s">
        <v>1665</v>
      </c>
      <c r="L253" s="1" t="s">
        <v>45</v>
      </c>
      <c r="M253" s="1" t="s">
        <v>46</v>
      </c>
      <c r="N253" s="1" t="s">
        <v>46</v>
      </c>
      <c r="O253" s="1" t="s">
        <v>46</v>
      </c>
      <c r="P253" s="1">
        <v>870000</v>
      </c>
      <c r="Q253" s="1">
        <v>2016</v>
      </c>
      <c r="R253" s="1" t="s">
        <v>46</v>
      </c>
      <c r="S253" s="1">
        <v>1</v>
      </c>
      <c r="T253" s="1" t="s">
        <v>46</v>
      </c>
      <c r="U253" s="1" t="s">
        <v>1666</v>
      </c>
    </row>
    <row r="254" spans="1:36" ht="17.149999999999999" hidden="1" customHeight="1">
      <c r="A254" s="1" t="s">
        <v>1667</v>
      </c>
      <c r="B254" s="1"/>
      <c r="C254" s="1" t="s">
        <v>1668</v>
      </c>
      <c r="D254" s="1"/>
      <c r="E254" s="1"/>
      <c r="F254" s="1"/>
      <c r="G254" s="1"/>
      <c r="H254" s="1" t="s">
        <v>1669</v>
      </c>
      <c r="I254" s="1" t="s">
        <v>46</v>
      </c>
      <c r="J254" s="1" t="s">
        <v>1670</v>
      </c>
      <c r="K254" s="1" t="s">
        <v>1671</v>
      </c>
      <c r="L254" s="1" t="s">
        <v>45</v>
      </c>
      <c r="M254" s="1" t="s">
        <v>46</v>
      </c>
      <c r="N254" s="1">
        <v>829550</v>
      </c>
      <c r="O254" s="1">
        <v>2023</v>
      </c>
      <c r="P254" s="1">
        <v>866391</v>
      </c>
      <c r="Q254" s="1">
        <v>2023</v>
      </c>
      <c r="R254" s="1" t="s">
        <v>46</v>
      </c>
      <c r="S254" s="1">
        <v>1</v>
      </c>
      <c r="T254" s="1" t="s">
        <v>46</v>
      </c>
      <c r="U254" s="1" t="s">
        <v>1672</v>
      </c>
      <c r="V254" s="2" t="s">
        <v>40</v>
      </c>
      <c r="W254" s="2" t="s">
        <v>1673</v>
      </c>
      <c r="AA254" s="2" t="s">
        <v>1674</v>
      </c>
      <c r="AC254" s="2" t="s">
        <v>1675</v>
      </c>
    </row>
    <row r="255" spans="1:36" s="117" customFormat="1" ht="17.149999999999999" hidden="1" customHeight="1">
      <c r="A255" s="17" t="s">
        <v>1676</v>
      </c>
      <c r="B255" s="17"/>
      <c r="C255" s="61" t="s">
        <v>1677</v>
      </c>
      <c r="D255" s="61"/>
      <c r="E255" s="61"/>
      <c r="F255" s="61"/>
      <c r="G255" s="61"/>
      <c r="H255" s="17" t="s">
        <v>41</v>
      </c>
      <c r="I255" s="17" t="s">
        <v>63</v>
      </c>
      <c r="J255" s="17" t="s">
        <v>1678</v>
      </c>
      <c r="K255" s="17" t="s">
        <v>1679</v>
      </c>
      <c r="L255" s="17" t="s">
        <v>45</v>
      </c>
      <c r="M255" s="17" t="s">
        <v>1680</v>
      </c>
      <c r="N255" s="17" t="s">
        <v>46</v>
      </c>
      <c r="O255" s="17" t="s">
        <v>46</v>
      </c>
      <c r="P255" s="17">
        <v>840000</v>
      </c>
      <c r="Q255" s="17">
        <v>2016</v>
      </c>
      <c r="R255" s="17" t="s">
        <v>46</v>
      </c>
      <c r="S255" s="17">
        <v>1</v>
      </c>
      <c r="T255" s="17">
        <v>1</v>
      </c>
      <c r="U255" s="17" t="s">
        <v>1681</v>
      </c>
      <c r="V255" s="18"/>
      <c r="W255" s="18"/>
      <c r="X255" s="18"/>
      <c r="Y255" s="18"/>
      <c r="Z255" s="18"/>
      <c r="AA255" s="18"/>
      <c r="AB255" s="18"/>
      <c r="AC255" s="18"/>
      <c r="AD255" s="18"/>
      <c r="AE255" s="2"/>
      <c r="AF255" s="2"/>
      <c r="AG255" s="2"/>
      <c r="AH255" s="2"/>
      <c r="AI255" s="2"/>
      <c r="AJ255" s="2"/>
    </row>
    <row r="256" spans="1:36" ht="17.149999999999999" hidden="1" customHeight="1">
      <c r="A256" s="1" t="s">
        <v>1682</v>
      </c>
      <c r="B256" s="1"/>
      <c r="C256" s="1" t="s">
        <v>1683</v>
      </c>
      <c r="D256" s="1"/>
      <c r="E256" s="1"/>
      <c r="F256" s="1"/>
      <c r="G256" s="1"/>
      <c r="H256" s="1" t="s">
        <v>177</v>
      </c>
      <c r="I256" s="1" t="s">
        <v>178</v>
      </c>
      <c r="J256" s="1" t="s">
        <v>471</v>
      </c>
      <c r="K256" s="1" t="s">
        <v>1684</v>
      </c>
      <c r="L256" s="1" t="s">
        <v>151</v>
      </c>
      <c r="M256" s="1" t="s">
        <v>46</v>
      </c>
      <c r="N256" s="1" t="s">
        <v>46</v>
      </c>
      <c r="O256" s="1" t="s">
        <v>46</v>
      </c>
      <c r="P256" s="1">
        <v>825130</v>
      </c>
      <c r="Q256" s="1">
        <v>2015</v>
      </c>
      <c r="R256" s="1" t="s">
        <v>46</v>
      </c>
      <c r="S256" s="1">
        <v>1</v>
      </c>
      <c r="T256" s="1" t="s">
        <v>46</v>
      </c>
      <c r="U256" s="1" t="s">
        <v>1685</v>
      </c>
    </row>
    <row r="257" spans="1:41" ht="17.149999999999999" hidden="1" customHeight="1">
      <c r="A257" s="41" t="s">
        <v>1686</v>
      </c>
      <c r="B257" s="41" t="s">
        <v>37</v>
      </c>
      <c r="C257" s="41" t="s">
        <v>1687</v>
      </c>
      <c r="D257" s="1"/>
      <c r="E257" s="1"/>
      <c r="F257" s="1"/>
      <c r="G257" s="1"/>
      <c r="H257" s="41" t="s">
        <v>1203</v>
      </c>
      <c r="I257" s="41" t="s">
        <v>46</v>
      </c>
      <c r="J257" s="41" t="s">
        <v>1688</v>
      </c>
      <c r="K257" s="41" t="s">
        <v>1689</v>
      </c>
      <c r="L257" s="41" t="s">
        <v>45</v>
      </c>
      <c r="M257" s="41" t="s">
        <v>46</v>
      </c>
      <c r="N257" s="41" t="s">
        <v>46</v>
      </c>
      <c r="O257" s="41" t="s">
        <v>46</v>
      </c>
      <c r="P257" s="41">
        <v>816100</v>
      </c>
      <c r="Q257" s="41">
        <v>2019</v>
      </c>
      <c r="R257" s="41" t="s">
        <v>46</v>
      </c>
      <c r="S257" s="41">
        <v>1</v>
      </c>
      <c r="T257" s="41" t="s">
        <v>46</v>
      </c>
      <c r="U257" s="41" t="s">
        <v>1690</v>
      </c>
      <c r="V257" s="42" t="s">
        <v>1691</v>
      </c>
      <c r="W257" s="42"/>
      <c r="X257" s="42"/>
      <c r="Y257" s="42"/>
      <c r="Z257" s="42"/>
      <c r="AA257" s="42" t="s">
        <v>1692</v>
      </c>
      <c r="AB257" s="42"/>
      <c r="AC257" s="42"/>
      <c r="AD257" s="42"/>
      <c r="AE257" s="42"/>
    </row>
    <row r="258" spans="1:41" ht="17.149999999999999" hidden="1" customHeight="1">
      <c r="A258" s="1" t="s">
        <v>1693</v>
      </c>
      <c r="B258" s="1" t="s">
        <v>167</v>
      </c>
      <c r="C258" s="1" t="s">
        <v>1694</v>
      </c>
      <c r="D258" s="1"/>
      <c r="E258" s="1"/>
      <c r="F258" s="1"/>
      <c r="G258" s="1"/>
      <c r="H258" s="1" t="s">
        <v>110</v>
      </c>
      <c r="I258" s="1" t="s">
        <v>307</v>
      </c>
      <c r="J258" s="1" t="s">
        <v>1695</v>
      </c>
      <c r="K258" s="1" t="s">
        <v>1696</v>
      </c>
      <c r="L258" s="1" t="s">
        <v>45</v>
      </c>
      <c r="M258" s="1" t="s">
        <v>46</v>
      </c>
      <c r="N258" s="1">
        <v>800000</v>
      </c>
      <c r="O258" s="1">
        <v>2019</v>
      </c>
      <c r="P258" s="1">
        <v>800000</v>
      </c>
      <c r="Q258" s="1">
        <v>2019</v>
      </c>
      <c r="R258" s="1" t="s">
        <v>46</v>
      </c>
      <c r="S258" s="1">
        <v>1</v>
      </c>
      <c r="T258" s="1">
        <v>1</v>
      </c>
      <c r="U258" s="1" t="s">
        <v>1697</v>
      </c>
    </row>
    <row r="259" spans="1:41" s="42" customFormat="1" ht="17.149999999999999" hidden="1" customHeight="1">
      <c r="A259" s="1" t="s">
        <v>1698</v>
      </c>
      <c r="B259" s="1"/>
      <c r="C259" s="1" t="s">
        <v>1699</v>
      </c>
      <c r="D259" s="1"/>
      <c r="E259" s="1"/>
      <c r="F259" s="1"/>
      <c r="G259" s="1"/>
      <c r="H259" s="1" t="s">
        <v>1203</v>
      </c>
      <c r="I259" s="1" t="s">
        <v>46</v>
      </c>
      <c r="J259" s="1" t="s">
        <v>1700</v>
      </c>
      <c r="K259" s="1" t="s">
        <v>1701</v>
      </c>
      <c r="L259" s="1" t="s">
        <v>45</v>
      </c>
      <c r="M259" s="1" t="s">
        <v>46</v>
      </c>
      <c r="N259" s="1" t="s">
        <v>46</v>
      </c>
      <c r="O259" s="1" t="s">
        <v>46</v>
      </c>
      <c r="P259" s="1">
        <v>800000</v>
      </c>
      <c r="Q259" s="1">
        <v>2019</v>
      </c>
      <c r="R259" s="1" t="s">
        <v>46</v>
      </c>
      <c r="S259" s="1">
        <v>1</v>
      </c>
      <c r="T259" s="1" t="s">
        <v>46</v>
      </c>
      <c r="U259" s="1" t="s">
        <v>1702</v>
      </c>
      <c r="V259" s="2"/>
      <c r="W259" s="2"/>
      <c r="X259" s="2"/>
      <c r="Y259" s="2"/>
      <c r="Z259" s="2"/>
      <c r="AA259" s="2"/>
      <c r="AB259" s="2"/>
      <c r="AC259" s="2"/>
      <c r="AD259" s="2"/>
      <c r="AE259" s="2"/>
      <c r="AF259" s="2"/>
      <c r="AG259" s="2"/>
      <c r="AH259" s="2"/>
      <c r="AI259" s="2"/>
      <c r="AJ259" s="2"/>
    </row>
    <row r="260" spans="1:41" ht="17.149999999999999" hidden="1" customHeight="1">
      <c r="A260" s="1" t="s">
        <v>1703</v>
      </c>
      <c r="B260" s="1" t="s">
        <v>167</v>
      </c>
      <c r="C260" s="1" t="s">
        <v>1704</v>
      </c>
      <c r="D260" s="1"/>
      <c r="E260" s="1"/>
      <c r="F260" s="1"/>
      <c r="G260" s="1"/>
      <c r="H260" s="1" t="s">
        <v>110</v>
      </c>
      <c r="I260" s="1" t="s">
        <v>1511</v>
      </c>
      <c r="J260" s="1" t="s">
        <v>1705</v>
      </c>
      <c r="K260" s="1" t="s">
        <v>1706</v>
      </c>
      <c r="L260" s="1" t="s">
        <v>118</v>
      </c>
      <c r="M260" s="1" t="s">
        <v>1707</v>
      </c>
      <c r="N260" s="1">
        <v>798475</v>
      </c>
      <c r="O260" s="1">
        <v>2015</v>
      </c>
      <c r="P260" s="1">
        <v>798475</v>
      </c>
      <c r="Q260" s="1">
        <v>2015</v>
      </c>
      <c r="R260" s="1" t="s">
        <v>46</v>
      </c>
      <c r="S260" s="1">
        <v>1</v>
      </c>
      <c r="T260" s="1">
        <v>1</v>
      </c>
      <c r="U260" s="1" t="s">
        <v>1708</v>
      </c>
    </row>
    <row r="261" spans="1:41" ht="17.149999999999999" hidden="1" customHeight="1">
      <c r="A261" s="1" t="s">
        <v>1709</v>
      </c>
      <c r="B261" s="1"/>
      <c r="C261" s="1" t="s">
        <v>1710</v>
      </c>
      <c r="D261" s="1"/>
      <c r="E261" s="1"/>
      <c r="F261" s="1"/>
      <c r="G261" s="1"/>
      <c r="H261" s="1" t="s">
        <v>177</v>
      </c>
      <c r="I261" s="1" t="s">
        <v>345</v>
      </c>
      <c r="J261" s="1" t="s">
        <v>1711</v>
      </c>
      <c r="K261" s="1" t="s">
        <v>1712</v>
      </c>
      <c r="L261" s="1" t="s">
        <v>118</v>
      </c>
      <c r="M261" s="1" t="s">
        <v>1713</v>
      </c>
      <c r="N261" s="1">
        <v>220000</v>
      </c>
      <c r="O261" s="1">
        <v>2015</v>
      </c>
      <c r="P261" s="1">
        <v>776400</v>
      </c>
      <c r="Q261" s="1">
        <v>2015</v>
      </c>
      <c r="R261" s="1" t="s">
        <v>46</v>
      </c>
      <c r="S261" s="1">
        <v>1</v>
      </c>
      <c r="T261" s="1">
        <v>1</v>
      </c>
      <c r="U261" s="1" t="s">
        <v>1714</v>
      </c>
    </row>
    <row r="262" spans="1:41" ht="17.149999999999999" hidden="1" customHeight="1">
      <c r="A262" s="1" t="s">
        <v>1715</v>
      </c>
      <c r="B262" s="1" t="s">
        <v>167</v>
      </c>
      <c r="C262" s="1" t="s">
        <v>1716</v>
      </c>
      <c r="D262" s="1"/>
      <c r="E262" s="1"/>
      <c r="F262" s="1"/>
      <c r="G262" s="1"/>
      <c r="H262" s="1" t="s">
        <v>110</v>
      </c>
      <c r="I262" s="1" t="s">
        <v>243</v>
      </c>
      <c r="J262" s="1" t="s">
        <v>1717</v>
      </c>
      <c r="K262" s="1" t="s">
        <v>1718</v>
      </c>
      <c r="L262" s="1" t="s">
        <v>118</v>
      </c>
      <c r="M262" s="1" t="s">
        <v>1719</v>
      </c>
      <c r="N262" s="1">
        <v>866076</v>
      </c>
      <c r="O262" s="1">
        <v>2019</v>
      </c>
      <c r="P262" s="1">
        <v>774791</v>
      </c>
      <c r="Q262" s="1">
        <v>2015</v>
      </c>
      <c r="R262" s="1" t="s">
        <v>46</v>
      </c>
      <c r="S262" s="1">
        <v>1</v>
      </c>
      <c r="T262" s="1">
        <v>1</v>
      </c>
      <c r="U262" s="1" t="s">
        <v>1720</v>
      </c>
    </row>
    <row r="263" spans="1:41" ht="17.149999999999999" hidden="1" customHeight="1">
      <c r="A263" s="1" t="s">
        <v>1721</v>
      </c>
      <c r="B263" s="1"/>
      <c r="C263" s="1" t="s">
        <v>1722</v>
      </c>
      <c r="D263" s="1"/>
      <c r="E263" s="1"/>
      <c r="F263" s="1"/>
      <c r="G263" s="1"/>
      <c r="H263" s="1" t="s">
        <v>177</v>
      </c>
      <c r="I263" s="1" t="s">
        <v>392</v>
      </c>
      <c r="J263" s="1" t="s">
        <v>1723</v>
      </c>
      <c r="K263" s="1" t="s">
        <v>1724</v>
      </c>
      <c r="L263" s="1" t="s">
        <v>45</v>
      </c>
      <c r="M263" s="1" t="s">
        <v>46</v>
      </c>
      <c r="N263" s="1">
        <v>770500</v>
      </c>
      <c r="O263" s="1">
        <v>2019</v>
      </c>
      <c r="P263" s="1">
        <v>770500</v>
      </c>
      <c r="Q263" s="1">
        <v>2019</v>
      </c>
      <c r="R263" s="1">
        <v>1</v>
      </c>
      <c r="S263" s="1" t="s">
        <v>46</v>
      </c>
      <c r="T263" s="1">
        <v>1</v>
      </c>
      <c r="U263" s="1" t="s">
        <v>1725</v>
      </c>
    </row>
    <row r="264" spans="1:41" s="42" customFormat="1" ht="17.149999999999999" hidden="1" customHeight="1">
      <c r="A264" s="1" t="s">
        <v>1726</v>
      </c>
      <c r="B264" s="1"/>
      <c r="C264" s="1" t="s">
        <v>1727</v>
      </c>
      <c r="D264" s="1"/>
      <c r="E264" s="1"/>
      <c r="F264" s="1"/>
      <c r="G264" s="1"/>
      <c r="H264" s="1" t="s">
        <v>249</v>
      </c>
      <c r="I264" s="1" t="s">
        <v>1728</v>
      </c>
      <c r="J264" s="1" t="s">
        <v>1729</v>
      </c>
      <c r="K264" s="1" t="s">
        <v>1730</v>
      </c>
      <c r="L264" s="1" t="s">
        <v>45</v>
      </c>
      <c r="M264" s="1" t="s">
        <v>1731</v>
      </c>
      <c r="N264" s="1" t="s">
        <v>46</v>
      </c>
      <c r="O264" s="1" t="s">
        <v>46</v>
      </c>
      <c r="P264" s="1">
        <v>250400</v>
      </c>
      <c r="Q264" s="1">
        <v>2018</v>
      </c>
      <c r="R264" s="1" t="s">
        <v>46</v>
      </c>
      <c r="S264" s="1">
        <v>1</v>
      </c>
      <c r="T264" s="1">
        <v>1</v>
      </c>
      <c r="U264" s="1" t="s">
        <v>1732</v>
      </c>
      <c r="V264" s="2"/>
      <c r="W264" s="2"/>
      <c r="X264" s="2"/>
      <c r="Y264" s="2"/>
      <c r="Z264" s="2"/>
      <c r="AA264" s="2"/>
      <c r="AB264" s="2"/>
      <c r="AC264" s="2"/>
      <c r="AD264" s="2"/>
      <c r="AE264" s="2"/>
      <c r="AF264" s="2"/>
      <c r="AG264" s="2"/>
      <c r="AH264" s="2"/>
      <c r="AI264" s="2"/>
      <c r="AJ264" s="2"/>
      <c r="AK264" s="2"/>
      <c r="AL264" s="2"/>
      <c r="AM264" s="2"/>
      <c r="AN264" s="2"/>
      <c r="AO264" s="2"/>
    </row>
    <row r="265" spans="1:41" s="42" customFormat="1" ht="17.149999999999999" hidden="1" customHeight="1">
      <c r="A265" s="1" t="s">
        <v>1733</v>
      </c>
      <c r="B265" s="1"/>
      <c r="C265" s="1" t="s">
        <v>1734</v>
      </c>
      <c r="D265" s="1"/>
      <c r="E265" s="1"/>
      <c r="F265" s="1"/>
      <c r="G265" s="1"/>
      <c r="H265" s="1" t="s">
        <v>249</v>
      </c>
      <c r="I265" s="1" t="s">
        <v>1735</v>
      </c>
      <c r="J265" s="1" t="s">
        <v>1736</v>
      </c>
      <c r="K265" s="1" t="s">
        <v>1737</v>
      </c>
      <c r="L265" s="1" t="s">
        <v>45</v>
      </c>
      <c r="M265" s="1" t="s">
        <v>46</v>
      </c>
      <c r="N265" s="1" t="s">
        <v>46</v>
      </c>
      <c r="O265" s="1" t="s">
        <v>46</v>
      </c>
      <c r="P265" s="1">
        <v>233766</v>
      </c>
      <c r="Q265" s="1">
        <v>2018</v>
      </c>
      <c r="R265" s="1" t="s">
        <v>46</v>
      </c>
      <c r="S265" s="1">
        <v>1</v>
      </c>
      <c r="T265" s="1">
        <v>1</v>
      </c>
      <c r="U265" s="1" t="s">
        <v>1738</v>
      </c>
      <c r="V265" s="2"/>
      <c r="W265" s="2"/>
      <c r="X265" s="2"/>
      <c r="Y265" s="2"/>
      <c r="Z265" s="2"/>
      <c r="AA265" s="2" t="s">
        <v>1739</v>
      </c>
      <c r="AB265" s="2"/>
      <c r="AC265" s="2"/>
      <c r="AD265" s="2"/>
      <c r="AE265" s="2"/>
      <c r="AF265" s="2"/>
      <c r="AG265" s="2"/>
      <c r="AH265" s="2"/>
      <c r="AI265" s="2"/>
      <c r="AJ265" s="73"/>
      <c r="AK265" s="2"/>
      <c r="AL265" s="2"/>
      <c r="AM265" s="2"/>
      <c r="AN265" s="2"/>
      <c r="AO265" s="2"/>
    </row>
    <row r="266" spans="1:41" ht="17.149999999999999" hidden="1" customHeight="1">
      <c r="A266" s="1" t="s">
        <v>1740</v>
      </c>
      <c r="B266" s="1"/>
      <c r="C266" s="1" t="s">
        <v>1741</v>
      </c>
      <c r="D266" s="1"/>
      <c r="E266" s="1"/>
      <c r="F266" s="1"/>
      <c r="G266" s="1"/>
      <c r="H266" s="1" t="s">
        <v>1203</v>
      </c>
      <c r="I266" s="1" t="s">
        <v>46</v>
      </c>
      <c r="J266" s="1" t="s">
        <v>1742</v>
      </c>
      <c r="K266" s="1" t="s">
        <v>1743</v>
      </c>
      <c r="L266" s="1" t="s">
        <v>45</v>
      </c>
      <c r="M266" s="1" t="s">
        <v>46</v>
      </c>
      <c r="N266" s="1" t="s">
        <v>46</v>
      </c>
      <c r="O266" s="1" t="s">
        <v>46</v>
      </c>
      <c r="P266" s="1">
        <v>744000</v>
      </c>
      <c r="Q266" s="1">
        <v>2019</v>
      </c>
      <c r="R266" s="1" t="s">
        <v>46</v>
      </c>
      <c r="S266" s="1">
        <v>1</v>
      </c>
      <c r="T266" s="1" t="s">
        <v>46</v>
      </c>
      <c r="U266" s="1" t="s">
        <v>1744</v>
      </c>
    </row>
    <row r="267" spans="1:41" s="44" customFormat="1" ht="17.149999999999999" hidden="1" customHeight="1">
      <c r="A267" s="141" t="s">
        <v>1745</v>
      </c>
      <c r="B267" s="141"/>
      <c r="C267" s="141" t="s">
        <v>1746</v>
      </c>
      <c r="D267" s="1"/>
      <c r="E267" s="1"/>
      <c r="F267" s="1"/>
      <c r="G267" s="1"/>
      <c r="H267" s="141" t="s">
        <v>249</v>
      </c>
      <c r="I267" s="141" t="s">
        <v>1747</v>
      </c>
      <c r="J267" s="141" t="s">
        <v>1748</v>
      </c>
      <c r="K267" s="141" t="s">
        <v>1749</v>
      </c>
      <c r="L267" s="141" t="s">
        <v>45</v>
      </c>
      <c r="M267" s="141" t="s">
        <v>46</v>
      </c>
      <c r="N267" s="141" t="s">
        <v>46</v>
      </c>
      <c r="O267" s="141" t="s">
        <v>46</v>
      </c>
      <c r="P267" s="141">
        <v>223068</v>
      </c>
      <c r="Q267" s="141">
        <v>2018</v>
      </c>
      <c r="R267" s="141" t="s">
        <v>46</v>
      </c>
      <c r="S267" s="141">
        <v>1</v>
      </c>
      <c r="T267" s="141">
        <v>1</v>
      </c>
      <c r="U267" s="141" t="s">
        <v>1750</v>
      </c>
    </row>
    <row r="268" spans="1:41" ht="17.149999999999999" hidden="1" customHeight="1">
      <c r="A268" s="1" t="s">
        <v>1751</v>
      </c>
      <c r="B268" s="1"/>
      <c r="C268" s="1" t="s">
        <v>1752</v>
      </c>
      <c r="D268" s="1"/>
      <c r="E268" s="1"/>
      <c r="F268" s="1"/>
      <c r="G268" s="1"/>
      <c r="H268" s="1" t="s">
        <v>1753</v>
      </c>
      <c r="I268" s="1" t="s">
        <v>46</v>
      </c>
      <c r="J268" s="1" t="s">
        <v>1754</v>
      </c>
      <c r="K268" s="1" t="s">
        <v>1755</v>
      </c>
      <c r="L268" s="1" t="s">
        <v>45</v>
      </c>
      <c r="M268" s="1" t="s">
        <v>46</v>
      </c>
      <c r="N268" s="1">
        <v>953240</v>
      </c>
      <c r="O268" s="1">
        <v>2023</v>
      </c>
      <c r="P268" s="1">
        <v>731559</v>
      </c>
      <c r="Q268" s="1">
        <v>2023</v>
      </c>
      <c r="R268" s="1" t="s">
        <v>46</v>
      </c>
      <c r="S268" s="1">
        <v>1</v>
      </c>
      <c r="T268" s="1" t="s">
        <v>46</v>
      </c>
      <c r="U268" s="1" t="s">
        <v>1756</v>
      </c>
    </row>
    <row r="269" spans="1:41" ht="17.149999999999999" hidden="1" customHeight="1">
      <c r="A269" s="1" t="s">
        <v>1757</v>
      </c>
      <c r="B269" s="1" t="s">
        <v>167</v>
      </c>
      <c r="C269" s="1" t="s">
        <v>1758</v>
      </c>
      <c r="D269" s="1"/>
      <c r="E269" s="1"/>
      <c r="F269" s="1"/>
      <c r="G269" s="1"/>
      <c r="H269" s="1" t="s">
        <v>110</v>
      </c>
      <c r="I269" s="1" t="s">
        <v>307</v>
      </c>
      <c r="J269" s="1" t="s">
        <v>1759</v>
      </c>
      <c r="K269" s="1" t="s">
        <v>1760</v>
      </c>
      <c r="L269" s="1" t="s">
        <v>45</v>
      </c>
      <c r="M269" s="1" t="s">
        <v>46</v>
      </c>
      <c r="N269" s="1">
        <v>718965</v>
      </c>
      <c r="O269" s="1">
        <v>2015</v>
      </c>
      <c r="P269" s="1">
        <v>718965</v>
      </c>
      <c r="Q269" s="1">
        <v>2015</v>
      </c>
      <c r="R269" s="1" t="s">
        <v>46</v>
      </c>
      <c r="S269" s="1">
        <v>1</v>
      </c>
      <c r="T269" s="1">
        <v>1</v>
      </c>
      <c r="U269" s="1" t="s">
        <v>1761</v>
      </c>
    </row>
    <row r="270" spans="1:41" ht="17.149999999999999" hidden="1" customHeight="1">
      <c r="A270" s="1" t="s">
        <v>1762</v>
      </c>
      <c r="B270" s="1" t="s">
        <v>167</v>
      </c>
      <c r="C270" s="1" t="s">
        <v>1763</v>
      </c>
      <c r="D270" s="1"/>
      <c r="E270" s="1"/>
      <c r="F270" s="1"/>
      <c r="G270" s="1"/>
      <c r="H270" s="1" t="s">
        <v>110</v>
      </c>
      <c r="I270" s="1" t="s">
        <v>1764</v>
      </c>
      <c r="J270" s="1" t="s">
        <v>1765</v>
      </c>
      <c r="K270" s="1" t="s">
        <v>1766</v>
      </c>
      <c r="L270" s="1" t="s">
        <v>118</v>
      </c>
      <c r="M270" s="1" t="s">
        <v>1767</v>
      </c>
      <c r="N270" s="1">
        <v>700000</v>
      </c>
      <c r="O270" s="1">
        <v>2019</v>
      </c>
      <c r="P270" s="1">
        <v>700000</v>
      </c>
      <c r="Q270" s="1">
        <v>2019</v>
      </c>
      <c r="R270" s="1" t="s">
        <v>46</v>
      </c>
      <c r="S270" s="1">
        <v>1</v>
      </c>
      <c r="T270" s="1">
        <v>1</v>
      </c>
      <c r="U270" s="1" t="s">
        <v>1768</v>
      </c>
    </row>
    <row r="271" spans="1:41" ht="17.149999999999999" customHeight="1">
      <c r="A271" s="14" t="s">
        <v>1769</v>
      </c>
      <c r="B271" s="14" t="s">
        <v>37</v>
      </c>
      <c r="C271" s="56" t="s">
        <v>1770</v>
      </c>
      <c r="D271" s="17" t="s">
        <v>1770</v>
      </c>
      <c r="E271" s="17" t="s">
        <v>1770</v>
      </c>
      <c r="F271" s="17" t="s">
        <v>62</v>
      </c>
      <c r="G271" s="61" t="s">
        <v>40</v>
      </c>
      <c r="H271" s="14" t="s">
        <v>41</v>
      </c>
      <c r="I271" s="14" t="s">
        <v>63</v>
      </c>
      <c r="J271" s="14" t="s">
        <v>1771</v>
      </c>
      <c r="K271" s="14" t="s">
        <v>1772</v>
      </c>
      <c r="L271" s="14" t="s">
        <v>45</v>
      </c>
      <c r="M271" s="14" t="s">
        <v>46</v>
      </c>
      <c r="N271" s="14" t="s">
        <v>46</v>
      </c>
      <c r="O271" s="14" t="s">
        <v>46</v>
      </c>
      <c r="P271" s="51">
        <v>161704</v>
      </c>
      <c r="Q271" s="51">
        <v>2025</v>
      </c>
      <c r="R271" s="14" t="s">
        <v>46</v>
      </c>
      <c r="S271" s="14">
        <v>1</v>
      </c>
      <c r="T271" s="14">
        <v>1</v>
      </c>
      <c r="U271" s="14" t="s">
        <v>1773</v>
      </c>
      <c r="V271" s="6" t="s">
        <v>40</v>
      </c>
      <c r="W271" s="6" t="s">
        <v>664</v>
      </c>
      <c r="X271" s="6" t="s">
        <v>40</v>
      </c>
      <c r="Y271" s="8"/>
      <c r="Z271" s="6" t="s">
        <v>1774</v>
      </c>
      <c r="AA271" s="6" t="s">
        <v>1775</v>
      </c>
      <c r="AB271" s="6"/>
      <c r="AC271" s="6" t="s">
        <v>1776</v>
      </c>
      <c r="AD271" s="6" t="s">
        <v>40</v>
      </c>
      <c r="AE271" s="2">
        <v>2</v>
      </c>
      <c r="AF271" t="s">
        <v>53</v>
      </c>
      <c r="AG271" s="2" t="s">
        <v>1183</v>
      </c>
      <c r="AJ271" s="42" t="s">
        <v>1318</v>
      </c>
    </row>
    <row r="272" spans="1:41" ht="17.149999999999999" hidden="1" customHeight="1">
      <c r="A272" s="1" t="s">
        <v>1777</v>
      </c>
      <c r="B272" s="1"/>
      <c r="C272" s="1" t="s">
        <v>1778</v>
      </c>
      <c r="D272" s="1"/>
      <c r="E272" s="1"/>
      <c r="F272" s="1"/>
      <c r="G272" s="1"/>
      <c r="H272" s="1" t="s">
        <v>1279</v>
      </c>
      <c r="I272" s="1" t="s">
        <v>46</v>
      </c>
      <c r="J272" s="1" t="s">
        <v>1779</v>
      </c>
      <c r="K272" s="1" t="s">
        <v>1780</v>
      </c>
      <c r="L272" s="1" t="s">
        <v>45</v>
      </c>
      <c r="M272" s="1" t="s">
        <v>46</v>
      </c>
      <c r="N272" s="1">
        <v>728892</v>
      </c>
      <c r="O272" s="1">
        <v>2015</v>
      </c>
      <c r="P272" s="1">
        <v>692447</v>
      </c>
      <c r="Q272" s="1">
        <v>2015</v>
      </c>
      <c r="R272" s="1" t="s">
        <v>46</v>
      </c>
      <c r="S272" s="1">
        <v>1</v>
      </c>
      <c r="T272" s="1" t="s">
        <v>46</v>
      </c>
      <c r="U272" s="1" t="s">
        <v>1781</v>
      </c>
    </row>
    <row r="273" spans="1:36" ht="17.149999999999999" hidden="1" customHeight="1">
      <c r="A273" s="17" t="s">
        <v>1782</v>
      </c>
      <c r="B273" s="17"/>
      <c r="C273" s="61" t="s">
        <v>1783</v>
      </c>
      <c r="D273" s="61"/>
      <c r="E273" s="61"/>
      <c r="F273" s="61"/>
      <c r="G273" s="61"/>
      <c r="H273" s="17" t="s">
        <v>41</v>
      </c>
      <c r="I273" s="17" t="s">
        <v>1784</v>
      </c>
      <c r="J273" s="17" t="s">
        <v>1784</v>
      </c>
      <c r="K273" s="17" t="s">
        <v>1785</v>
      </c>
      <c r="L273" s="17" t="s">
        <v>151</v>
      </c>
      <c r="M273" s="17" t="s">
        <v>1786</v>
      </c>
      <c r="N273" s="17" t="s">
        <v>46</v>
      </c>
      <c r="O273" s="17" t="s">
        <v>46</v>
      </c>
      <c r="P273" s="17">
        <v>686100</v>
      </c>
      <c r="Q273" s="17">
        <v>2016</v>
      </c>
      <c r="R273" s="17" t="s">
        <v>46</v>
      </c>
      <c r="S273" s="17">
        <v>1</v>
      </c>
      <c r="T273" s="17">
        <v>1</v>
      </c>
      <c r="U273" s="17" t="s">
        <v>1787</v>
      </c>
      <c r="V273" s="18"/>
      <c r="W273" s="18"/>
      <c r="X273" s="18"/>
      <c r="Y273" s="18"/>
      <c r="Z273" s="18"/>
      <c r="AA273" s="18"/>
      <c r="AB273" s="18"/>
      <c r="AC273" s="18"/>
      <c r="AD273" s="18"/>
    </row>
    <row r="274" spans="1:36" ht="17.149999999999999" hidden="1" customHeight="1">
      <c r="A274" s="1" t="s">
        <v>1788</v>
      </c>
      <c r="B274" s="1" t="s">
        <v>167</v>
      </c>
      <c r="C274" s="1" t="s">
        <v>1789</v>
      </c>
      <c r="D274" s="1"/>
      <c r="E274" s="1"/>
      <c r="F274" s="1"/>
      <c r="G274" s="1"/>
      <c r="H274" s="1" t="s">
        <v>110</v>
      </c>
      <c r="I274" s="1" t="s">
        <v>243</v>
      </c>
      <c r="J274" s="1" t="s">
        <v>1790</v>
      </c>
      <c r="K274" s="1" t="s">
        <v>1791</v>
      </c>
      <c r="L274" s="1" t="s">
        <v>45</v>
      </c>
      <c r="M274" s="1" t="s">
        <v>46</v>
      </c>
      <c r="N274" s="1">
        <v>680100</v>
      </c>
      <c r="O274" s="1">
        <v>2015</v>
      </c>
      <c r="P274" s="1">
        <v>680100</v>
      </c>
      <c r="Q274" s="1">
        <v>2015</v>
      </c>
      <c r="R274" s="1" t="s">
        <v>46</v>
      </c>
      <c r="S274" s="1">
        <v>1</v>
      </c>
      <c r="T274" s="1">
        <v>1</v>
      </c>
      <c r="U274" s="1" t="s">
        <v>1792</v>
      </c>
    </row>
    <row r="275" spans="1:36" ht="17.149999999999999" hidden="1" customHeight="1">
      <c r="A275" s="1" t="s">
        <v>1793</v>
      </c>
      <c r="B275" s="1"/>
      <c r="C275" s="1" t="s">
        <v>1794</v>
      </c>
      <c r="D275" s="1"/>
      <c r="E275" s="1"/>
      <c r="F275" s="1"/>
      <c r="G275" s="1"/>
      <c r="H275" s="1" t="s">
        <v>177</v>
      </c>
      <c r="I275" s="1" t="s">
        <v>294</v>
      </c>
      <c r="J275" s="1" t="s">
        <v>1795</v>
      </c>
      <c r="K275" s="1" t="s">
        <v>1796</v>
      </c>
      <c r="L275" s="1" t="s">
        <v>45</v>
      </c>
      <c r="M275" s="1" t="s">
        <v>46</v>
      </c>
      <c r="N275" s="1" t="s">
        <v>46</v>
      </c>
      <c r="O275" s="1" t="s">
        <v>46</v>
      </c>
      <c r="P275" s="1">
        <v>670000</v>
      </c>
      <c r="Q275" s="1">
        <v>2019</v>
      </c>
      <c r="R275" s="1" t="s">
        <v>46</v>
      </c>
      <c r="S275" s="1">
        <v>1</v>
      </c>
      <c r="T275" s="1">
        <v>1</v>
      </c>
      <c r="U275" s="1" t="s">
        <v>1797</v>
      </c>
    </row>
    <row r="276" spans="1:36" ht="17.149999999999999" customHeight="1">
      <c r="A276" s="41" t="s">
        <v>1798</v>
      </c>
      <c r="B276" s="41" t="s">
        <v>1198</v>
      </c>
      <c r="C276" s="41" t="s">
        <v>1799</v>
      </c>
      <c r="D276" s="144" t="s">
        <v>1800</v>
      </c>
      <c r="E276" s="1" t="s">
        <v>1799</v>
      </c>
      <c r="F276" s="17" t="s">
        <v>62</v>
      </c>
      <c r="G276" s="1" t="s">
        <v>40</v>
      </c>
      <c r="H276" s="41" t="s">
        <v>334</v>
      </c>
      <c r="I276" s="41" t="s">
        <v>46</v>
      </c>
      <c r="J276" s="125" t="s">
        <v>1801</v>
      </c>
      <c r="K276" s="41" t="s">
        <v>1802</v>
      </c>
      <c r="L276" s="41" t="s">
        <v>45</v>
      </c>
      <c r="M276" s="41" t="s">
        <v>46</v>
      </c>
      <c r="N276" s="41">
        <v>4784000</v>
      </c>
      <c r="O276" s="41">
        <v>2018</v>
      </c>
      <c r="P276" s="41">
        <v>4784000</v>
      </c>
      <c r="Q276" s="41">
        <v>2018</v>
      </c>
      <c r="R276" s="41">
        <v>1</v>
      </c>
      <c r="S276" s="41">
        <v>1</v>
      </c>
      <c r="T276" s="41" t="s">
        <v>46</v>
      </c>
      <c r="U276" s="41" t="s">
        <v>1803</v>
      </c>
      <c r="V276" s="42" t="s">
        <v>40</v>
      </c>
      <c r="W276" s="42" t="s">
        <v>78</v>
      </c>
      <c r="X276" s="42" t="s">
        <v>40</v>
      </c>
      <c r="Y276" s="42"/>
      <c r="Z276" s="42"/>
      <c r="AA276" s="42"/>
      <c r="AB276" s="42"/>
      <c r="AC276" s="42"/>
      <c r="AD276" s="42" t="s">
        <v>40</v>
      </c>
      <c r="AE276" s="42"/>
      <c r="AF276" s="42"/>
      <c r="AG276" s="42"/>
      <c r="AH276" s="42"/>
      <c r="AI276" s="42"/>
      <c r="AJ276" s="42" t="s">
        <v>57</v>
      </c>
    </row>
    <row r="277" spans="1:36" ht="17.149999999999999" customHeight="1">
      <c r="A277" s="1"/>
      <c r="B277" s="1" t="s">
        <v>175</v>
      </c>
      <c r="C277" s="1" t="s">
        <v>1804</v>
      </c>
      <c r="D277" s="144" t="s">
        <v>1805</v>
      </c>
      <c r="E277" s="144" t="s">
        <v>1806</v>
      </c>
      <c r="F277" s="17" t="s">
        <v>62</v>
      </c>
      <c r="G277" s="1"/>
      <c r="H277" s="1" t="s">
        <v>1279</v>
      </c>
      <c r="I277" s="1"/>
      <c r="J277" s="1" t="s">
        <v>1807</v>
      </c>
      <c r="K277" t="s">
        <v>1808</v>
      </c>
      <c r="L277" s="1" t="s">
        <v>45</v>
      </c>
      <c r="M277" s="1"/>
      <c r="N277" s="47">
        <v>300000</v>
      </c>
      <c r="O277" s="47">
        <v>2025</v>
      </c>
      <c r="P277" s="47">
        <v>300000</v>
      </c>
      <c r="Q277" s="47">
        <v>2025</v>
      </c>
      <c r="R277" s="1"/>
      <c r="S277" s="1">
        <v>1</v>
      </c>
      <c r="T277" s="1"/>
      <c r="U277" s="34" t="s">
        <v>1809</v>
      </c>
      <c r="V277" s="2" t="s">
        <v>40</v>
      </c>
      <c r="W277" s="2" t="s">
        <v>1810</v>
      </c>
      <c r="X277" s="2" t="s">
        <v>40</v>
      </c>
      <c r="Z277" s="82" t="s">
        <v>1811</v>
      </c>
      <c r="AA277" s="11" t="s">
        <v>1372</v>
      </c>
      <c r="AC277" s="18"/>
      <c r="AD277" s="18"/>
      <c r="AJ277" s="2" t="s">
        <v>57</v>
      </c>
    </row>
    <row r="278" spans="1:36" ht="17.149999999999999" customHeight="1">
      <c r="A278" s="41" t="s">
        <v>1812</v>
      </c>
      <c r="B278" s="41" t="s">
        <v>857</v>
      </c>
      <c r="C278" s="41" t="s">
        <v>1813</v>
      </c>
      <c r="D278" s="144" t="s">
        <v>1814</v>
      </c>
      <c r="E278" s="144" t="s">
        <v>1814</v>
      </c>
      <c r="F278" s="1" t="s">
        <v>62</v>
      </c>
      <c r="G278" s="1"/>
      <c r="H278" s="41" t="s">
        <v>110</v>
      </c>
      <c r="I278" s="41" t="s">
        <v>46</v>
      </c>
      <c r="J278" s="41" t="s">
        <v>1815</v>
      </c>
      <c r="K278" s="41" t="s">
        <v>1816</v>
      </c>
      <c r="L278" s="41" t="s">
        <v>118</v>
      </c>
      <c r="M278" s="41" t="s">
        <v>1817</v>
      </c>
      <c r="N278" s="41">
        <v>300000</v>
      </c>
      <c r="O278" s="41">
        <v>2019</v>
      </c>
      <c r="P278" s="41">
        <v>287000</v>
      </c>
      <c r="Q278" s="41">
        <v>2015</v>
      </c>
      <c r="R278" s="41" t="s">
        <v>46</v>
      </c>
      <c r="S278" s="41">
        <v>1</v>
      </c>
      <c r="T278" s="41">
        <v>1</v>
      </c>
      <c r="U278" s="41" t="s">
        <v>1818</v>
      </c>
      <c r="V278" s="42" t="s">
        <v>40</v>
      </c>
      <c r="W278" s="42" t="s">
        <v>323</v>
      </c>
      <c r="X278" s="42" t="s">
        <v>40</v>
      </c>
      <c r="Y278" s="42"/>
      <c r="Z278" s="42" t="s">
        <v>1557</v>
      </c>
      <c r="AA278" s="85" t="s">
        <v>1819</v>
      </c>
      <c r="AB278" s="42"/>
      <c r="AC278" s="42"/>
      <c r="AD278" s="42" t="s">
        <v>40</v>
      </c>
      <c r="AE278" s="42">
        <v>1</v>
      </c>
      <c r="AF278" s="42" t="s">
        <v>850</v>
      </c>
      <c r="AG278" s="42"/>
      <c r="AJ278" s="2" t="s">
        <v>57</v>
      </c>
    </row>
    <row r="279" spans="1:36" ht="17.149999999999999" hidden="1" customHeight="1">
      <c r="A279" s="1" t="s">
        <v>1820</v>
      </c>
      <c r="B279" s="1"/>
      <c r="C279" s="1" t="s">
        <v>1821</v>
      </c>
      <c r="D279" s="1"/>
      <c r="E279" s="1"/>
      <c r="F279" s="1"/>
      <c r="G279" s="1"/>
      <c r="H279" s="1" t="s">
        <v>1203</v>
      </c>
      <c r="I279" s="1" t="s">
        <v>46</v>
      </c>
      <c r="J279" s="1" t="s">
        <v>1822</v>
      </c>
      <c r="K279" s="1" t="s">
        <v>1823</v>
      </c>
      <c r="L279" s="1" t="s">
        <v>45</v>
      </c>
      <c r="M279" s="1" t="s">
        <v>46</v>
      </c>
      <c r="N279" s="1" t="s">
        <v>46</v>
      </c>
      <c r="O279" s="1" t="s">
        <v>46</v>
      </c>
      <c r="P279" s="1">
        <v>650000</v>
      </c>
      <c r="Q279" s="1">
        <v>2018</v>
      </c>
      <c r="R279" s="1" t="s">
        <v>46</v>
      </c>
      <c r="S279" s="1">
        <v>1</v>
      </c>
      <c r="T279" s="1" t="s">
        <v>46</v>
      </c>
      <c r="U279" s="1" t="s">
        <v>1824</v>
      </c>
    </row>
    <row r="280" spans="1:36" ht="17.149999999999999" hidden="1" customHeight="1">
      <c r="A280" s="1"/>
      <c r="B280" s="1"/>
      <c r="C280" s="1" t="s">
        <v>1825</v>
      </c>
      <c r="D280" s="1"/>
      <c r="E280" s="1"/>
      <c r="F280" s="1"/>
      <c r="G280" s="1"/>
      <c r="H280" s="1" t="s">
        <v>1203</v>
      </c>
      <c r="I280" s="1"/>
      <c r="J280" s="1"/>
      <c r="K280" s="1"/>
      <c r="L280" s="1"/>
      <c r="M280" s="1"/>
      <c r="N280" s="1"/>
      <c r="O280" s="1"/>
      <c r="P280" s="1">
        <v>650000</v>
      </c>
      <c r="Q280" s="1">
        <v>2025</v>
      </c>
      <c r="R280" s="1">
        <v>1</v>
      </c>
      <c r="S280" s="1"/>
      <c r="T280" s="1"/>
      <c r="U280" s="1"/>
      <c r="AC280" s="18"/>
      <c r="AD280" s="18"/>
    </row>
    <row r="281" spans="1:36" ht="17.149999999999999" customHeight="1">
      <c r="A281" s="169" t="s">
        <v>1826</v>
      </c>
      <c r="B281" s="169" t="s">
        <v>167</v>
      </c>
      <c r="C281" s="169" t="s">
        <v>1827</v>
      </c>
      <c r="D281" s="146" t="s">
        <v>1827</v>
      </c>
      <c r="E281" s="146" t="s">
        <v>1827</v>
      </c>
      <c r="F281" s="146" t="s">
        <v>1828</v>
      </c>
      <c r="G281" s="146" t="s">
        <v>40</v>
      </c>
      <c r="H281" s="169" t="s">
        <v>110</v>
      </c>
      <c r="I281" s="169" t="s">
        <v>243</v>
      </c>
      <c r="J281" s="169" t="s">
        <v>1140</v>
      </c>
      <c r="K281" s="169" t="s">
        <v>1829</v>
      </c>
      <c r="L281" s="169" t="s">
        <v>45</v>
      </c>
      <c r="M281" s="169" t="s">
        <v>46</v>
      </c>
      <c r="N281" s="169">
        <v>2000000</v>
      </c>
      <c r="O281" s="169">
        <v>2019</v>
      </c>
      <c r="P281" s="169">
        <v>2000000</v>
      </c>
      <c r="Q281" s="169">
        <v>2019</v>
      </c>
      <c r="R281" s="169" t="s">
        <v>46</v>
      </c>
      <c r="S281" s="169">
        <v>1</v>
      </c>
      <c r="T281" s="169">
        <v>1</v>
      </c>
      <c r="U281" s="169" t="s">
        <v>1830</v>
      </c>
      <c r="V281" s="170" t="s">
        <v>40</v>
      </c>
      <c r="W281" s="170" t="s">
        <v>1556</v>
      </c>
      <c r="X281" s="170" t="s">
        <v>40</v>
      </c>
      <c r="Y281" s="170"/>
      <c r="Z281" s="170" t="s">
        <v>1557</v>
      </c>
      <c r="AA281" s="156" t="s">
        <v>1558</v>
      </c>
      <c r="AB281" s="170" t="s">
        <v>1559</v>
      </c>
      <c r="AC281" s="170"/>
      <c r="AD281" s="170" t="s">
        <v>40</v>
      </c>
      <c r="AE281" s="170">
        <v>4</v>
      </c>
      <c r="AF281" s="170" t="s">
        <v>53</v>
      </c>
      <c r="AG281" s="170"/>
      <c r="AH281" s="170" t="s">
        <v>1831</v>
      </c>
      <c r="AI281" s="170"/>
      <c r="AJ281" t="s">
        <v>1318</v>
      </c>
    </row>
    <row r="282" spans="1:36" s="44" customFormat="1" ht="17.149999999999999" hidden="1" customHeight="1">
      <c r="A282" s="141" t="s">
        <v>1832</v>
      </c>
      <c r="B282" s="141"/>
      <c r="C282" s="141" t="s">
        <v>1833</v>
      </c>
      <c r="D282" s="1"/>
      <c r="E282" s="1"/>
      <c r="F282" s="1"/>
      <c r="G282" s="1"/>
      <c r="H282" s="141" t="s">
        <v>249</v>
      </c>
      <c r="I282" s="141" t="s">
        <v>1834</v>
      </c>
      <c r="J282" s="141" t="s">
        <v>1835</v>
      </c>
      <c r="K282" s="141" t="s">
        <v>1836</v>
      </c>
      <c r="L282" s="141" t="s">
        <v>45</v>
      </c>
      <c r="M282" s="141" t="s">
        <v>46</v>
      </c>
      <c r="N282" s="141" t="s">
        <v>46</v>
      </c>
      <c r="O282" s="141" t="s">
        <v>46</v>
      </c>
      <c r="P282" s="141">
        <v>212855</v>
      </c>
      <c r="Q282" s="141">
        <v>2018</v>
      </c>
      <c r="R282" s="141" t="s">
        <v>46</v>
      </c>
      <c r="S282" s="141">
        <v>1</v>
      </c>
      <c r="T282" s="141">
        <v>1</v>
      </c>
      <c r="U282" s="141" t="s">
        <v>1837</v>
      </c>
    </row>
    <row r="283" spans="1:36" ht="17.149999999999999" hidden="1" customHeight="1">
      <c r="A283" s="1" t="s">
        <v>1838</v>
      </c>
      <c r="B283" s="1"/>
      <c r="C283" s="1" t="s">
        <v>1839</v>
      </c>
      <c r="D283" s="1"/>
      <c r="E283" s="1"/>
      <c r="F283" s="1"/>
      <c r="G283" s="1"/>
      <c r="H283" s="1" t="s">
        <v>268</v>
      </c>
      <c r="I283" s="1" t="s">
        <v>269</v>
      </c>
      <c r="J283" s="1" t="s">
        <v>1840</v>
      </c>
      <c r="K283" s="1" t="s">
        <v>1841</v>
      </c>
      <c r="L283" s="1" t="s">
        <v>45</v>
      </c>
      <c r="M283" s="1" t="s">
        <v>46</v>
      </c>
      <c r="N283" s="1">
        <v>634704</v>
      </c>
      <c r="O283" s="1">
        <v>2019</v>
      </c>
      <c r="P283" s="1">
        <v>634704</v>
      </c>
      <c r="Q283" s="1">
        <v>2019</v>
      </c>
      <c r="R283" s="1" t="s">
        <v>46</v>
      </c>
      <c r="S283" s="1">
        <v>1</v>
      </c>
      <c r="T283" s="1" t="s">
        <v>46</v>
      </c>
      <c r="U283" s="1" t="s">
        <v>1842</v>
      </c>
    </row>
    <row r="284" spans="1:36" ht="17.149999999999999" customHeight="1">
      <c r="A284" s="14" t="s">
        <v>1843</v>
      </c>
      <c r="B284" s="14" t="s">
        <v>37</v>
      </c>
      <c r="C284" s="56" t="s">
        <v>1844</v>
      </c>
      <c r="D284" s="148" t="s">
        <v>1845</v>
      </c>
      <c r="E284" s="17" t="s">
        <v>1846</v>
      </c>
      <c r="F284" s="17" t="s">
        <v>62</v>
      </c>
      <c r="G284" s="17" t="s">
        <v>40</v>
      </c>
      <c r="H284" s="14" t="s">
        <v>41</v>
      </c>
      <c r="I284" s="14" t="s">
        <v>518</v>
      </c>
      <c r="J284" s="14" t="s">
        <v>1847</v>
      </c>
      <c r="K284" s="14" t="s">
        <v>1848</v>
      </c>
      <c r="L284" s="14" t="s">
        <v>45</v>
      </c>
      <c r="M284" s="14" t="s">
        <v>46</v>
      </c>
      <c r="N284" s="16">
        <v>1611420</v>
      </c>
      <c r="O284" s="16">
        <v>2025</v>
      </c>
      <c r="P284" s="14">
        <v>1143700</v>
      </c>
      <c r="Q284" s="14">
        <v>2016</v>
      </c>
      <c r="R284" s="14" t="s">
        <v>46</v>
      </c>
      <c r="S284" s="14">
        <v>1</v>
      </c>
      <c r="T284" s="14">
        <v>1</v>
      </c>
      <c r="U284" s="14" t="s">
        <v>1849</v>
      </c>
      <c r="V284" s="6" t="s">
        <v>40</v>
      </c>
      <c r="W284" s="6" t="s">
        <v>1850</v>
      </c>
      <c r="X284" s="6" t="s">
        <v>40</v>
      </c>
      <c r="Y284" s="6"/>
      <c r="Z284" s="6" t="s">
        <v>1851</v>
      </c>
      <c r="AA284" s="6" t="s">
        <v>1852</v>
      </c>
      <c r="AB284" s="6" t="s">
        <v>1853</v>
      </c>
      <c r="AC284" s="28" t="s">
        <v>1854</v>
      </c>
      <c r="AD284" s="6" t="s">
        <v>40</v>
      </c>
      <c r="AE284" s="2">
        <v>2</v>
      </c>
      <c r="AF284" t="s">
        <v>53</v>
      </c>
      <c r="AH284" s="2" t="s">
        <v>1855</v>
      </c>
      <c r="AJ284" s="2" t="s">
        <v>57</v>
      </c>
    </row>
    <row r="285" spans="1:36" ht="17.149999999999999" hidden="1" customHeight="1">
      <c r="A285" s="1" t="s">
        <v>1856</v>
      </c>
      <c r="B285" s="1"/>
      <c r="C285" s="1" t="s">
        <v>1857</v>
      </c>
      <c r="D285" s="1"/>
      <c r="E285" s="1"/>
      <c r="F285" s="1"/>
      <c r="G285" s="1"/>
      <c r="H285" s="1" t="s">
        <v>1279</v>
      </c>
      <c r="I285" s="1" t="s">
        <v>46</v>
      </c>
      <c r="J285" s="1" t="s">
        <v>1858</v>
      </c>
      <c r="K285" s="1" t="s">
        <v>1859</v>
      </c>
      <c r="L285" s="1" t="s">
        <v>45</v>
      </c>
      <c r="M285" s="1" t="s">
        <v>46</v>
      </c>
      <c r="N285" s="1">
        <v>668730</v>
      </c>
      <c r="O285" s="1">
        <v>2015</v>
      </c>
      <c r="P285" s="1">
        <v>612298</v>
      </c>
      <c r="Q285" s="1">
        <v>2015</v>
      </c>
      <c r="R285" s="1" t="s">
        <v>46</v>
      </c>
      <c r="S285" s="1">
        <v>1</v>
      </c>
      <c r="T285" s="1" t="s">
        <v>46</v>
      </c>
      <c r="U285" s="1" t="s">
        <v>1005</v>
      </c>
    </row>
    <row r="286" spans="1:36" ht="17.149999999999999" hidden="1" customHeight="1">
      <c r="A286" s="1" t="s">
        <v>1860</v>
      </c>
      <c r="B286" s="1"/>
      <c r="C286" s="1" t="s">
        <v>1861</v>
      </c>
      <c r="D286" s="1"/>
      <c r="E286" s="1"/>
      <c r="F286" s="1"/>
      <c r="G286" s="1"/>
      <c r="H286" s="1" t="s">
        <v>313</v>
      </c>
      <c r="I286" s="1" t="s">
        <v>1862</v>
      </c>
      <c r="J286" s="1" t="s">
        <v>1862</v>
      </c>
      <c r="K286" s="1" t="s">
        <v>1863</v>
      </c>
      <c r="L286" s="1" t="s">
        <v>45</v>
      </c>
      <c r="M286" s="1" t="s">
        <v>46</v>
      </c>
      <c r="N286" s="1">
        <v>836000</v>
      </c>
      <c r="O286" s="1">
        <v>2018</v>
      </c>
      <c r="P286" s="1">
        <v>610000</v>
      </c>
      <c r="Q286" s="1">
        <v>2018</v>
      </c>
      <c r="R286" s="1">
        <v>1</v>
      </c>
      <c r="S286" s="1">
        <v>1</v>
      </c>
      <c r="T286" s="1">
        <v>1</v>
      </c>
      <c r="U286" s="1" t="s">
        <v>1864</v>
      </c>
    </row>
    <row r="287" spans="1:36" s="42" customFormat="1" ht="17.149999999999999" customHeight="1">
      <c r="A287" s="41" t="s">
        <v>1865</v>
      </c>
      <c r="B287" s="41" t="s">
        <v>1866</v>
      </c>
      <c r="C287" s="41" t="s">
        <v>1867</v>
      </c>
      <c r="D287" s="41" t="s">
        <v>1867</v>
      </c>
      <c r="E287" s="41" t="s">
        <v>1868</v>
      </c>
      <c r="F287" s="41" t="s">
        <v>62</v>
      </c>
      <c r="G287" s="41" t="s">
        <v>40</v>
      </c>
      <c r="H287" s="41" t="s">
        <v>493</v>
      </c>
      <c r="I287" s="41" t="s">
        <v>46</v>
      </c>
      <c r="J287" s="41" t="s">
        <v>1869</v>
      </c>
      <c r="K287" s="41" t="s">
        <v>1870</v>
      </c>
      <c r="L287" s="41" t="s">
        <v>45</v>
      </c>
      <c r="M287" s="41" t="s">
        <v>46</v>
      </c>
      <c r="N287" s="41">
        <v>610000</v>
      </c>
      <c r="O287" s="41">
        <v>2025</v>
      </c>
      <c r="P287" s="41">
        <v>610000</v>
      </c>
      <c r="Q287" s="41">
        <v>2015</v>
      </c>
      <c r="R287" s="41" t="s">
        <v>46</v>
      </c>
      <c r="S287" s="41">
        <v>1</v>
      </c>
      <c r="T287" s="41">
        <v>1</v>
      </c>
      <c r="U287" s="41" t="s">
        <v>1871</v>
      </c>
      <c r="V287" s="42" t="s">
        <v>40</v>
      </c>
      <c r="W287" s="42" t="s">
        <v>930</v>
      </c>
      <c r="X287" s="42" t="s">
        <v>40</v>
      </c>
      <c r="Y287" s="42" t="s">
        <v>140</v>
      </c>
      <c r="Z287" s="42" t="s">
        <v>1872</v>
      </c>
      <c r="AA287" s="42" t="s">
        <v>1873</v>
      </c>
      <c r="AB287" s="42" t="s">
        <v>1874</v>
      </c>
      <c r="AC287" s="42" t="s">
        <v>1875</v>
      </c>
      <c r="AD287" s="42" t="s">
        <v>40</v>
      </c>
      <c r="AE287" s="42">
        <v>4</v>
      </c>
      <c r="AI287" s="42" t="s">
        <v>1876</v>
      </c>
      <c r="AJ287" s="160" t="s">
        <v>1877</v>
      </c>
    </row>
    <row r="288" spans="1:36" ht="17.149999999999999" hidden="1" customHeight="1">
      <c r="A288" s="1" t="s">
        <v>1878</v>
      </c>
      <c r="B288" s="1"/>
      <c r="C288" s="1" t="s">
        <v>1879</v>
      </c>
      <c r="D288" s="1"/>
      <c r="E288" s="1"/>
      <c r="F288" s="1"/>
      <c r="G288" s="1"/>
      <c r="H288" s="1" t="s">
        <v>1203</v>
      </c>
      <c r="I288" s="1" t="s">
        <v>46</v>
      </c>
      <c r="J288" s="1" t="s">
        <v>1880</v>
      </c>
      <c r="K288" s="1" t="s">
        <v>1881</v>
      </c>
      <c r="L288" s="1" t="s">
        <v>45</v>
      </c>
      <c r="M288" s="1" t="s">
        <v>46</v>
      </c>
      <c r="N288" s="1" t="s">
        <v>46</v>
      </c>
      <c r="O288" s="1" t="s">
        <v>46</v>
      </c>
      <c r="P288" s="1">
        <v>603260</v>
      </c>
      <c r="Q288" s="1">
        <v>2019</v>
      </c>
      <c r="R288" s="1" t="s">
        <v>46</v>
      </c>
      <c r="S288" s="1">
        <v>1</v>
      </c>
      <c r="T288" s="1" t="s">
        <v>46</v>
      </c>
      <c r="U288" s="1" t="s">
        <v>1882</v>
      </c>
    </row>
    <row r="289" spans="1:36" ht="17.149999999999999" customHeight="1">
      <c r="A289" s="41" t="s">
        <v>1883</v>
      </c>
      <c r="B289" s="41" t="s">
        <v>1866</v>
      </c>
      <c r="C289" s="41" t="s">
        <v>1884</v>
      </c>
      <c r="D289" s="1" t="s">
        <v>1884</v>
      </c>
      <c r="E289" s="1" t="s">
        <v>1885</v>
      </c>
      <c r="F289" s="17" t="s">
        <v>62</v>
      </c>
      <c r="G289" s="1" t="s">
        <v>40</v>
      </c>
      <c r="H289" s="41" t="s">
        <v>249</v>
      </c>
      <c r="I289" s="41" t="s">
        <v>1886</v>
      </c>
      <c r="J289" s="41" t="s">
        <v>1887</v>
      </c>
      <c r="K289" s="41" t="s">
        <v>1888</v>
      </c>
      <c r="L289" s="41" t="s">
        <v>45</v>
      </c>
      <c r="M289" s="41" t="s">
        <v>1889</v>
      </c>
      <c r="N289" s="41">
        <v>636013</v>
      </c>
      <c r="O289" s="41">
        <v>2018</v>
      </c>
      <c r="P289" s="41">
        <v>636013</v>
      </c>
      <c r="Q289" s="41">
        <v>2018</v>
      </c>
      <c r="R289" s="41" t="s">
        <v>46</v>
      </c>
      <c r="S289" s="41">
        <v>1</v>
      </c>
      <c r="T289" s="41">
        <v>1</v>
      </c>
      <c r="U289" s="41" t="s">
        <v>1890</v>
      </c>
      <c r="V289" s="42" t="s">
        <v>40</v>
      </c>
      <c r="W289" s="42" t="s">
        <v>1891</v>
      </c>
      <c r="X289" s="42" t="s">
        <v>40</v>
      </c>
      <c r="Y289" s="42" t="s">
        <v>1892</v>
      </c>
      <c r="Z289" s="42"/>
      <c r="AA289" s="42" t="s">
        <v>1893</v>
      </c>
      <c r="AB289" s="42"/>
      <c r="AC289" s="42"/>
      <c r="AD289" s="42" t="s">
        <v>57</v>
      </c>
      <c r="AE289" s="42">
        <v>4</v>
      </c>
      <c r="AF289" s="42" t="s">
        <v>1263</v>
      </c>
      <c r="AG289" s="42"/>
      <c r="AH289" s="42"/>
      <c r="AI289" s="42"/>
      <c r="AJ289" s="2" t="s">
        <v>1318</v>
      </c>
    </row>
    <row r="290" spans="1:36" ht="17.149999999999999" hidden="1" customHeight="1">
      <c r="A290" s="1" t="s">
        <v>1894</v>
      </c>
      <c r="B290" s="1"/>
      <c r="C290" s="1" t="s">
        <v>1895</v>
      </c>
      <c r="D290" s="1"/>
      <c r="E290" s="1"/>
      <c r="F290" s="1"/>
      <c r="G290" s="1"/>
      <c r="H290" s="1" t="s">
        <v>177</v>
      </c>
      <c r="I290" s="1" t="s">
        <v>345</v>
      </c>
      <c r="J290" s="1" t="s">
        <v>1896</v>
      </c>
      <c r="K290" s="1" t="s">
        <v>1897</v>
      </c>
      <c r="L290" s="1" t="s">
        <v>45</v>
      </c>
      <c r="M290" s="1" t="s">
        <v>46</v>
      </c>
      <c r="N290" s="1">
        <v>600000</v>
      </c>
      <c r="O290" s="1">
        <v>2019</v>
      </c>
      <c r="P290" s="1">
        <v>600000</v>
      </c>
      <c r="Q290" s="1">
        <v>2019</v>
      </c>
      <c r="R290" s="1" t="s">
        <v>46</v>
      </c>
      <c r="S290" s="1">
        <v>1</v>
      </c>
      <c r="T290" s="1">
        <v>1</v>
      </c>
      <c r="U290" s="1" t="s">
        <v>1898</v>
      </c>
    </row>
    <row r="291" spans="1:36" ht="17.149999999999999" hidden="1" customHeight="1">
      <c r="A291" s="1" t="s">
        <v>1899</v>
      </c>
      <c r="B291" s="1"/>
      <c r="C291" s="1" t="s">
        <v>1900</v>
      </c>
      <c r="D291" s="1"/>
      <c r="E291" s="1"/>
      <c r="F291" s="1"/>
      <c r="G291" s="1"/>
      <c r="H291" s="1" t="s">
        <v>640</v>
      </c>
      <c r="I291" s="1" t="s">
        <v>46</v>
      </c>
      <c r="J291" s="1" t="s">
        <v>1901</v>
      </c>
      <c r="K291" s="1" t="s">
        <v>1902</v>
      </c>
      <c r="L291" s="1" t="s">
        <v>45</v>
      </c>
      <c r="M291" s="1" t="s">
        <v>46</v>
      </c>
      <c r="N291" s="1" t="s">
        <v>46</v>
      </c>
      <c r="O291" s="1" t="s">
        <v>46</v>
      </c>
      <c r="P291" s="1">
        <v>600000</v>
      </c>
      <c r="Q291" s="1">
        <v>2017</v>
      </c>
      <c r="R291" s="1">
        <v>1</v>
      </c>
      <c r="S291" s="1">
        <v>1</v>
      </c>
      <c r="T291" s="1" t="s">
        <v>46</v>
      </c>
      <c r="U291" s="1" t="s">
        <v>1903</v>
      </c>
    </row>
    <row r="292" spans="1:36" ht="17.149999999999999" hidden="1" customHeight="1">
      <c r="A292" s="1" t="s">
        <v>1904</v>
      </c>
      <c r="B292" s="1" t="s">
        <v>167</v>
      </c>
      <c r="C292" s="1" t="s">
        <v>1905</v>
      </c>
      <c r="D292" s="1"/>
      <c r="E292" s="1"/>
      <c r="F292" s="1"/>
      <c r="G292" s="1"/>
      <c r="H292" s="1" t="s">
        <v>110</v>
      </c>
      <c r="I292" s="1" t="s">
        <v>1906</v>
      </c>
      <c r="J292" s="1" t="s">
        <v>1907</v>
      </c>
      <c r="K292" s="1" t="s">
        <v>1908</v>
      </c>
      <c r="L292" s="1" t="s">
        <v>45</v>
      </c>
      <c r="M292" s="1" t="s">
        <v>46</v>
      </c>
      <c r="N292" s="1">
        <v>570000</v>
      </c>
      <c r="O292" s="1">
        <v>2019</v>
      </c>
      <c r="P292" s="1">
        <v>591338</v>
      </c>
      <c r="Q292" s="1">
        <v>2015</v>
      </c>
      <c r="R292" s="1" t="s">
        <v>46</v>
      </c>
      <c r="S292" s="1">
        <v>1</v>
      </c>
      <c r="T292" s="1">
        <v>1</v>
      </c>
      <c r="U292" s="1" t="s">
        <v>1909</v>
      </c>
    </row>
    <row r="293" spans="1:36" ht="17.149999999999999" hidden="1" customHeight="1">
      <c r="A293" s="1" t="s">
        <v>1910</v>
      </c>
      <c r="B293" s="1"/>
      <c r="C293" s="1" t="s">
        <v>1911</v>
      </c>
      <c r="D293" s="1"/>
      <c r="E293" s="1"/>
      <c r="F293" s="1"/>
      <c r="G293" s="1"/>
      <c r="H293" s="1" t="s">
        <v>1203</v>
      </c>
      <c r="I293" s="1" t="s">
        <v>46</v>
      </c>
      <c r="J293" s="1" t="s">
        <v>1912</v>
      </c>
      <c r="K293" s="1" t="s">
        <v>1913</v>
      </c>
      <c r="L293" s="1" t="s">
        <v>45</v>
      </c>
      <c r="M293" s="1" t="s">
        <v>46</v>
      </c>
      <c r="N293" s="1" t="s">
        <v>46</v>
      </c>
      <c r="O293" s="1" t="s">
        <v>46</v>
      </c>
      <c r="P293" s="1">
        <v>580000</v>
      </c>
      <c r="Q293" s="1">
        <v>2019</v>
      </c>
      <c r="R293" s="1" t="s">
        <v>46</v>
      </c>
      <c r="S293" s="1">
        <v>1</v>
      </c>
      <c r="T293" s="1" t="s">
        <v>46</v>
      </c>
      <c r="U293" s="1" t="s">
        <v>1914</v>
      </c>
    </row>
    <row r="294" spans="1:36" ht="17.149999999999999" hidden="1" customHeight="1">
      <c r="A294" s="1" t="s">
        <v>1915</v>
      </c>
      <c r="B294" s="1"/>
      <c r="C294" s="1" t="s">
        <v>1916</v>
      </c>
      <c r="D294" s="1"/>
      <c r="E294" s="1"/>
      <c r="F294" s="1"/>
      <c r="G294" s="1"/>
      <c r="H294" s="1" t="s">
        <v>1753</v>
      </c>
      <c r="I294" s="1" t="s">
        <v>46</v>
      </c>
      <c r="J294" s="1" t="s">
        <v>1917</v>
      </c>
      <c r="K294" s="1" t="s">
        <v>1918</v>
      </c>
      <c r="L294" s="1" t="s">
        <v>45</v>
      </c>
      <c r="M294" s="1" t="s">
        <v>46</v>
      </c>
      <c r="N294" s="1">
        <v>808585</v>
      </c>
      <c r="O294" s="1">
        <v>2023</v>
      </c>
      <c r="P294" s="1">
        <v>571858</v>
      </c>
      <c r="Q294" s="1">
        <v>2015</v>
      </c>
      <c r="R294" s="1" t="s">
        <v>46</v>
      </c>
      <c r="S294" s="1">
        <v>1</v>
      </c>
      <c r="T294" s="1" t="s">
        <v>46</v>
      </c>
      <c r="U294" s="1" t="s">
        <v>1919</v>
      </c>
    </row>
    <row r="295" spans="1:36" ht="17.149999999999999" hidden="1" customHeight="1">
      <c r="A295" s="1" t="s">
        <v>1920</v>
      </c>
      <c r="B295" s="1" t="s">
        <v>167</v>
      </c>
      <c r="C295" s="1" t="s">
        <v>1921</v>
      </c>
      <c r="D295" s="1"/>
      <c r="E295" s="1"/>
      <c r="F295" s="1"/>
      <c r="G295" s="1"/>
      <c r="H295" s="1" t="s">
        <v>110</v>
      </c>
      <c r="I295" s="1" t="s">
        <v>243</v>
      </c>
      <c r="J295" s="1" t="s">
        <v>244</v>
      </c>
      <c r="K295" s="1" t="s">
        <v>1922</v>
      </c>
      <c r="L295" s="1" t="s">
        <v>118</v>
      </c>
      <c r="M295" s="1" t="s">
        <v>1923</v>
      </c>
      <c r="N295" s="1">
        <v>596108</v>
      </c>
      <c r="O295" s="1">
        <v>2018</v>
      </c>
      <c r="P295" s="1">
        <v>567776</v>
      </c>
      <c r="Q295" s="1">
        <v>2018</v>
      </c>
      <c r="R295" s="1" t="s">
        <v>46</v>
      </c>
      <c r="S295" s="1">
        <v>1</v>
      </c>
      <c r="T295" s="1">
        <v>1</v>
      </c>
      <c r="U295" s="1" t="s">
        <v>1924</v>
      </c>
    </row>
    <row r="296" spans="1:36" ht="17.149999999999999" hidden="1" customHeight="1">
      <c r="A296" s="17" t="s">
        <v>1925</v>
      </c>
      <c r="B296" s="17"/>
      <c r="C296" s="65" t="s">
        <v>1926</v>
      </c>
      <c r="D296" s="65"/>
      <c r="E296" s="65"/>
      <c r="F296" s="65"/>
      <c r="G296" s="65"/>
      <c r="H296" s="17" t="s">
        <v>41</v>
      </c>
      <c r="I296" s="17" t="s">
        <v>1179</v>
      </c>
      <c r="J296" s="17" t="s">
        <v>1927</v>
      </c>
      <c r="K296" s="17" t="s">
        <v>1928</v>
      </c>
      <c r="L296" s="17" t="s">
        <v>45</v>
      </c>
      <c r="M296" s="17" t="s">
        <v>1929</v>
      </c>
      <c r="N296" s="17">
        <v>564305</v>
      </c>
      <c r="O296" s="17">
        <v>2016</v>
      </c>
      <c r="P296" s="17">
        <v>556100</v>
      </c>
      <c r="Q296" s="17">
        <v>2016</v>
      </c>
      <c r="R296" s="17" t="s">
        <v>46</v>
      </c>
      <c r="S296" s="17">
        <v>1</v>
      </c>
      <c r="T296" s="17">
        <v>1</v>
      </c>
      <c r="U296" s="17" t="s">
        <v>1930</v>
      </c>
      <c r="V296" s="18"/>
      <c r="W296" s="18"/>
      <c r="X296" s="18"/>
      <c r="Y296" s="18"/>
      <c r="Z296" s="18"/>
      <c r="AA296" s="18"/>
      <c r="AB296" s="18"/>
      <c r="AC296" s="18"/>
      <c r="AD296" s="18"/>
    </row>
    <row r="297" spans="1:36" ht="17.149999999999999" hidden="1" customHeight="1">
      <c r="A297" s="1" t="s">
        <v>1931</v>
      </c>
      <c r="B297" s="1"/>
      <c r="C297" s="1" t="s">
        <v>1932</v>
      </c>
      <c r="D297" s="1"/>
      <c r="E297" s="1"/>
      <c r="F297" s="1"/>
      <c r="G297" s="1"/>
      <c r="H297" s="1" t="s">
        <v>506</v>
      </c>
      <c r="I297" s="1" t="s">
        <v>46</v>
      </c>
      <c r="J297" s="1" t="s">
        <v>1933</v>
      </c>
      <c r="K297" s="1" t="s">
        <v>1934</v>
      </c>
      <c r="L297" s="1" t="s">
        <v>45</v>
      </c>
      <c r="M297" s="1" t="s">
        <v>46</v>
      </c>
      <c r="N297" s="1">
        <v>548166</v>
      </c>
      <c r="O297" s="1">
        <v>2015</v>
      </c>
      <c r="P297" s="1">
        <v>548166</v>
      </c>
      <c r="Q297" s="1">
        <v>2015</v>
      </c>
      <c r="R297" s="1" t="s">
        <v>46</v>
      </c>
      <c r="S297" s="1">
        <v>1</v>
      </c>
      <c r="T297" s="1">
        <v>1</v>
      </c>
      <c r="U297" s="1" t="s">
        <v>1935</v>
      </c>
    </row>
    <row r="298" spans="1:36" ht="17.149999999999999" hidden="1" customHeight="1">
      <c r="A298" s="1" t="s">
        <v>1936</v>
      </c>
      <c r="B298" s="1"/>
      <c r="C298" s="1" t="s">
        <v>1937</v>
      </c>
      <c r="D298" s="1"/>
      <c r="E298" s="1"/>
      <c r="F298" s="1"/>
      <c r="G298" s="1"/>
      <c r="H298" s="1" t="s">
        <v>1938</v>
      </c>
      <c r="I298" s="1" t="s">
        <v>1939</v>
      </c>
      <c r="J298" s="1" t="s">
        <v>1940</v>
      </c>
      <c r="K298" s="1" t="s">
        <v>1941</v>
      </c>
      <c r="L298" s="1" t="s">
        <v>45</v>
      </c>
      <c r="M298" s="1" t="s">
        <v>46</v>
      </c>
      <c r="N298" s="1">
        <v>470000</v>
      </c>
      <c r="O298" s="1">
        <v>2015</v>
      </c>
      <c r="P298" s="1">
        <v>540169</v>
      </c>
      <c r="Q298" s="1">
        <v>2015</v>
      </c>
      <c r="R298" s="1" t="s">
        <v>46</v>
      </c>
      <c r="S298" s="1">
        <v>1</v>
      </c>
      <c r="T298" s="1">
        <v>1</v>
      </c>
      <c r="U298" s="1" t="s">
        <v>1942</v>
      </c>
    </row>
    <row r="299" spans="1:36" ht="17.149999999999999" hidden="1" customHeight="1">
      <c r="A299" s="1" t="s">
        <v>1943</v>
      </c>
      <c r="B299" s="1"/>
      <c r="C299" s="1" t="s">
        <v>1944</v>
      </c>
      <c r="D299" s="1"/>
      <c r="E299" s="1"/>
      <c r="F299" s="1"/>
      <c r="G299" s="1"/>
      <c r="H299" s="1" t="s">
        <v>268</v>
      </c>
      <c r="I299" s="1" t="s">
        <v>1404</v>
      </c>
      <c r="J299" s="1" t="s">
        <v>1945</v>
      </c>
      <c r="K299" s="1" t="s">
        <v>1946</v>
      </c>
      <c r="L299" s="1" t="s">
        <v>45</v>
      </c>
      <c r="M299" s="1" t="s">
        <v>46</v>
      </c>
      <c r="N299" s="1">
        <v>540000</v>
      </c>
      <c r="O299" s="1">
        <v>2019</v>
      </c>
      <c r="P299" s="1">
        <v>540000</v>
      </c>
      <c r="Q299" s="1">
        <v>2019</v>
      </c>
      <c r="R299" s="1" t="s">
        <v>46</v>
      </c>
      <c r="S299" s="1">
        <v>1</v>
      </c>
      <c r="T299" s="1" t="s">
        <v>46</v>
      </c>
      <c r="U299" s="1" t="s">
        <v>1947</v>
      </c>
    </row>
    <row r="300" spans="1:36" ht="17.149999999999999" hidden="1" customHeight="1">
      <c r="A300" s="1" t="s">
        <v>1948</v>
      </c>
      <c r="B300" s="1" t="s">
        <v>167</v>
      </c>
      <c r="C300" s="1" t="s">
        <v>1949</v>
      </c>
      <c r="D300" s="1"/>
      <c r="E300" s="1"/>
      <c r="F300" s="1"/>
      <c r="G300" s="1"/>
      <c r="H300" s="1" t="s">
        <v>110</v>
      </c>
      <c r="I300" s="1" t="s">
        <v>243</v>
      </c>
      <c r="J300" s="1" t="s">
        <v>1950</v>
      </c>
      <c r="K300" s="1" t="s">
        <v>1951</v>
      </c>
      <c r="L300" s="1" t="s">
        <v>45</v>
      </c>
      <c r="M300" s="1" t="s">
        <v>46</v>
      </c>
      <c r="N300" s="1">
        <v>539238</v>
      </c>
      <c r="O300" s="1">
        <v>2015</v>
      </c>
      <c r="P300" s="1">
        <v>539238</v>
      </c>
      <c r="Q300" s="1">
        <v>2015</v>
      </c>
      <c r="R300" s="1" t="s">
        <v>46</v>
      </c>
      <c r="S300" s="1">
        <v>1</v>
      </c>
      <c r="T300" s="1">
        <v>1</v>
      </c>
      <c r="U300" s="1" t="s">
        <v>1952</v>
      </c>
    </row>
    <row r="301" spans="1:36" ht="17.149999999999999" hidden="1" customHeight="1">
      <c r="A301" s="1" t="s">
        <v>1953</v>
      </c>
      <c r="B301" s="1"/>
      <c r="C301" s="1" t="s">
        <v>1954</v>
      </c>
      <c r="D301" s="1"/>
      <c r="E301" s="1"/>
      <c r="F301" s="1"/>
      <c r="G301" s="1"/>
      <c r="H301" s="1" t="s">
        <v>1753</v>
      </c>
      <c r="I301" s="1" t="s">
        <v>46</v>
      </c>
      <c r="J301" s="1" t="s">
        <v>1955</v>
      </c>
      <c r="K301" s="1" t="s">
        <v>1956</v>
      </c>
      <c r="L301" s="1" t="s">
        <v>45</v>
      </c>
      <c r="M301" s="1" t="s">
        <v>46</v>
      </c>
      <c r="N301" s="1">
        <v>785956</v>
      </c>
      <c r="O301" s="1">
        <v>2023</v>
      </c>
      <c r="P301" s="1">
        <v>536871</v>
      </c>
      <c r="Q301" s="1">
        <v>2023</v>
      </c>
      <c r="R301" s="1" t="s">
        <v>46</v>
      </c>
      <c r="S301" s="1">
        <v>1</v>
      </c>
      <c r="T301" s="1">
        <v>1</v>
      </c>
      <c r="U301" s="1" t="s">
        <v>1957</v>
      </c>
    </row>
    <row r="302" spans="1:36" s="44" customFormat="1" ht="17.149999999999999" hidden="1" customHeight="1">
      <c r="A302" s="141" t="s">
        <v>1958</v>
      </c>
      <c r="B302" s="141"/>
      <c r="C302" s="141" t="s">
        <v>1959</v>
      </c>
      <c r="D302" s="1"/>
      <c r="E302" s="1"/>
      <c r="F302" s="1"/>
      <c r="G302" s="1"/>
      <c r="H302" s="141" t="s">
        <v>249</v>
      </c>
      <c r="I302" s="141" t="s">
        <v>1960</v>
      </c>
      <c r="J302" s="141" t="s">
        <v>1961</v>
      </c>
      <c r="K302" s="141" t="s">
        <v>1962</v>
      </c>
      <c r="L302" s="141" t="s">
        <v>45</v>
      </c>
      <c r="M302" s="141" t="s">
        <v>1311</v>
      </c>
      <c r="N302" s="141" t="s">
        <v>46</v>
      </c>
      <c r="O302" s="141" t="s">
        <v>46</v>
      </c>
      <c r="P302" s="141">
        <v>203764</v>
      </c>
      <c r="Q302" s="141">
        <v>2018</v>
      </c>
      <c r="R302" s="141" t="s">
        <v>46</v>
      </c>
      <c r="S302" s="141">
        <v>1</v>
      </c>
      <c r="T302" s="141">
        <v>1</v>
      </c>
      <c r="U302" s="141" t="s">
        <v>1963</v>
      </c>
      <c r="AJ302" s="102"/>
    </row>
    <row r="303" spans="1:36" ht="17.149999999999999" hidden="1" customHeight="1">
      <c r="A303" s="1" t="s">
        <v>1964</v>
      </c>
      <c r="B303" s="1"/>
      <c r="C303" s="1" t="s">
        <v>1965</v>
      </c>
      <c r="D303" s="1"/>
      <c r="E303" s="1"/>
      <c r="F303" s="1"/>
      <c r="G303" s="1"/>
      <c r="H303" s="1" t="s">
        <v>1367</v>
      </c>
      <c r="I303" s="1" t="s">
        <v>46</v>
      </c>
      <c r="J303" s="1" t="s">
        <v>1966</v>
      </c>
      <c r="K303" s="1" t="s">
        <v>1967</v>
      </c>
      <c r="L303" s="1" t="s">
        <v>45</v>
      </c>
      <c r="M303" s="1" t="s">
        <v>46</v>
      </c>
      <c r="N303" s="1">
        <v>660163</v>
      </c>
      <c r="O303" s="1">
        <v>2017</v>
      </c>
      <c r="P303" s="1">
        <v>530248</v>
      </c>
      <c r="Q303" s="1">
        <v>2017</v>
      </c>
      <c r="R303" s="1" t="s">
        <v>46</v>
      </c>
      <c r="S303" s="1">
        <v>1</v>
      </c>
      <c r="T303" s="1">
        <v>1</v>
      </c>
      <c r="U303" s="1" t="s">
        <v>1968</v>
      </c>
    </row>
    <row r="304" spans="1:36" ht="17.149999999999999" hidden="1" customHeight="1">
      <c r="A304" s="1" t="s">
        <v>1969</v>
      </c>
      <c r="B304" s="1"/>
      <c r="C304" s="1" t="s">
        <v>1970</v>
      </c>
      <c r="D304" s="1"/>
      <c r="E304" s="1"/>
      <c r="F304" s="1"/>
      <c r="G304" s="1"/>
      <c r="H304" s="1" t="s">
        <v>177</v>
      </c>
      <c r="I304" s="1" t="s">
        <v>345</v>
      </c>
      <c r="J304" s="1" t="s">
        <v>1375</v>
      </c>
      <c r="K304" s="1" t="s">
        <v>1971</v>
      </c>
      <c r="L304" s="1" t="s">
        <v>118</v>
      </c>
      <c r="M304" s="1" t="s">
        <v>1972</v>
      </c>
      <c r="N304" s="1">
        <v>527148</v>
      </c>
      <c r="O304" s="1">
        <v>2019</v>
      </c>
      <c r="P304" s="1">
        <v>530000</v>
      </c>
      <c r="Q304" s="1">
        <v>2019</v>
      </c>
      <c r="R304" s="1" t="s">
        <v>46</v>
      </c>
      <c r="S304" s="1">
        <v>1</v>
      </c>
      <c r="T304" s="1" t="s">
        <v>46</v>
      </c>
      <c r="U304" s="1" t="s">
        <v>1973</v>
      </c>
    </row>
    <row r="305" spans="1:41" ht="17.149999999999999" hidden="1" customHeight="1">
      <c r="A305" s="1" t="s">
        <v>1974</v>
      </c>
      <c r="B305" s="1"/>
      <c r="C305" s="1" t="s">
        <v>1975</v>
      </c>
      <c r="D305" s="1"/>
      <c r="E305" s="1"/>
      <c r="F305" s="1"/>
      <c r="G305" s="1"/>
      <c r="H305" s="1" t="s">
        <v>1171</v>
      </c>
      <c r="I305" s="1" t="s">
        <v>46</v>
      </c>
      <c r="J305" s="1" t="s">
        <v>1976</v>
      </c>
      <c r="K305" s="1" t="s">
        <v>1977</v>
      </c>
      <c r="L305" s="1" t="s">
        <v>112</v>
      </c>
      <c r="M305" s="1" t="s">
        <v>725</v>
      </c>
      <c r="N305" s="1">
        <v>732050</v>
      </c>
      <c r="O305" s="1">
        <v>2015</v>
      </c>
      <c r="P305" s="1">
        <v>529600</v>
      </c>
      <c r="Q305" s="1">
        <v>2015</v>
      </c>
      <c r="R305" s="1" t="s">
        <v>46</v>
      </c>
      <c r="S305" s="1">
        <v>1</v>
      </c>
      <c r="T305" s="1" t="s">
        <v>46</v>
      </c>
      <c r="U305" s="1" t="s">
        <v>1978</v>
      </c>
    </row>
    <row r="306" spans="1:41" s="44" customFormat="1" ht="17.149999999999999" hidden="1" customHeight="1">
      <c r="A306" s="141" t="s">
        <v>1979</v>
      </c>
      <c r="B306" s="141"/>
      <c r="C306" s="141" t="s">
        <v>1980</v>
      </c>
      <c r="D306" s="1"/>
      <c r="E306" s="1"/>
      <c r="F306" s="1"/>
      <c r="G306" s="1"/>
      <c r="H306" s="141" t="s">
        <v>249</v>
      </c>
      <c r="I306" s="141" t="s">
        <v>1981</v>
      </c>
      <c r="J306" s="141" t="s">
        <v>1982</v>
      </c>
      <c r="K306" s="141" t="s">
        <v>1983</v>
      </c>
      <c r="L306" s="141" t="s">
        <v>45</v>
      </c>
      <c r="M306" s="141" t="s">
        <v>1566</v>
      </c>
      <c r="N306" s="141" t="s">
        <v>46</v>
      </c>
      <c r="O306" s="141" t="s">
        <v>46</v>
      </c>
      <c r="P306" s="141">
        <v>193707</v>
      </c>
      <c r="Q306" s="141">
        <v>2018</v>
      </c>
      <c r="R306" s="141" t="s">
        <v>46</v>
      </c>
      <c r="S306" s="141">
        <v>1</v>
      </c>
      <c r="T306" s="141">
        <v>1</v>
      </c>
      <c r="U306" s="141" t="s">
        <v>1984</v>
      </c>
    </row>
    <row r="307" spans="1:41" ht="17.149999999999999" hidden="1" customHeight="1">
      <c r="A307" s="1" t="s">
        <v>1985</v>
      </c>
      <c r="B307" s="1"/>
      <c r="C307" s="1" t="s">
        <v>1986</v>
      </c>
      <c r="D307" s="1"/>
      <c r="E307" s="1"/>
      <c r="F307" s="1"/>
      <c r="G307" s="1"/>
      <c r="H307" s="1" t="s">
        <v>506</v>
      </c>
      <c r="I307" s="1" t="s">
        <v>46</v>
      </c>
      <c r="J307" s="1" t="s">
        <v>1987</v>
      </c>
      <c r="K307" s="1" t="s">
        <v>1988</v>
      </c>
      <c r="L307" s="1" t="s">
        <v>45</v>
      </c>
      <c r="M307" s="1" t="s">
        <v>46</v>
      </c>
      <c r="N307" s="1">
        <v>527000</v>
      </c>
      <c r="O307" s="1">
        <v>2017</v>
      </c>
      <c r="P307" s="1">
        <v>527000</v>
      </c>
      <c r="Q307" s="1">
        <v>2015</v>
      </c>
      <c r="R307" s="1">
        <v>1</v>
      </c>
      <c r="S307" s="1" t="s">
        <v>46</v>
      </c>
      <c r="T307" s="1" t="s">
        <v>46</v>
      </c>
      <c r="U307" s="1" t="s">
        <v>1989</v>
      </c>
    </row>
    <row r="308" spans="1:41" ht="17.149999999999999" hidden="1" customHeight="1">
      <c r="A308" s="1" t="s">
        <v>1990</v>
      </c>
      <c r="B308" s="1" t="s">
        <v>167</v>
      </c>
      <c r="C308" s="1" t="s">
        <v>1991</v>
      </c>
      <c r="D308" s="1"/>
      <c r="E308" s="1"/>
      <c r="F308" s="1"/>
      <c r="G308" s="1"/>
      <c r="H308" s="1" t="s">
        <v>110</v>
      </c>
      <c r="I308" s="1" t="s">
        <v>1992</v>
      </c>
      <c r="J308" s="1" t="s">
        <v>1993</v>
      </c>
      <c r="K308" s="1" t="s">
        <v>1994</v>
      </c>
      <c r="L308" s="1" t="s">
        <v>118</v>
      </c>
      <c r="M308" s="1" t="s">
        <v>1995</v>
      </c>
      <c r="N308" s="1">
        <v>505179</v>
      </c>
      <c r="O308" s="1">
        <v>2015</v>
      </c>
      <c r="P308" s="1">
        <v>523315</v>
      </c>
      <c r="Q308" s="1">
        <v>2015</v>
      </c>
      <c r="R308" s="1" t="s">
        <v>46</v>
      </c>
      <c r="S308" s="1">
        <v>1</v>
      </c>
      <c r="T308" s="1">
        <v>1</v>
      </c>
      <c r="U308" s="1" t="s">
        <v>1996</v>
      </c>
    </row>
    <row r="309" spans="1:41" ht="17.149999999999999" hidden="1" customHeight="1">
      <c r="A309" s="1" t="s">
        <v>1997</v>
      </c>
      <c r="B309" s="1"/>
      <c r="C309" s="1" t="s">
        <v>1998</v>
      </c>
      <c r="D309" s="1"/>
      <c r="E309" s="1"/>
      <c r="F309" s="1"/>
      <c r="G309" s="1"/>
      <c r="H309" s="1" t="s">
        <v>334</v>
      </c>
      <c r="I309" s="1" t="s">
        <v>46</v>
      </c>
      <c r="J309" s="1" t="s">
        <v>748</v>
      </c>
      <c r="K309" s="1" t="s">
        <v>1999</v>
      </c>
      <c r="L309" s="1" t="s">
        <v>45</v>
      </c>
      <c r="M309" s="1" t="s">
        <v>46</v>
      </c>
      <c r="N309" s="1">
        <v>522917</v>
      </c>
      <c r="O309" s="1">
        <v>2015</v>
      </c>
      <c r="P309" s="1">
        <v>522917</v>
      </c>
      <c r="Q309" s="1">
        <v>2015</v>
      </c>
      <c r="R309" s="1" t="s">
        <v>46</v>
      </c>
      <c r="S309" s="1">
        <v>1</v>
      </c>
      <c r="T309" s="1" t="s">
        <v>46</v>
      </c>
      <c r="U309" s="1" t="s">
        <v>2000</v>
      </c>
    </row>
    <row r="310" spans="1:41" ht="17.149999999999999" hidden="1" customHeight="1">
      <c r="A310" s="1" t="s">
        <v>2001</v>
      </c>
      <c r="B310" s="1"/>
      <c r="C310" s="1" t="s">
        <v>2002</v>
      </c>
      <c r="D310" s="1"/>
      <c r="E310" s="1"/>
      <c r="F310" s="1"/>
      <c r="G310" s="1"/>
      <c r="H310" s="1" t="s">
        <v>249</v>
      </c>
      <c r="I310" s="1" t="s">
        <v>46</v>
      </c>
      <c r="J310" s="1" t="s">
        <v>2003</v>
      </c>
      <c r="K310" s="1" t="s">
        <v>2004</v>
      </c>
      <c r="L310" s="1" t="s">
        <v>46</v>
      </c>
      <c r="M310" s="1" t="s">
        <v>2005</v>
      </c>
      <c r="N310" s="1" t="s">
        <v>46</v>
      </c>
      <c r="O310" s="1" t="s">
        <v>46</v>
      </c>
      <c r="P310" s="1">
        <v>192451</v>
      </c>
      <c r="Q310" s="1">
        <v>2015</v>
      </c>
      <c r="R310" s="1" t="s">
        <v>46</v>
      </c>
      <c r="S310" s="1">
        <v>1</v>
      </c>
      <c r="T310" s="1">
        <v>1</v>
      </c>
      <c r="U310" s="1" t="s">
        <v>1005</v>
      </c>
    </row>
    <row r="311" spans="1:41" ht="17.149999999999999" hidden="1" customHeight="1">
      <c r="A311" s="1" t="s">
        <v>2006</v>
      </c>
      <c r="B311" s="1"/>
      <c r="C311" s="1" t="s">
        <v>2007</v>
      </c>
      <c r="D311" s="1"/>
      <c r="E311" s="1"/>
      <c r="F311" s="1"/>
      <c r="G311" s="1"/>
      <c r="H311" s="1" t="s">
        <v>512</v>
      </c>
      <c r="I311" s="1" t="s">
        <v>46</v>
      </c>
      <c r="J311" s="1" t="s">
        <v>2008</v>
      </c>
      <c r="K311" s="1" t="s">
        <v>2009</v>
      </c>
      <c r="L311" s="1" t="s">
        <v>45</v>
      </c>
      <c r="M311" s="1" t="s">
        <v>46</v>
      </c>
      <c r="N311" s="1">
        <v>532400</v>
      </c>
      <c r="O311" s="1">
        <v>2019</v>
      </c>
      <c r="P311" s="1">
        <v>515000</v>
      </c>
      <c r="Q311" s="1">
        <v>2019</v>
      </c>
      <c r="R311" s="1" t="s">
        <v>46</v>
      </c>
      <c r="S311" s="1">
        <v>1</v>
      </c>
      <c r="T311" s="1">
        <v>1</v>
      </c>
      <c r="U311" s="1" t="s">
        <v>2010</v>
      </c>
    </row>
    <row r="312" spans="1:41" ht="17.149999999999999" hidden="1" customHeight="1">
      <c r="A312" s="1" t="s">
        <v>2011</v>
      </c>
      <c r="B312" s="1"/>
      <c r="C312" s="1" t="s">
        <v>2012</v>
      </c>
      <c r="D312" s="1"/>
      <c r="E312" s="1"/>
      <c r="F312" s="1"/>
      <c r="G312" s="1"/>
      <c r="H312" s="1" t="s">
        <v>1367</v>
      </c>
      <c r="I312" s="1" t="s">
        <v>46</v>
      </c>
      <c r="J312" s="1" t="s">
        <v>2013</v>
      </c>
      <c r="K312" s="1" t="s">
        <v>2014</v>
      </c>
      <c r="L312" s="1" t="s">
        <v>118</v>
      </c>
      <c r="M312" s="1" t="s">
        <v>46</v>
      </c>
      <c r="N312" s="1">
        <v>689359</v>
      </c>
      <c r="O312" s="1">
        <v>2017</v>
      </c>
      <c r="P312" s="1">
        <v>508930</v>
      </c>
      <c r="Q312" s="1">
        <v>2017</v>
      </c>
      <c r="R312" s="1" t="s">
        <v>46</v>
      </c>
      <c r="S312" s="1">
        <v>1</v>
      </c>
      <c r="T312" s="1">
        <v>1</v>
      </c>
      <c r="U312" s="1" t="s">
        <v>2015</v>
      </c>
    </row>
    <row r="313" spans="1:41" ht="17.149999999999999" hidden="1" customHeight="1">
      <c r="A313" s="21" t="s">
        <v>2016</v>
      </c>
      <c r="B313" s="21" t="s">
        <v>37</v>
      </c>
      <c r="C313" s="58" t="s">
        <v>2017</v>
      </c>
      <c r="D313" s="61"/>
      <c r="E313" s="61"/>
      <c r="F313" s="61"/>
      <c r="G313" s="61"/>
      <c r="H313" s="21" t="s">
        <v>41</v>
      </c>
      <c r="I313" s="21" t="s">
        <v>42</v>
      </c>
      <c r="J313" s="21" t="s">
        <v>2018</v>
      </c>
      <c r="K313" s="21" t="s">
        <v>2019</v>
      </c>
      <c r="L313" s="21" t="s">
        <v>45</v>
      </c>
      <c r="M313" s="21" t="s">
        <v>46</v>
      </c>
      <c r="N313" s="21">
        <v>1043000</v>
      </c>
      <c r="O313" s="21">
        <v>2016</v>
      </c>
      <c r="P313" s="21">
        <v>502000</v>
      </c>
      <c r="Q313" s="21">
        <v>2016</v>
      </c>
      <c r="R313" s="21" t="s">
        <v>46</v>
      </c>
      <c r="S313" s="21">
        <v>1</v>
      </c>
      <c r="T313" s="21">
        <v>1</v>
      </c>
      <c r="U313" s="21" t="s">
        <v>2020</v>
      </c>
      <c r="V313" s="22" t="s">
        <v>103</v>
      </c>
      <c r="W313" s="22"/>
      <c r="X313" s="22"/>
      <c r="Y313" s="22"/>
      <c r="Z313" s="22"/>
      <c r="AA313" s="22"/>
      <c r="AB313" s="22"/>
      <c r="AC313" s="22"/>
      <c r="AD313" s="22"/>
      <c r="AG313" s="2" t="s">
        <v>71</v>
      </c>
    </row>
    <row r="314" spans="1:41" ht="17.149999999999999" hidden="1" customHeight="1">
      <c r="A314" s="1" t="s">
        <v>2021</v>
      </c>
      <c r="B314" s="1" t="s">
        <v>167</v>
      </c>
      <c r="C314" s="1" t="s">
        <v>2022</v>
      </c>
      <c r="D314" s="1"/>
      <c r="E314" s="1"/>
      <c r="F314" s="1"/>
      <c r="G314" s="1"/>
      <c r="H314" s="1" t="s">
        <v>110</v>
      </c>
      <c r="I314" s="1" t="s">
        <v>307</v>
      </c>
      <c r="J314" s="1" t="s">
        <v>2023</v>
      </c>
      <c r="K314" s="1" t="s">
        <v>2024</v>
      </c>
      <c r="L314" s="1" t="s">
        <v>45</v>
      </c>
      <c r="M314" s="1" t="s">
        <v>46</v>
      </c>
      <c r="N314" s="1">
        <v>500000</v>
      </c>
      <c r="O314" s="1">
        <v>2019</v>
      </c>
      <c r="P314" s="1">
        <v>500000</v>
      </c>
      <c r="Q314" s="1">
        <v>2019</v>
      </c>
      <c r="R314" s="1" t="s">
        <v>46</v>
      </c>
      <c r="S314" s="1">
        <v>1</v>
      </c>
      <c r="T314" s="1">
        <v>1</v>
      </c>
      <c r="U314" s="1" t="s">
        <v>2025</v>
      </c>
    </row>
    <row r="315" spans="1:41" ht="17.149999999999999" hidden="1" customHeight="1">
      <c r="A315" s="1" t="s">
        <v>2026</v>
      </c>
      <c r="B315" s="1" t="s">
        <v>167</v>
      </c>
      <c r="C315" s="1" t="s">
        <v>2027</v>
      </c>
      <c r="D315" s="1"/>
      <c r="E315" s="1"/>
      <c r="F315" s="1"/>
      <c r="G315" s="1"/>
      <c r="H315" s="1" t="s">
        <v>110</v>
      </c>
      <c r="I315" s="1" t="s">
        <v>2028</v>
      </c>
      <c r="J315" s="1" t="s">
        <v>2029</v>
      </c>
      <c r="K315" s="1" t="s">
        <v>2030</v>
      </c>
      <c r="L315" s="1" t="s">
        <v>118</v>
      </c>
      <c r="M315" s="1" t="s">
        <v>2031</v>
      </c>
      <c r="N315" s="1">
        <v>500000</v>
      </c>
      <c r="O315" s="1">
        <v>2024</v>
      </c>
      <c r="P315" s="1">
        <v>500000</v>
      </c>
      <c r="Q315" s="1">
        <v>2023</v>
      </c>
      <c r="R315" s="1" t="s">
        <v>46</v>
      </c>
      <c r="S315" s="1">
        <v>1</v>
      </c>
      <c r="T315" s="1">
        <v>1</v>
      </c>
      <c r="U315" s="1" t="s">
        <v>46</v>
      </c>
    </row>
    <row r="316" spans="1:41" ht="17.149999999999999" hidden="1" customHeight="1">
      <c r="A316" s="1" t="s">
        <v>2032</v>
      </c>
      <c r="B316" s="1" t="s">
        <v>167</v>
      </c>
      <c r="C316" s="1" t="s">
        <v>2033</v>
      </c>
      <c r="D316" s="1"/>
      <c r="E316" s="1"/>
      <c r="F316" s="1"/>
      <c r="G316" s="1"/>
      <c r="H316" s="1" t="s">
        <v>110</v>
      </c>
      <c r="I316" s="1" t="s">
        <v>2034</v>
      </c>
      <c r="J316" s="1" t="s">
        <v>2035</v>
      </c>
      <c r="K316" s="1" t="s">
        <v>2036</v>
      </c>
      <c r="L316" s="1" t="s">
        <v>118</v>
      </c>
      <c r="M316" s="1" t="s">
        <v>2037</v>
      </c>
      <c r="N316" s="1">
        <v>500000</v>
      </c>
      <c r="O316" s="1">
        <v>2019</v>
      </c>
      <c r="P316" s="1">
        <v>500000</v>
      </c>
      <c r="Q316" s="1">
        <v>2015</v>
      </c>
      <c r="R316" s="1" t="s">
        <v>46</v>
      </c>
      <c r="S316" s="1">
        <v>1</v>
      </c>
      <c r="T316" s="1">
        <v>1</v>
      </c>
      <c r="U316" s="1" t="s">
        <v>2038</v>
      </c>
    </row>
    <row r="317" spans="1:41" ht="17.149999999999999" hidden="1" customHeight="1">
      <c r="A317" s="1" t="s">
        <v>2039</v>
      </c>
      <c r="B317" s="1" t="s">
        <v>772</v>
      </c>
      <c r="C317" s="1" t="s">
        <v>2040</v>
      </c>
      <c r="D317" s="1"/>
      <c r="E317" s="1"/>
      <c r="F317" s="1"/>
      <c r="G317" s="1"/>
      <c r="H317" s="1" t="s">
        <v>1279</v>
      </c>
      <c r="I317" s="1" t="s">
        <v>46</v>
      </c>
      <c r="J317" s="1" t="s">
        <v>2041</v>
      </c>
      <c r="K317" s="1" t="s">
        <v>2042</v>
      </c>
      <c r="L317" s="1" t="s">
        <v>45</v>
      </c>
      <c r="M317" s="1" t="s">
        <v>46</v>
      </c>
      <c r="N317" s="1">
        <v>500000</v>
      </c>
      <c r="O317" s="1">
        <v>2019</v>
      </c>
      <c r="P317" s="1">
        <v>500000</v>
      </c>
      <c r="Q317" s="1">
        <v>2019</v>
      </c>
      <c r="R317" s="1" t="s">
        <v>46</v>
      </c>
      <c r="S317" s="1">
        <v>1</v>
      </c>
      <c r="T317" s="1" t="s">
        <v>46</v>
      </c>
      <c r="U317" s="34" t="s">
        <v>2043</v>
      </c>
      <c r="V317" s="2" t="s">
        <v>103</v>
      </c>
      <c r="X317" s="2" t="s">
        <v>2044</v>
      </c>
    </row>
    <row r="318" spans="1:41" ht="17.149999999999999" hidden="1" customHeight="1">
      <c r="A318" s="1" t="s">
        <v>2045</v>
      </c>
      <c r="B318" s="1"/>
      <c r="C318" s="1" t="s">
        <v>2046</v>
      </c>
      <c r="D318" s="1"/>
      <c r="E318" s="1"/>
      <c r="F318" s="1"/>
      <c r="G318" s="1"/>
      <c r="H318" s="1" t="s">
        <v>506</v>
      </c>
      <c r="I318" s="1" t="s">
        <v>46</v>
      </c>
      <c r="J318" s="1" t="s">
        <v>2047</v>
      </c>
      <c r="K318" s="1" t="s">
        <v>2048</v>
      </c>
      <c r="L318" s="1" t="s">
        <v>45</v>
      </c>
      <c r="M318" s="1" t="s">
        <v>46</v>
      </c>
      <c r="N318" s="1">
        <v>500000</v>
      </c>
      <c r="O318" s="1">
        <v>2016</v>
      </c>
      <c r="P318" s="1">
        <v>500000</v>
      </c>
      <c r="Q318" s="1">
        <v>2016</v>
      </c>
      <c r="R318" s="1" t="s">
        <v>46</v>
      </c>
      <c r="S318" s="1">
        <v>1</v>
      </c>
      <c r="T318" s="1">
        <v>1</v>
      </c>
      <c r="U318" s="1" t="s">
        <v>2049</v>
      </c>
    </row>
    <row r="319" spans="1:41" ht="17.149999999999999" hidden="1" customHeight="1">
      <c r="A319" s="1" t="s">
        <v>2050</v>
      </c>
      <c r="B319" s="1"/>
      <c r="C319" s="1" t="s">
        <v>2051</v>
      </c>
      <c r="D319" s="1"/>
      <c r="E319" s="1"/>
      <c r="F319" s="1"/>
      <c r="G319" s="1"/>
      <c r="H319" s="1" t="s">
        <v>249</v>
      </c>
      <c r="I319" s="1" t="s">
        <v>46</v>
      </c>
      <c r="J319" s="1" t="s">
        <v>2052</v>
      </c>
      <c r="K319" s="1" t="s">
        <v>2053</v>
      </c>
      <c r="L319" s="1" t="s">
        <v>46</v>
      </c>
      <c r="M319" s="1" t="s">
        <v>46</v>
      </c>
      <c r="N319" s="1" t="s">
        <v>46</v>
      </c>
      <c r="O319" s="1" t="s">
        <v>46</v>
      </c>
      <c r="P319" s="1">
        <v>179153</v>
      </c>
      <c r="Q319" s="1">
        <v>2015</v>
      </c>
      <c r="R319" s="1" t="s">
        <v>46</v>
      </c>
      <c r="S319" s="1">
        <v>1</v>
      </c>
      <c r="T319" s="1">
        <v>1</v>
      </c>
      <c r="U319" s="1" t="s">
        <v>1005</v>
      </c>
    </row>
    <row r="320" spans="1:41" ht="17.149999999999999" customHeight="1">
      <c r="A320" s="41" t="s">
        <v>2054</v>
      </c>
      <c r="B320" s="41" t="s">
        <v>37</v>
      </c>
      <c r="C320" s="41" t="s">
        <v>2055</v>
      </c>
      <c r="D320" s="1" t="s">
        <v>2056</v>
      </c>
      <c r="E320" s="1" t="s">
        <v>2057</v>
      </c>
      <c r="F320" s="17" t="s">
        <v>62</v>
      </c>
      <c r="G320" s="1" t="s">
        <v>40</v>
      </c>
      <c r="H320" s="41" t="s">
        <v>249</v>
      </c>
      <c r="I320" s="41" t="s">
        <v>2058</v>
      </c>
      <c r="J320" s="41" t="s">
        <v>2059</v>
      </c>
      <c r="K320" s="41" t="s">
        <v>2060</v>
      </c>
      <c r="L320" s="41" t="s">
        <v>45</v>
      </c>
      <c r="M320" s="41" t="s">
        <v>2061</v>
      </c>
      <c r="N320" s="41">
        <v>255802</v>
      </c>
      <c r="O320" s="41">
        <v>2018</v>
      </c>
      <c r="P320" s="41">
        <v>259997</v>
      </c>
      <c r="Q320" s="41">
        <v>2018</v>
      </c>
      <c r="R320" s="41" t="s">
        <v>46</v>
      </c>
      <c r="S320" s="41">
        <v>1</v>
      </c>
      <c r="T320" s="41">
        <v>1</v>
      </c>
      <c r="U320" s="41" t="s">
        <v>2062</v>
      </c>
      <c r="V320" s="42" t="s">
        <v>40</v>
      </c>
      <c r="W320" s="42" t="s">
        <v>2063</v>
      </c>
      <c r="X320" s="42" t="s">
        <v>40</v>
      </c>
      <c r="Y320" s="42" t="s">
        <v>1315</v>
      </c>
      <c r="Z320" s="42" t="s">
        <v>2064</v>
      </c>
      <c r="AA320" s="42" t="s">
        <v>2065</v>
      </c>
      <c r="AB320" s="42"/>
      <c r="AC320" s="42" t="s">
        <v>2066</v>
      </c>
      <c r="AD320" s="42" t="s">
        <v>40</v>
      </c>
      <c r="AE320" s="42">
        <v>5</v>
      </c>
      <c r="AF320" s="42" t="s">
        <v>1263</v>
      </c>
      <c r="AG320" s="42"/>
      <c r="AH320" s="42"/>
      <c r="AI320" s="42" t="s">
        <v>2067</v>
      </c>
      <c r="AJ320" s="42" t="s">
        <v>1318</v>
      </c>
      <c r="AK320" s="42"/>
      <c r="AL320" s="42"/>
      <c r="AM320" s="42"/>
      <c r="AN320" s="42"/>
      <c r="AO320" s="42"/>
    </row>
    <row r="321" spans="1:36" ht="17.149999999999999" hidden="1" customHeight="1">
      <c r="A321" s="1" t="s">
        <v>2068</v>
      </c>
      <c r="B321" s="1"/>
      <c r="C321" s="1" t="s">
        <v>2069</v>
      </c>
      <c r="D321" s="1"/>
      <c r="E321" s="1"/>
      <c r="F321" s="1"/>
      <c r="G321" s="1"/>
      <c r="H321" s="1" t="s">
        <v>249</v>
      </c>
      <c r="I321" s="1" t="s">
        <v>2070</v>
      </c>
      <c r="J321" s="1" t="s">
        <v>2070</v>
      </c>
      <c r="K321" s="1" t="s">
        <v>2071</v>
      </c>
      <c r="L321" s="1" t="s">
        <v>45</v>
      </c>
      <c r="M321" s="1" t="s">
        <v>46</v>
      </c>
      <c r="N321" s="1" t="s">
        <v>46</v>
      </c>
      <c r="O321" s="1" t="s">
        <v>46</v>
      </c>
      <c r="P321" s="1">
        <v>170054</v>
      </c>
      <c r="Q321" s="1">
        <v>2018</v>
      </c>
      <c r="R321" s="1" t="s">
        <v>46</v>
      </c>
      <c r="S321" s="1">
        <v>1</v>
      </c>
      <c r="T321" s="1" t="s">
        <v>46</v>
      </c>
      <c r="U321" s="1" t="s">
        <v>2072</v>
      </c>
    </row>
    <row r="322" spans="1:36" ht="17.149999999999999" hidden="1" customHeight="1">
      <c r="A322" s="1" t="s">
        <v>2073</v>
      </c>
      <c r="B322" s="1"/>
      <c r="C322" s="1" t="s">
        <v>2074</v>
      </c>
      <c r="D322" s="1"/>
      <c r="E322" s="1"/>
      <c r="F322" s="1"/>
      <c r="G322" s="1"/>
      <c r="H322" s="1" t="s">
        <v>674</v>
      </c>
      <c r="I322" s="1" t="s">
        <v>46</v>
      </c>
      <c r="J322" s="1" t="s">
        <v>2075</v>
      </c>
      <c r="K322" s="1" t="s">
        <v>2076</v>
      </c>
      <c r="L322" s="1" t="s">
        <v>45</v>
      </c>
      <c r="M322" s="1" t="s">
        <v>46</v>
      </c>
      <c r="N322" s="1">
        <v>671573</v>
      </c>
      <c r="O322" s="1">
        <v>2016</v>
      </c>
      <c r="P322" s="1">
        <v>490585</v>
      </c>
      <c r="Q322" s="1">
        <v>2016</v>
      </c>
      <c r="R322" s="1" t="s">
        <v>46</v>
      </c>
      <c r="S322" s="1">
        <v>1</v>
      </c>
      <c r="T322" s="1">
        <v>1</v>
      </c>
      <c r="U322" s="1" t="s">
        <v>2077</v>
      </c>
    </row>
    <row r="323" spans="1:36" s="42" customFormat="1" ht="17.149999999999999" hidden="1" customHeight="1">
      <c r="A323" s="1" t="s">
        <v>2078</v>
      </c>
      <c r="B323" s="1" t="s">
        <v>167</v>
      </c>
      <c r="C323" s="1" t="s">
        <v>2079</v>
      </c>
      <c r="D323" s="1"/>
      <c r="E323" s="1"/>
      <c r="F323" s="1"/>
      <c r="G323" s="1"/>
      <c r="H323" s="1" t="s">
        <v>110</v>
      </c>
      <c r="I323" s="1" t="s">
        <v>1992</v>
      </c>
      <c r="J323" s="1" t="s">
        <v>2080</v>
      </c>
      <c r="K323" s="1" t="s">
        <v>2081</v>
      </c>
      <c r="L323" s="1" t="s">
        <v>118</v>
      </c>
      <c r="M323" s="1" t="s">
        <v>2082</v>
      </c>
      <c r="N323" s="1">
        <v>490000</v>
      </c>
      <c r="O323" s="1">
        <v>2019</v>
      </c>
      <c r="P323" s="1">
        <v>490000</v>
      </c>
      <c r="Q323" s="1">
        <v>2019</v>
      </c>
      <c r="R323" s="1" t="s">
        <v>46</v>
      </c>
      <c r="S323" s="1">
        <v>1</v>
      </c>
      <c r="T323" s="1">
        <v>1</v>
      </c>
      <c r="U323" s="1" t="s">
        <v>2083</v>
      </c>
      <c r="V323" s="2"/>
      <c r="W323" s="2"/>
      <c r="X323" s="2"/>
      <c r="Y323" s="2"/>
      <c r="Z323" s="2"/>
      <c r="AA323" s="2"/>
      <c r="AB323" s="2"/>
      <c r="AC323" s="2"/>
      <c r="AD323" s="2"/>
      <c r="AE323" s="2"/>
      <c r="AF323" s="2"/>
      <c r="AG323" s="2"/>
      <c r="AH323" s="2"/>
      <c r="AI323" s="2"/>
      <c r="AJ323" s="2"/>
    </row>
    <row r="324" spans="1:36" ht="17.149999999999999" customHeight="1">
      <c r="A324" s="41" t="s">
        <v>2084</v>
      </c>
      <c r="B324" s="41" t="s">
        <v>37</v>
      </c>
      <c r="C324" s="41" t="s">
        <v>2085</v>
      </c>
      <c r="D324" s="1" t="s">
        <v>2086</v>
      </c>
      <c r="E324" s="1" t="s">
        <v>2087</v>
      </c>
      <c r="F324" s="1" t="s">
        <v>62</v>
      </c>
      <c r="G324" s="1" t="s">
        <v>40</v>
      </c>
      <c r="H324" s="41" t="s">
        <v>1203</v>
      </c>
      <c r="I324" s="41" t="s">
        <v>46</v>
      </c>
      <c r="J324" s="41" t="s">
        <v>2088</v>
      </c>
      <c r="K324" s="41" t="s">
        <v>2089</v>
      </c>
      <c r="L324" s="41" t="s">
        <v>45</v>
      </c>
      <c r="M324" s="41" t="s">
        <v>46</v>
      </c>
      <c r="N324" s="41" t="s">
        <v>46</v>
      </c>
      <c r="O324" s="41" t="s">
        <v>46</v>
      </c>
      <c r="P324" s="41">
        <v>345000</v>
      </c>
      <c r="Q324" s="41">
        <v>2019</v>
      </c>
      <c r="R324" s="41" t="s">
        <v>46</v>
      </c>
      <c r="S324" s="41">
        <v>1</v>
      </c>
      <c r="T324" s="41" t="s">
        <v>46</v>
      </c>
      <c r="U324" s="41" t="s">
        <v>2090</v>
      </c>
      <c r="V324" s="42" t="s">
        <v>40</v>
      </c>
      <c r="W324" s="42" t="s">
        <v>78</v>
      </c>
      <c r="X324" s="85" t="s">
        <v>40</v>
      </c>
      <c r="Y324" s="85"/>
      <c r="Z324" s="42" t="s">
        <v>2091</v>
      </c>
      <c r="AA324" s="42" t="s">
        <v>2092</v>
      </c>
      <c r="AB324" s="42"/>
      <c r="AC324" s="42" t="s">
        <v>2093</v>
      </c>
      <c r="AD324" s="42"/>
      <c r="AE324" s="42">
        <v>1</v>
      </c>
      <c r="AF324" s="42" t="s">
        <v>53</v>
      </c>
      <c r="AG324" s="42" t="s">
        <v>2094</v>
      </c>
      <c r="AJ324" s="42" t="s">
        <v>57</v>
      </c>
    </row>
    <row r="325" spans="1:36" ht="17.149999999999999" hidden="1" customHeight="1">
      <c r="A325" s="1" t="s">
        <v>2095</v>
      </c>
      <c r="B325" s="1" t="s">
        <v>167</v>
      </c>
      <c r="C325" s="1" t="s">
        <v>2096</v>
      </c>
      <c r="D325" s="1"/>
      <c r="E325" s="1"/>
      <c r="F325" s="1"/>
      <c r="G325" s="1"/>
      <c r="H325" s="1" t="s">
        <v>110</v>
      </c>
      <c r="I325" s="1" t="s">
        <v>1437</v>
      </c>
      <c r="J325" s="1" t="s">
        <v>2097</v>
      </c>
      <c r="K325" s="1" t="s">
        <v>2098</v>
      </c>
      <c r="L325" s="1" t="s">
        <v>45</v>
      </c>
      <c r="M325" s="1" t="s">
        <v>46</v>
      </c>
      <c r="N325" s="1">
        <v>470000</v>
      </c>
      <c r="O325" s="1">
        <v>2015</v>
      </c>
      <c r="P325" s="1">
        <v>470000</v>
      </c>
      <c r="Q325" s="1">
        <v>2015</v>
      </c>
      <c r="R325" s="1" t="s">
        <v>46</v>
      </c>
      <c r="S325" s="1">
        <v>1</v>
      </c>
      <c r="T325" s="1">
        <v>1</v>
      </c>
      <c r="U325" s="1" t="s">
        <v>2099</v>
      </c>
    </row>
    <row r="326" spans="1:36" ht="17.149999999999999" hidden="1" customHeight="1">
      <c r="A326" s="1" t="s">
        <v>2100</v>
      </c>
      <c r="B326" s="1"/>
      <c r="C326" s="1" t="s">
        <v>2101</v>
      </c>
      <c r="D326" s="1"/>
      <c r="E326" s="1"/>
      <c r="F326" s="1"/>
      <c r="G326" s="1"/>
      <c r="H326" s="1" t="s">
        <v>249</v>
      </c>
      <c r="I326" s="1" t="s">
        <v>2102</v>
      </c>
      <c r="J326" s="1" t="s">
        <v>2103</v>
      </c>
      <c r="K326" s="1" t="s">
        <v>2104</v>
      </c>
      <c r="L326" s="1" t="s">
        <v>45</v>
      </c>
      <c r="M326" s="1" t="s">
        <v>46</v>
      </c>
      <c r="N326" s="1" t="s">
        <v>46</v>
      </c>
      <c r="O326" s="1" t="s">
        <v>46</v>
      </c>
      <c r="P326" s="1">
        <v>167210</v>
      </c>
      <c r="Q326" s="1">
        <v>2018</v>
      </c>
      <c r="R326" s="1" t="s">
        <v>46</v>
      </c>
      <c r="S326" s="1">
        <v>1</v>
      </c>
      <c r="T326" s="1" t="s">
        <v>46</v>
      </c>
      <c r="U326" s="1" t="s">
        <v>2105</v>
      </c>
    </row>
    <row r="327" spans="1:36" ht="17.149999999999999" hidden="1" customHeight="1">
      <c r="A327" s="1" t="s">
        <v>2106</v>
      </c>
      <c r="B327" s="1"/>
      <c r="C327" s="1" t="s">
        <v>2107</v>
      </c>
      <c r="D327" s="1"/>
      <c r="E327" s="1"/>
      <c r="F327" s="1"/>
      <c r="G327" s="1"/>
      <c r="H327" s="1" t="s">
        <v>177</v>
      </c>
      <c r="I327" s="1" t="s">
        <v>1242</v>
      </c>
      <c r="J327" s="1" t="s">
        <v>2108</v>
      </c>
      <c r="K327" s="1" t="s">
        <v>2109</v>
      </c>
      <c r="L327" s="1" t="s">
        <v>45</v>
      </c>
      <c r="M327" s="1" t="s">
        <v>46</v>
      </c>
      <c r="N327" s="1">
        <v>391669</v>
      </c>
      <c r="O327" s="1">
        <v>2017</v>
      </c>
      <c r="P327" s="1">
        <v>467000</v>
      </c>
      <c r="Q327" s="1">
        <v>2017</v>
      </c>
      <c r="R327" s="1" t="s">
        <v>46</v>
      </c>
      <c r="S327" s="1">
        <v>1</v>
      </c>
      <c r="T327" s="1" t="s">
        <v>46</v>
      </c>
      <c r="U327" s="1" t="s">
        <v>2110</v>
      </c>
    </row>
    <row r="328" spans="1:36" ht="17.149999999999999" hidden="1" customHeight="1">
      <c r="A328" s="1" t="s">
        <v>2111</v>
      </c>
      <c r="B328" s="1"/>
      <c r="C328" s="1" t="s">
        <v>2112</v>
      </c>
      <c r="D328" s="1"/>
      <c r="E328" s="1"/>
      <c r="F328" s="1"/>
      <c r="G328" s="1"/>
      <c r="H328" s="1" t="s">
        <v>313</v>
      </c>
      <c r="I328" s="1" t="s">
        <v>1110</v>
      </c>
      <c r="J328" s="1" t="s">
        <v>1110</v>
      </c>
      <c r="K328" s="1" t="s">
        <v>2113</v>
      </c>
      <c r="L328" s="1" t="s">
        <v>45</v>
      </c>
      <c r="M328" s="1" t="s">
        <v>46</v>
      </c>
      <c r="N328" s="1">
        <v>645565</v>
      </c>
      <c r="O328" s="1">
        <v>2019</v>
      </c>
      <c r="P328" s="1">
        <v>463224</v>
      </c>
      <c r="Q328" s="1">
        <v>2019</v>
      </c>
      <c r="R328" s="1">
        <v>1</v>
      </c>
      <c r="S328" s="1">
        <v>1</v>
      </c>
      <c r="T328" s="1" t="s">
        <v>46</v>
      </c>
      <c r="U328" s="1" t="s">
        <v>2114</v>
      </c>
    </row>
    <row r="329" spans="1:36" ht="17.149999999999999" hidden="1" customHeight="1">
      <c r="A329" s="1" t="s">
        <v>2115</v>
      </c>
      <c r="B329" s="1"/>
      <c r="C329" s="1" t="s">
        <v>2116</v>
      </c>
      <c r="D329" s="1"/>
      <c r="E329" s="1"/>
      <c r="F329" s="1"/>
      <c r="G329" s="1"/>
      <c r="H329" s="1" t="s">
        <v>1171</v>
      </c>
      <c r="I329" s="1" t="s">
        <v>46</v>
      </c>
      <c r="J329" s="1" t="s">
        <v>2117</v>
      </c>
      <c r="K329" s="1" t="s">
        <v>2118</v>
      </c>
      <c r="L329" s="1" t="s">
        <v>45</v>
      </c>
      <c r="M329" s="1" t="s">
        <v>46</v>
      </c>
      <c r="N329" s="1">
        <v>550141</v>
      </c>
      <c r="O329" s="1">
        <v>2018</v>
      </c>
      <c r="P329" s="1">
        <v>462813</v>
      </c>
      <c r="Q329" s="1">
        <v>2018</v>
      </c>
      <c r="R329" s="1" t="s">
        <v>46</v>
      </c>
      <c r="S329" s="1">
        <v>1</v>
      </c>
      <c r="T329" s="1" t="s">
        <v>46</v>
      </c>
      <c r="U329" s="1" t="s">
        <v>2119</v>
      </c>
    </row>
    <row r="330" spans="1:36" ht="17.149999999999999" hidden="1" customHeight="1">
      <c r="A330" s="1" t="s">
        <v>2120</v>
      </c>
      <c r="B330" s="1"/>
      <c r="C330" s="1" t="s">
        <v>2121</v>
      </c>
      <c r="D330" s="1"/>
      <c r="E330" s="1"/>
      <c r="F330" s="1"/>
      <c r="G330" s="1"/>
      <c r="H330" s="1" t="s">
        <v>249</v>
      </c>
      <c r="I330" s="1" t="s">
        <v>2122</v>
      </c>
      <c r="J330" s="1" t="s">
        <v>2123</v>
      </c>
      <c r="K330" s="1" t="s">
        <v>2124</v>
      </c>
      <c r="L330" s="1" t="s">
        <v>45</v>
      </c>
      <c r="M330" s="1" t="s">
        <v>46</v>
      </c>
      <c r="N330" s="1" t="s">
        <v>46</v>
      </c>
      <c r="O330" s="1" t="s">
        <v>46</v>
      </c>
      <c r="P330" s="1">
        <v>162438</v>
      </c>
      <c r="Q330" s="1">
        <v>2018</v>
      </c>
      <c r="R330" s="1" t="s">
        <v>46</v>
      </c>
      <c r="S330" s="1">
        <v>1</v>
      </c>
      <c r="T330" s="1">
        <v>1</v>
      </c>
      <c r="U330" s="1" t="s">
        <v>2125</v>
      </c>
    </row>
    <row r="331" spans="1:36" ht="17.149999999999999" hidden="1" customHeight="1">
      <c r="A331" s="1" t="s">
        <v>2126</v>
      </c>
      <c r="B331" s="1"/>
      <c r="C331" s="1" t="s">
        <v>2127</v>
      </c>
      <c r="D331" s="1"/>
      <c r="E331" s="1"/>
      <c r="F331" s="1"/>
      <c r="G331" s="1"/>
      <c r="H331" s="1" t="s">
        <v>249</v>
      </c>
      <c r="I331" s="1" t="s">
        <v>2128</v>
      </c>
      <c r="J331" s="1" t="s">
        <v>2129</v>
      </c>
      <c r="K331" s="1" t="s">
        <v>1836</v>
      </c>
      <c r="L331" s="1" t="s">
        <v>45</v>
      </c>
      <c r="M331" s="1" t="s">
        <v>46</v>
      </c>
      <c r="N331" s="1" t="s">
        <v>46</v>
      </c>
      <c r="O331" s="1" t="s">
        <v>46</v>
      </c>
      <c r="P331" s="1">
        <v>149866</v>
      </c>
      <c r="Q331" s="1">
        <v>2018</v>
      </c>
      <c r="R331" s="1" t="s">
        <v>46</v>
      </c>
      <c r="S331" s="1">
        <v>1</v>
      </c>
      <c r="T331" s="1" t="s">
        <v>46</v>
      </c>
      <c r="U331" s="1" t="s">
        <v>2130</v>
      </c>
    </row>
    <row r="332" spans="1:36" ht="17.149999999999999" hidden="1" customHeight="1">
      <c r="A332" s="1" t="s">
        <v>2131</v>
      </c>
      <c r="B332" s="1"/>
      <c r="C332" s="1" t="s">
        <v>2132</v>
      </c>
      <c r="D332" s="1"/>
      <c r="E332" s="1"/>
      <c r="F332" s="1"/>
      <c r="G332" s="1"/>
      <c r="H332" s="1" t="s">
        <v>1171</v>
      </c>
      <c r="I332" s="1" t="s">
        <v>46</v>
      </c>
      <c r="J332" s="1" t="s">
        <v>2133</v>
      </c>
      <c r="K332" s="1" t="s">
        <v>2134</v>
      </c>
      <c r="L332" s="1" t="s">
        <v>118</v>
      </c>
      <c r="M332" s="1" t="s">
        <v>46</v>
      </c>
      <c r="N332" s="1">
        <v>499087</v>
      </c>
      <c r="O332" s="1">
        <v>2018</v>
      </c>
      <c r="P332" s="1">
        <v>450580</v>
      </c>
      <c r="Q332" s="1">
        <v>2018</v>
      </c>
      <c r="R332" s="1" t="s">
        <v>46</v>
      </c>
      <c r="S332" s="1">
        <v>1</v>
      </c>
      <c r="T332" s="1" t="s">
        <v>46</v>
      </c>
      <c r="U332" s="1" t="s">
        <v>2135</v>
      </c>
    </row>
    <row r="333" spans="1:36" ht="17.149999999999999" hidden="1" customHeight="1">
      <c r="A333" s="1" t="s">
        <v>2136</v>
      </c>
      <c r="B333" s="1" t="s">
        <v>167</v>
      </c>
      <c r="C333" s="1" t="s">
        <v>2137</v>
      </c>
      <c r="D333" s="1"/>
      <c r="E333" s="1"/>
      <c r="F333" s="1"/>
      <c r="G333" s="1"/>
      <c r="H333" s="1" t="s">
        <v>110</v>
      </c>
      <c r="I333" s="1" t="s">
        <v>1437</v>
      </c>
      <c r="J333" s="1" t="s">
        <v>2138</v>
      </c>
      <c r="K333" s="1" t="s">
        <v>2139</v>
      </c>
      <c r="L333" s="1" t="s">
        <v>45</v>
      </c>
      <c r="M333" s="1" t="s">
        <v>46</v>
      </c>
      <c r="N333" s="1">
        <v>450000</v>
      </c>
      <c r="O333" s="1">
        <v>2019</v>
      </c>
      <c r="P333" s="1">
        <v>450000</v>
      </c>
      <c r="Q333" s="1">
        <v>2019</v>
      </c>
      <c r="R333" s="1" t="s">
        <v>46</v>
      </c>
      <c r="S333" s="1">
        <v>1</v>
      </c>
      <c r="T333" s="1">
        <v>1</v>
      </c>
      <c r="U333" s="1" t="s">
        <v>2140</v>
      </c>
    </row>
    <row r="334" spans="1:36" ht="17.149999999999999" hidden="1" customHeight="1">
      <c r="A334" s="1" t="s">
        <v>2141</v>
      </c>
      <c r="B334" s="1"/>
      <c r="C334" s="1" t="s">
        <v>2142</v>
      </c>
      <c r="D334" s="1"/>
      <c r="E334" s="1"/>
      <c r="F334" s="1"/>
      <c r="G334" s="1"/>
      <c r="H334" s="1" t="s">
        <v>177</v>
      </c>
      <c r="I334" s="1" t="s">
        <v>178</v>
      </c>
      <c r="J334" s="1" t="s">
        <v>2143</v>
      </c>
      <c r="K334" s="1" t="s">
        <v>2144</v>
      </c>
      <c r="L334" s="1" t="s">
        <v>45</v>
      </c>
      <c r="M334" s="1" t="s">
        <v>46</v>
      </c>
      <c r="N334" s="1" t="s">
        <v>46</v>
      </c>
      <c r="O334" s="1" t="s">
        <v>46</v>
      </c>
      <c r="P334" s="1">
        <v>450000</v>
      </c>
      <c r="Q334" s="1">
        <v>2019</v>
      </c>
      <c r="R334" s="1">
        <v>1</v>
      </c>
      <c r="S334" s="1" t="s">
        <v>46</v>
      </c>
      <c r="T334" s="1" t="s">
        <v>46</v>
      </c>
      <c r="U334" s="1" t="s">
        <v>2145</v>
      </c>
    </row>
    <row r="335" spans="1:36" ht="17.149999999999999" hidden="1" customHeight="1">
      <c r="A335" s="1" t="s">
        <v>2146</v>
      </c>
      <c r="B335" s="1"/>
      <c r="C335" s="1" t="s">
        <v>2147</v>
      </c>
      <c r="D335" s="1"/>
      <c r="E335" s="1"/>
      <c r="F335" s="1"/>
      <c r="G335" s="1"/>
      <c r="H335" s="1" t="s">
        <v>177</v>
      </c>
      <c r="I335" s="1" t="s">
        <v>1478</v>
      </c>
      <c r="J335" s="1" t="s">
        <v>1478</v>
      </c>
      <c r="K335" s="1" t="s">
        <v>2148</v>
      </c>
      <c r="L335" s="1" t="s">
        <v>118</v>
      </c>
      <c r="M335" s="1" t="s">
        <v>2149</v>
      </c>
      <c r="N335" s="1">
        <v>440000</v>
      </c>
      <c r="O335" s="1">
        <v>2018</v>
      </c>
      <c r="P335" s="1">
        <v>440000</v>
      </c>
      <c r="Q335" s="1">
        <v>2018</v>
      </c>
      <c r="R335" s="1" t="s">
        <v>46</v>
      </c>
      <c r="S335" s="1">
        <v>1</v>
      </c>
      <c r="T335" s="1">
        <v>1</v>
      </c>
      <c r="U335" s="1" t="s">
        <v>2150</v>
      </c>
    </row>
    <row r="336" spans="1:36" ht="17.149999999999999" hidden="1" customHeight="1">
      <c r="A336" s="1" t="s">
        <v>2151</v>
      </c>
      <c r="B336" s="1"/>
      <c r="C336" s="1" t="s">
        <v>2152</v>
      </c>
      <c r="D336" s="1"/>
      <c r="E336" s="1"/>
      <c r="F336" s="1"/>
      <c r="G336" s="1"/>
      <c r="H336" s="1" t="s">
        <v>177</v>
      </c>
      <c r="I336" s="1" t="s">
        <v>2153</v>
      </c>
      <c r="J336" s="1" t="s">
        <v>2154</v>
      </c>
      <c r="K336" s="1" t="s">
        <v>2155</v>
      </c>
      <c r="L336" s="1" t="s">
        <v>45</v>
      </c>
      <c r="M336" s="1" t="s">
        <v>46</v>
      </c>
      <c r="N336" s="1" t="s">
        <v>46</v>
      </c>
      <c r="O336" s="1" t="s">
        <v>46</v>
      </c>
      <c r="P336" s="1">
        <v>440000</v>
      </c>
      <c r="Q336" s="1">
        <v>2019</v>
      </c>
      <c r="R336" s="1">
        <v>1</v>
      </c>
      <c r="S336" s="1" t="s">
        <v>46</v>
      </c>
      <c r="T336" s="1">
        <v>1</v>
      </c>
      <c r="U336" s="1" t="s">
        <v>2156</v>
      </c>
    </row>
    <row r="337" spans="1:36" ht="17.149999999999999" hidden="1" customHeight="1">
      <c r="A337" s="1" t="s">
        <v>2157</v>
      </c>
      <c r="B337" s="1"/>
      <c r="C337" s="1" t="s">
        <v>2158</v>
      </c>
      <c r="D337" s="1"/>
      <c r="E337" s="1"/>
      <c r="F337" s="1"/>
      <c r="G337" s="1"/>
      <c r="H337" s="1" t="s">
        <v>249</v>
      </c>
      <c r="I337" s="1" t="s">
        <v>2159</v>
      </c>
      <c r="J337" s="1" t="s">
        <v>2160</v>
      </c>
      <c r="K337" s="1" t="s">
        <v>2161</v>
      </c>
      <c r="L337" s="1" t="s">
        <v>45</v>
      </c>
      <c r="M337" s="1" t="s">
        <v>1566</v>
      </c>
      <c r="N337" s="1" t="s">
        <v>46</v>
      </c>
      <c r="O337" s="1" t="s">
        <v>46</v>
      </c>
      <c r="P337" s="1">
        <v>143341</v>
      </c>
      <c r="Q337" s="1">
        <v>2018</v>
      </c>
      <c r="R337" s="1" t="s">
        <v>46</v>
      </c>
      <c r="S337" s="1">
        <v>1</v>
      </c>
      <c r="T337" s="1">
        <v>1</v>
      </c>
      <c r="U337" s="1" t="s">
        <v>2162</v>
      </c>
    </row>
    <row r="338" spans="1:36" ht="17.149999999999999" customHeight="1">
      <c r="A338" s="41" t="s">
        <v>2163</v>
      </c>
      <c r="B338" s="41" t="s">
        <v>1198</v>
      </c>
      <c r="C338" s="41" t="s">
        <v>2164</v>
      </c>
      <c r="D338" s="1" t="s">
        <v>2165</v>
      </c>
      <c r="E338" s="1" t="s">
        <v>2164</v>
      </c>
      <c r="F338" s="1" t="s">
        <v>62</v>
      </c>
      <c r="G338" s="1" t="s">
        <v>40</v>
      </c>
      <c r="H338" s="41" t="s">
        <v>640</v>
      </c>
      <c r="I338" s="41" t="s">
        <v>46</v>
      </c>
      <c r="J338" s="41" t="s">
        <v>2166</v>
      </c>
      <c r="K338" s="41" t="s">
        <v>2167</v>
      </c>
      <c r="L338" s="41" t="s">
        <v>45</v>
      </c>
      <c r="M338" s="41" t="s">
        <v>46</v>
      </c>
      <c r="N338" s="41">
        <v>625000</v>
      </c>
      <c r="O338" s="41">
        <v>2015</v>
      </c>
      <c r="P338" s="41">
        <v>625000</v>
      </c>
      <c r="Q338" s="41">
        <v>2015</v>
      </c>
      <c r="R338" s="41" t="s">
        <v>46</v>
      </c>
      <c r="S338" s="41">
        <v>1</v>
      </c>
      <c r="T338" s="41">
        <v>1</v>
      </c>
      <c r="U338" s="41" t="s">
        <v>2168</v>
      </c>
      <c r="V338" s="42" t="s">
        <v>40</v>
      </c>
      <c r="W338" s="42" t="s">
        <v>2169</v>
      </c>
      <c r="X338" s="42" t="s">
        <v>40</v>
      </c>
      <c r="Y338" s="42"/>
      <c r="Z338" s="42"/>
      <c r="AA338" s="5" t="s">
        <v>2170</v>
      </c>
      <c r="AB338" s="42"/>
      <c r="AC338" s="5" t="s">
        <v>2171</v>
      </c>
      <c r="AD338" s="5"/>
      <c r="AE338" s="42">
        <v>1</v>
      </c>
      <c r="AF338" s="42" t="s">
        <v>1263</v>
      </c>
      <c r="AG338" s="42"/>
      <c r="AH338" s="42"/>
      <c r="AI338" s="42"/>
      <c r="AJ338" s="42" t="s">
        <v>57</v>
      </c>
    </row>
    <row r="339" spans="1:36" ht="17.149999999999999" hidden="1" customHeight="1">
      <c r="A339" s="1" t="s">
        <v>2172</v>
      </c>
      <c r="B339" s="1"/>
      <c r="C339" s="1" t="s">
        <v>2173</v>
      </c>
      <c r="D339" s="1"/>
      <c r="E339" s="1"/>
      <c r="F339" s="1"/>
      <c r="G339" s="1"/>
      <c r="H339" s="1" t="s">
        <v>249</v>
      </c>
      <c r="I339" s="1" t="s">
        <v>2070</v>
      </c>
      <c r="J339" s="1" t="s">
        <v>2174</v>
      </c>
      <c r="K339" s="1" t="s">
        <v>2175</v>
      </c>
      <c r="L339" s="1" t="s">
        <v>45</v>
      </c>
      <c r="M339" s="1" t="s">
        <v>46</v>
      </c>
      <c r="N339" s="1" t="s">
        <v>46</v>
      </c>
      <c r="O339" s="1" t="s">
        <v>46</v>
      </c>
      <c r="P339" s="1">
        <v>141473</v>
      </c>
      <c r="Q339" s="1">
        <v>2018</v>
      </c>
      <c r="R339" s="1" t="s">
        <v>46</v>
      </c>
      <c r="S339" s="1">
        <v>1</v>
      </c>
      <c r="T339" s="1">
        <v>1</v>
      </c>
      <c r="U339" s="1" t="s">
        <v>2176</v>
      </c>
    </row>
    <row r="340" spans="1:36" ht="17.149999999999999" hidden="1" customHeight="1">
      <c r="A340" s="1" t="s">
        <v>2177</v>
      </c>
      <c r="B340" s="1" t="s">
        <v>167</v>
      </c>
      <c r="C340" s="1" t="s">
        <v>2178</v>
      </c>
      <c r="D340" s="1"/>
      <c r="E340" s="1"/>
      <c r="F340" s="1"/>
      <c r="G340" s="1"/>
      <c r="H340" s="1" t="s">
        <v>110</v>
      </c>
      <c r="I340" s="1" t="s">
        <v>1511</v>
      </c>
      <c r="J340" s="1" t="s">
        <v>2179</v>
      </c>
      <c r="K340" s="1" t="s">
        <v>2180</v>
      </c>
      <c r="L340" s="1" t="s">
        <v>45</v>
      </c>
      <c r="M340" s="1" t="s">
        <v>46</v>
      </c>
      <c r="N340" s="1">
        <v>430000</v>
      </c>
      <c r="O340" s="1">
        <v>2019</v>
      </c>
      <c r="P340" s="1">
        <v>430000</v>
      </c>
      <c r="Q340" s="1">
        <v>2019</v>
      </c>
      <c r="R340" s="1" t="s">
        <v>46</v>
      </c>
      <c r="S340" s="1">
        <v>1</v>
      </c>
      <c r="T340" s="1">
        <v>1</v>
      </c>
      <c r="U340" s="1" t="s">
        <v>2181</v>
      </c>
    </row>
    <row r="341" spans="1:36" ht="17.149999999999999" hidden="1" customHeight="1">
      <c r="A341" s="1" t="s">
        <v>2182</v>
      </c>
      <c r="B341" s="1"/>
      <c r="C341" s="1" t="s">
        <v>2183</v>
      </c>
      <c r="D341" s="1"/>
      <c r="E341" s="1"/>
      <c r="F341" s="1"/>
      <c r="G341" s="1"/>
      <c r="H341" s="1" t="s">
        <v>268</v>
      </c>
      <c r="I341" s="1" t="s">
        <v>1404</v>
      </c>
      <c r="J341" s="1" t="s">
        <v>2184</v>
      </c>
      <c r="K341" s="1" t="s">
        <v>2185</v>
      </c>
      <c r="L341" s="1" t="s">
        <v>45</v>
      </c>
      <c r="M341" s="1" t="s">
        <v>46</v>
      </c>
      <c r="N341" s="1">
        <v>427867</v>
      </c>
      <c r="O341" s="1">
        <v>2019</v>
      </c>
      <c r="P341" s="1">
        <v>427867</v>
      </c>
      <c r="Q341" s="1">
        <v>2019</v>
      </c>
      <c r="R341" s="1" t="s">
        <v>46</v>
      </c>
      <c r="S341" s="1">
        <v>1</v>
      </c>
      <c r="T341" s="1" t="s">
        <v>46</v>
      </c>
      <c r="U341" s="1" t="s">
        <v>2186</v>
      </c>
    </row>
    <row r="342" spans="1:36" ht="17.149999999999999" hidden="1" customHeight="1">
      <c r="A342" s="1" t="s">
        <v>2187</v>
      </c>
      <c r="B342" s="1" t="s">
        <v>167</v>
      </c>
      <c r="C342" s="1" t="s">
        <v>2188</v>
      </c>
      <c r="D342" s="1"/>
      <c r="E342" s="1"/>
      <c r="F342" s="1"/>
      <c r="G342" s="1"/>
      <c r="H342" s="1" t="s">
        <v>110</v>
      </c>
      <c r="I342" s="1" t="s">
        <v>2189</v>
      </c>
      <c r="J342" s="1" t="s">
        <v>2190</v>
      </c>
      <c r="K342" s="1" t="s">
        <v>2191</v>
      </c>
      <c r="L342" s="1" t="s">
        <v>45</v>
      </c>
      <c r="M342" s="1" t="s">
        <v>46</v>
      </c>
      <c r="N342" s="1">
        <v>448544</v>
      </c>
      <c r="O342" s="1">
        <v>2017</v>
      </c>
      <c r="P342" s="1">
        <v>427200</v>
      </c>
      <c r="Q342" s="1">
        <v>2017</v>
      </c>
      <c r="R342" s="1" t="s">
        <v>46</v>
      </c>
      <c r="S342" s="1">
        <v>1</v>
      </c>
      <c r="T342" s="1">
        <v>1</v>
      </c>
      <c r="U342" s="1" t="s">
        <v>2192</v>
      </c>
    </row>
    <row r="343" spans="1:36" ht="17.149999999999999" hidden="1" customHeight="1">
      <c r="A343" s="1" t="s">
        <v>2193</v>
      </c>
      <c r="B343" s="1" t="s">
        <v>167</v>
      </c>
      <c r="C343" s="1" t="s">
        <v>2194</v>
      </c>
      <c r="D343" s="1"/>
      <c r="E343" s="1"/>
      <c r="F343" s="1"/>
      <c r="G343" s="1"/>
      <c r="H343" s="1" t="s">
        <v>110</v>
      </c>
      <c r="I343" s="1" t="s">
        <v>2195</v>
      </c>
      <c r="J343" s="1" t="s">
        <v>2196</v>
      </c>
      <c r="K343" s="1" t="s">
        <v>2197</v>
      </c>
      <c r="L343" s="1" t="s">
        <v>45</v>
      </c>
      <c r="M343" s="1" t="s">
        <v>46</v>
      </c>
      <c r="N343" s="1">
        <v>424234</v>
      </c>
      <c r="O343" s="1">
        <v>2019</v>
      </c>
      <c r="P343" s="1">
        <v>426777</v>
      </c>
      <c r="Q343" s="1">
        <v>2019</v>
      </c>
      <c r="R343" s="1" t="s">
        <v>46</v>
      </c>
      <c r="S343" s="1">
        <v>1</v>
      </c>
      <c r="T343" s="1">
        <v>1</v>
      </c>
      <c r="U343" s="1" t="s">
        <v>2198</v>
      </c>
    </row>
    <row r="344" spans="1:36" ht="17.149999999999999" hidden="1" customHeight="1">
      <c r="A344" s="1" t="s">
        <v>2199</v>
      </c>
      <c r="B344" s="1" t="s">
        <v>167</v>
      </c>
      <c r="C344" s="1" t="s">
        <v>2200</v>
      </c>
      <c r="D344" s="1"/>
      <c r="E344" s="1"/>
      <c r="F344" s="1"/>
      <c r="G344" s="1"/>
      <c r="H344" s="1" t="s">
        <v>110</v>
      </c>
      <c r="I344" s="1" t="s">
        <v>2195</v>
      </c>
      <c r="J344" s="1" t="s">
        <v>2201</v>
      </c>
      <c r="K344" s="1" t="s">
        <v>2202</v>
      </c>
      <c r="L344" s="1" t="s">
        <v>118</v>
      </c>
      <c r="M344" s="1" t="s">
        <v>2203</v>
      </c>
      <c r="N344" s="1">
        <v>424234</v>
      </c>
      <c r="O344" s="1">
        <v>2019</v>
      </c>
      <c r="P344" s="1">
        <v>426777</v>
      </c>
      <c r="Q344" s="1">
        <v>2019</v>
      </c>
      <c r="R344" s="1" t="s">
        <v>46</v>
      </c>
      <c r="S344" s="1">
        <v>1</v>
      </c>
      <c r="T344" s="1">
        <v>1</v>
      </c>
      <c r="U344" s="1" t="s">
        <v>2204</v>
      </c>
    </row>
    <row r="345" spans="1:36" ht="17.149999999999999" hidden="1" customHeight="1">
      <c r="A345" s="1" t="s">
        <v>2205</v>
      </c>
      <c r="B345" s="1"/>
      <c r="C345" s="1" t="s">
        <v>2206</v>
      </c>
      <c r="D345" s="1"/>
      <c r="E345" s="1"/>
      <c r="F345" s="1"/>
      <c r="G345" s="1"/>
      <c r="H345" s="1" t="s">
        <v>1203</v>
      </c>
      <c r="I345" s="1" t="s">
        <v>46</v>
      </c>
      <c r="J345" s="1" t="s">
        <v>2207</v>
      </c>
      <c r="K345" s="1" t="s">
        <v>2208</v>
      </c>
      <c r="L345" s="1" t="s">
        <v>45</v>
      </c>
      <c r="M345" s="1" t="s">
        <v>46</v>
      </c>
      <c r="N345" s="1" t="s">
        <v>46</v>
      </c>
      <c r="O345" s="1" t="s">
        <v>46</v>
      </c>
      <c r="P345" s="1">
        <v>424000</v>
      </c>
      <c r="Q345" s="1">
        <v>2019</v>
      </c>
      <c r="R345" s="1" t="s">
        <v>46</v>
      </c>
      <c r="S345" s="1">
        <v>1</v>
      </c>
      <c r="T345" s="1" t="s">
        <v>46</v>
      </c>
      <c r="U345" s="1" t="s">
        <v>2209</v>
      </c>
    </row>
    <row r="346" spans="1:36" ht="17.149999999999999" hidden="1" customHeight="1">
      <c r="A346" s="21" t="s">
        <v>2210</v>
      </c>
      <c r="B346" s="21"/>
      <c r="C346" s="58" t="s">
        <v>2211</v>
      </c>
      <c r="D346" s="61"/>
      <c r="E346" s="61"/>
      <c r="F346" s="61"/>
      <c r="G346" s="61"/>
      <c r="H346" s="21" t="s">
        <v>41</v>
      </c>
      <c r="I346" s="21" t="s">
        <v>63</v>
      </c>
      <c r="J346" s="21" t="s">
        <v>2212</v>
      </c>
      <c r="K346" s="21" t="s">
        <v>2213</v>
      </c>
      <c r="L346" s="21" t="s">
        <v>151</v>
      </c>
      <c r="M346" s="21" t="s">
        <v>2214</v>
      </c>
      <c r="N346" s="21">
        <v>350215</v>
      </c>
      <c r="O346" s="21">
        <v>2016</v>
      </c>
      <c r="P346" s="21">
        <v>413300</v>
      </c>
      <c r="Q346" s="21">
        <v>2016</v>
      </c>
      <c r="R346" s="21" t="s">
        <v>46</v>
      </c>
      <c r="S346" s="21">
        <v>1</v>
      </c>
      <c r="T346" s="21">
        <v>1</v>
      </c>
      <c r="U346" s="21" t="s">
        <v>2215</v>
      </c>
      <c r="V346" s="22" t="s">
        <v>103</v>
      </c>
      <c r="W346" s="22"/>
      <c r="X346" s="22"/>
      <c r="Y346" s="22"/>
      <c r="Z346" s="22"/>
      <c r="AA346" s="22"/>
      <c r="AB346" s="22"/>
      <c r="AC346" s="22"/>
      <c r="AD346" s="22"/>
      <c r="AH346" s="36"/>
      <c r="AI346" s="36"/>
      <c r="AJ346" s="36"/>
    </row>
    <row r="347" spans="1:36" ht="17.149999999999999" hidden="1" customHeight="1">
      <c r="A347" s="1" t="s">
        <v>2216</v>
      </c>
      <c r="B347" s="1" t="s">
        <v>167</v>
      </c>
      <c r="C347" s="1" t="s">
        <v>2217</v>
      </c>
      <c r="D347" s="1"/>
      <c r="E347" s="1"/>
      <c r="F347" s="1"/>
      <c r="G347" s="1"/>
      <c r="H347" s="1" t="s">
        <v>110</v>
      </c>
      <c r="I347" s="1" t="s">
        <v>1511</v>
      </c>
      <c r="J347" s="1" t="s">
        <v>2218</v>
      </c>
      <c r="K347" s="1" t="s">
        <v>2219</v>
      </c>
      <c r="L347" s="1" t="s">
        <v>118</v>
      </c>
      <c r="M347" s="1" t="s">
        <v>2220</v>
      </c>
      <c r="N347" s="1">
        <v>411994</v>
      </c>
      <c r="O347" s="1">
        <v>2015</v>
      </c>
      <c r="P347" s="1">
        <v>411994</v>
      </c>
      <c r="Q347" s="1">
        <v>2015</v>
      </c>
      <c r="R347" s="1" t="s">
        <v>46</v>
      </c>
      <c r="S347" s="1">
        <v>1</v>
      </c>
      <c r="T347" s="1">
        <v>1</v>
      </c>
      <c r="U347" s="1" t="s">
        <v>2221</v>
      </c>
    </row>
    <row r="348" spans="1:36" ht="17.149999999999999" hidden="1" customHeight="1">
      <c r="A348" s="1" t="s">
        <v>2222</v>
      </c>
      <c r="B348" s="1"/>
      <c r="C348" s="1" t="s">
        <v>2223</v>
      </c>
      <c r="D348" s="1"/>
      <c r="E348" s="1"/>
      <c r="F348" s="1"/>
      <c r="G348" s="1"/>
      <c r="H348" s="1" t="s">
        <v>1171</v>
      </c>
      <c r="I348" s="1" t="s">
        <v>46</v>
      </c>
      <c r="J348" s="1" t="s">
        <v>2117</v>
      </c>
      <c r="K348" s="1" t="s">
        <v>2224</v>
      </c>
      <c r="L348" s="1" t="s">
        <v>118</v>
      </c>
      <c r="M348" s="1" t="s">
        <v>2225</v>
      </c>
      <c r="N348" s="1">
        <v>411872</v>
      </c>
      <c r="O348" s="1">
        <v>2019</v>
      </c>
      <c r="P348" s="1">
        <v>408884</v>
      </c>
      <c r="Q348" s="1">
        <v>2015</v>
      </c>
      <c r="R348" s="1" t="s">
        <v>46</v>
      </c>
      <c r="S348" s="1">
        <v>1</v>
      </c>
      <c r="T348" s="1" t="s">
        <v>46</v>
      </c>
      <c r="U348" s="1" t="s">
        <v>2226</v>
      </c>
    </row>
    <row r="349" spans="1:36" ht="17.149999999999999" hidden="1" customHeight="1">
      <c r="A349" s="1" t="s">
        <v>2227</v>
      </c>
      <c r="B349" s="1" t="s">
        <v>167</v>
      </c>
      <c r="C349" s="1" t="s">
        <v>2228</v>
      </c>
      <c r="D349" s="1"/>
      <c r="E349" s="1"/>
      <c r="F349" s="1"/>
      <c r="G349" s="1"/>
      <c r="H349" s="1" t="s">
        <v>110</v>
      </c>
      <c r="I349" s="1" t="s">
        <v>2189</v>
      </c>
      <c r="J349" s="1" t="s">
        <v>2229</v>
      </c>
      <c r="K349" s="1" t="s">
        <v>2230</v>
      </c>
      <c r="L349" s="1" t="s">
        <v>45</v>
      </c>
      <c r="M349" s="1" t="s">
        <v>46</v>
      </c>
      <c r="N349" s="1">
        <v>405000</v>
      </c>
      <c r="O349" s="1">
        <v>2019</v>
      </c>
      <c r="P349" s="1">
        <v>405000</v>
      </c>
      <c r="Q349" s="1">
        <v>2019</v>
      </c>
      <c r="R349" s="1" t="s">
        <v>46</v>
      </c>
      <c r="S349" s="1">
        <v>1</v>
      </c>
      <c r="T349" s="1">
        <v>1</v>
      </c>
      <c r="U349" s="1" t="s">
        <v>2231</v>
      </c>
    </row>
    <row r="350" spans="1:36" ht="17.149999999999999" hidden="1" customHeight="1">
      <c r="A350" s="1" t="s">
        <v>2232</v>
      </c>
      <c r="B350" s="1"/>
      <c r="C350" s="1" t="s">
        <v>2233</v>
      </c>
      <c r="D350" s="1"/>
      <c r="E350" s="1"/>
      <c r="F350" s="1"/>
      <c r="G350" s="1"/>
      <c r="H350" s="1" t="s">
        <v>177</v>
      </c>
      <c r="I350" s="1" t="s">
        <v>1412</v>
      </c>
      <c r="J350" s="1" t="s">
        <v>2234</v>
      </c>
      <c r="K350" s="1" t="s">
        <v>2235</v>
      </c>
      <c r="L350" s="1" t="s">
        <v>118</v>
      </c>
      <c r="M350" s="1" t="s">
        <v>2236</v>
      </c>
      <c r="N350" s="1">
        <v>402443</v>
      </c>
      <c r="O350" s="1">
        <v>2018</v>
      </c>
      <c r="P350" s="1">
        <v>402443</v>
      </c>
      <c r="Q350" s="1">
        <v>2018</v>
      </c>
      <c r="R350" s="1" t="s">
        <v>46</v>
      </c>
      <c r="S350" s="1">
        <v>1</v>
      </c>
      <c r="T350" s="1">
        <v>1</v>
      </c>
      <c r="U350" s="1" t="s">
        <v>2237</v>
      </c>
    </row>
    <row r="351" spans="1:36" ht="17.149999999999999" hidden="1" customHeight="1">
      <c r="A351" s="1" t="s">
        <v>2238</v>
      </c>
      <c r="B351" s="1"/>
      <c r="C351" s="1" t="s">
        <v>2239</v>
      </c>
      <c r="D351" s="1"/>
      <c r="E351" s="1"/>
      <c r="F351" s="1"/>
      <c r="G351" s="1"/>
      <c r="H351" s="1" t="s">
        <v>177</v>
      </c>
      <c r="I351" s="1" t="s">
        <v>486</v>
      </c>
      <c r="J351" s="1" t="s">
        <v>2240</v>
      </c>
      <c r="K351" s="1" t="s">
        <v>2241</v>
      </c>
      <c r="L351" s="1" t="s">
        <v>45</v>
      </c>
      <c r="M351" s="1" t="s">
        <v>46</v>
      </c>
      <c r="N351" s="1">
        <v>400000</v>
      </c>
      <c r="O351" s="1">
        <v>2019</v>
      </c>
      <c r="P351" s="1">
        <v>400000</v>
      </c>
      <c r="Q351" s="1">
        <v>2019</v>
      </c>
      <c r="R351" s="1" t="s">
        <v>46</v>
      </c>
      <c r="S351" s="1">
        <v>1</v>
      </c>
      <c r="T351" s="1">
        <v>1</v>
      </c>
      <c r="U351" s="1" t="s">
        <v>2242</v>
      </c>
    </row>
    <row r="352" spans="1:36" ht="17.149999999999999" hidden="1" customHeight="1">
      <c r="A352" s="1" t="s">
        <v>2243</v>
      </c>
      <c r="B352" s="1"/>
      <c r="C352" s="1" t="s">
        <v>2244</v>
      </c>
      <c r="D352" s="1"/>
      <c r="E352" s="1"/>
      <c r="F352" s="1"/>
      <c r="G352" s="1"/>
      <c r="H352" s="1" t="s">
        <v>1391</v>
      </c>
      <c r="I352" s="1" t="s">
        <v>2245</v>
      </c>
      <c r="J352" s="1" t="s">
        <v>2246</v>
      </c>
      <c r="K352" s="1" t="s">
        <v>2247</v>
      </c>
      <c r="L352" s="1" t="s">
        <v>45</v>
      </c>
      <c r="M352" s="1" t="s">
        <v>46</v>
      </c>
      <c r="N352" s="1">
        <v>147318</v>
      </c>
      <c r="O352" s="1">
        <v>2019</v>
      </c>
      <c r="P352" s="1">
        <v>400000</v>
      </c>
      <c r="Q352" s="1">
        <v>2015</v>
      </c>
      <c r="R352" s="1" t="s">
        <v>46</v>
      </c>
      <c r="S352" s="1">
        <v>1</v>
      </c>
      <c r="T352" s="1">
        <v>1</v>
      </c>
      <c r="U352" s="1" t="s">
        <v>2248</v>
      </c>
      <c r="AA352" s="2" t="s">
        <v>2249</v>
      </c>
      <c r="AC352" s="2" t="s">
        <v>2250</v>
      </c>
    </row>
    <row r="353" spans="1:41" ht="17.149999999999999" hidden="1" customHeight="1">
      <c r="A353" s="1" t="s">
        <v>2251</v>
      </c>
      <c r="B353" s="1"/>
      <c r="C353" s="1" t="s">
        <v>2252</v>
      </c>
      <c r="D353" s="1"/>
      <c r="E353" s="1"/>
      <c r="F353" s="1"/>
      <c r="G353" s="1"/>
      <c r="H353" s="1" t="s">
        <v>1279</v>
      </c>
      <c r="I353" s="1" t="s">
        <v>46</v>
      </c>
      <c r="J353" s="1" t="s">
        <v>2253</v>
      </c>
      <c r="K353" s="1" t="s">
        <v>2254</v>
      </c>
      <c r="L353" s="1" t="s">
        <v>45</v>
      </c>
      <c r="M353" s="1" t="s">
        <v>46</v>
      </c>
      <c r="N353" s="1">
        <v>400000</v>
      </c>
      <c r="O353" s="1">
        <v>2015</v>
      </c>
      <c r="P353" s="1">
        <v>400000</v>
      </c>
      <c r="Q353" s="1">
        <v>2015</v>
      </c>
      <c r="R353" s="1" t="s">
        <v>46</v>
      </c>
      <c r="S353" s="1">
        <v>1</v>
      </c>
      <c r="T353" s="1">
        <v>1</v>
      </c>
      <c r="U353" s="1" t="s">
        <v>2255</v>
      </c>
    </row>
    <row r="354" spans="1:41" ht="17.149999999999999" hidden="1" customHeight="1">
      <c r="A354" s="1" t="s">
        <v>2256</v>
      </c>
      <c r="B354" s="1"/>
      <c r="C354" s="1" t="s">
        <v>2257</v>
      </c>
      <c r="D354" s="1"/>
      <c r="E354" s="1"/>
      <c r="F354" s="1"/>
      <c r="G354" s="1"/>
      <c r="H354" s="1" t="s">
        <v>2258</v>
      </c>
      <c r="I354" s="1" t="s">
        <v>46</v>
      </c>
      <c r="J354" s="1" t="s">
        <v>2259</v>
      </c>
      <c r="K354" s="1" t="s">
        <v>2260</v>
      </c>
      <c r="L354" s="1" t="s">
        <v>112</v>
      </c>
      <c r="M354" s="1" t="s">
        <v>46</v>
      </c>
      <c r="N354" s="1">
        <v>460000</v>
      </c>
      <c r="O354" s="1">
        <v>2019</v>
      </c>
      <c r="P354" s="1">
        <v>399467</v>
      </c>
      <c r="Q354" s="1">
        <v>2015</v>
      </c>
      <c r="R354" s="1" t="s">
        <v>46</v>
      </c>
      <c r="S354" s="1">
        <v>1</v>
      </c>
      <c r="T354" s="1">
        <v>1</v>
      </c>
      <c r="U354" s="1" t="s">
        <v>2261</v>
      </c>
    </row>
    <row r="355" spans="1:41" ht="17.149999999999999" hidden="1" customHeight="1">
      <c r="A355" s="1" t="s">
        <v>2262</v>
      </c>
      <c r="B355" s="1" t="s">
        <v>167</v>
      </c>
      <c r="C355" s="1" t="s">
        <v>2263</v>
      </c>
      <c r="D355" s="1"/>
      <c r="E355" s="1"/>
      <c r="F355" s="1"/>
      <c r="G355" s="1"/>
      <c r="H355" s="1" t="s">
        <v>110</v>
      </c>
      <c r="I355" s="1" t="s">
        <v>169</v>
      </c>
      <c r="J355" s="1" t="s">
        <v>2264</v>
      </c>
      <c r="K355" s="1" t="s">
        <v>2265</v>
      </c>
      <c r="L355" s="1" t="s">
        <v>45</v>
      </c>
      <c r="M355" s="1" t="s">
        <v>46</v>
      </c>
      <c r="N355" s="1">
        <v>437227</v>
      </c>
      <c r="O355" s="1">
        <v>2016</v>
      </c>
      <c r="P355" s="1">
        <v>397876</v>
      </c>
      <c r="Q355" s="1">
        <v>2016</v>
      </c>
      <c r="R355" s="1" t="s">
        <v>46</v>
      </c>
      <c r="S355" s="1">
        <v>1</v>
      </c>
      <c r="T355" s="1">
        <v>1</v>
      </c>
      <c r="U355" s="1" t="s">
        <v>2266</v>
      </c>
    </row>
    <row r="356" spans="1:41" ht="17.149999999999999" hidden="1" customHeight="1">
      <c r="A356" s="1" t="s">
        <v>2267</v>
      </c>
      <c r="B356" s="1"/>
      <c r="C356" s="1" t="s">
        <v>2268</v>
      </c>
      <c r="D356" s="1"/>
      <c r="E356" s="1"/>
      <c r="F356" s="1"/>
      <c r="G356" s="1"/>
      <c r="H356" s="1" t="s">
        <v>268</v>
      </c>
      <c r="I356" s="1" t="s">
        <v>1404</v>
      </c>
      <c r="J356" s="1" t="s">
        <v>2269</v>
      </c>
      <c r="K356" s="1" t="s">
        <v>2270</v>
      </c>
      <c r="L356" s="1" t="s">
        <v>45</v>
      </c>
      <c r="M356" s="1" t="s">
        <v>46</v>
      </c>
      <c r="N356" s="1" t="s">
        <v>46</v>
      </c>
      <c r="O356" s="1" t="s">
        <v>46</v>
      </c>
      <c r="P356" s="1">
        <v>397753</v>
      </c>
      <c r="Q356" s="1">
        <v>2019</v>
      </c>
      <c r="R356" s="1" t="s">
        <v>46</v>
      </c>
      <c r="S356" s="1">
        <v>1</v>
      </c>
      <c r="T356" s="1">
        <v>1</v>
      </c>
      <c r="U356" s="1" t="s">
        <v>2271</v>
      </c>
    </row>
    <row r="357" spans="1:41" ht="17.149999999999999" hidden="1" customHeight="1">
      <c r="A357" s="1" t="s">
        <v>2272</v>
      </c>
      <c r="B357" s="1"/>
      <c r="C357" s="1" t="s">
        <v>2273</v>
      </c>
      <c r="D357" s="1"/>
      <c r="E357" s="1"/>
      <c r="F357" s="1"/>
      <c r="G357" s="1"/>
      <c r="H357" s="1" t="s">
        <v>1753</v>
      </c>
      <c r="I357" s="1" t="s">
        <v>46</v>
      </c>
      <c r="J357" s="1" t="s">
        <v>2274</v>
      </c>
      <c r="K357" s="1" t="s">
        <v>2275</v>
      </c>
      <c r="L357" s="1" t="s">
        <v>118</v>
      </c>
      <c r="M357" s="1" t="s">
        <v>46</v>
      </c>
      <c r="N357" s="1">
        <v>630952</v>
      </c>
      <c r="O357" s="1">
        <v>2023</v>
      </c>
      <c r="P357" s="1">
        <v>395337</v>
      </c>
      <c r="Q357" s="1">
        <v>2023</v>
      </c>
      <c r="R357" s="1" t="s">
        <v>46</v>
      </c>
      <c r="S357" s="1">
        <v>1</v>
      </c>
      <c r="T357" s="1" t="s">
        <v>46</v>
      </c>
      <c r="U357" s="1" t="s">
        <v>2276</v>
      </c>
    </row>
    <row r="358" spans="1:41" ht="17.149999999999999" customHeight="1">
      <c r="A358" s="41" t="s">
        <v>2277</v>
      </c>
      <c r="B358" s="41" t="s">
        <v>37</v>
      </c>
      <c r="C358" s="41" t="s">
        <v>2278</v>
      </c>
      <c r="D358" s="144" t="s">
        <v>2279</v>
      </c>
      <c r="E358" s="1" t="s">
        <v>2280</v>
      </c>
      <c r="F358" s="1" t="s">
        <v>62</v>
      </c>
      <c r="G358" s="1" t="s">
        <v>40</v>
      </c>
      <c r="H358" s="41" t="s">
        <v>1203</v>
      </c>
      <c r="I358" s="41" t="s">
        <v>46</v>
      </c>
      <c r="J358" s="41" t="s">
        <v>2281</v>
      </c>
      <c r="K358" s="41" t="s">
        <v>2282</v>
      </c>
      <c r="L358" s="41" t="s">
        <v>45</v>
      </c>
      <c r="M358" s="41" t="s">
        <v>46</v>
      </c>
      <c r="N358" s="41" t="s">
        <v>46</v>
      </c>
      <c r="O358" s="41" t="s">
        <v>46</v>
      </c>
      <c r="P358" s="41">
        <v>1300000</v>
      </c>
      <c r="Q358" s="41">
        <v>2019</v>
      </c>
      <c r="R358" s="41" t="s">
        <v>46</v>
      </c>
      <c r="S358" s="41">
        <v>1</v>
      </c>
      <c r="T358" s="41" t="s">
        <v>46</v>
      </c>
      <c r="U358" s="41" t="s">
        <v>2283</v>
      </c>
      <c r="V358" s="42" t="s">
        <v>40</v>
      </c>
      <c r="W358" s="42" t="s">
        <v>411</v>
      </c>
      <c r="X358" s="85" t="s">
        <v>40</v>
      </c>
      <c r="Y358" s="85"/>
      <c r="Z358" s="42" t="s">
        <v>2284</v>
      </c>
      <c r="AA358" s="42" t="s">
        <v>2285</v>
      </c>
      <c r="AB358" s="42"/>
      <c r="AC358" s="5" t="s">
        <v>2286</v>
      </c>
      <c r="AD358" s="42"/>
      <c r="AE358" s="42">
        <v>1</v>
      </c>
      <c r="AF358" s="42" t="s">
        <v>53</v>
      </c>
      <c r="AG358" s="42" t="s">
        <v>2094</v>
      </c>
      <c r="AJ358" s="42" t="s">
        <v>57</v>
      </c>
    </row>
    <row r="359" spans="1:41" s="85" customFormat="1" ht="17.149999999999999" customHeight="1">
      <c r="A359" s="41" t="s">
        <v>2287</v>
      </c>
      <c r="B359" s="41" t="s">
        <v>37</v>
      </c>
      <c r="C359" s="41" t="s">
        <v>2288</v>
      </c>
      <c r="D359" s="144" t="s">
        <v>2289</v>
      </c>
      <c r="E359" s="1" t="s">
        <v>2290</v>
      </c>
      <c r="F359" s="1" t="s">
        <v>62</v>
      </c>
      <c r="G359" s="1" t="s">
        <v>40</v>
      </c>
      <c r="H359" s="41" t="s">
        <v>1203</v>
      </c>
      <c r="I359" s="41" t="s">
        <v>46</v>
      </c>
      <c r="J359" s="41" t="s">
        <v>2291</v>
      </c>
      <c r="K359" s="41" t="s">
        <v>2292</v>
      </c>
      <c r="L359" s="41" t="s">
        <v>45</v>
      </c>
      <c r="M359" s="41" t="s">
        <v>46</v>
      </c>
      <c r="N359" s="41" t="s">
        <v>46</v>
      </c>
      <c r="O359" s="41" t="s">
        <v>46</v>
      </c>
      <c r="P359" s="41">
        <v>250000</v>
      </c>
      <c r="Q359" s="41">
        <v>2019</v>
      </c>
      <c r="R359" s="41" t="s">
        <v>46</v>
      </c>
      <c r="S359" s="41">
        <v>1</v>
      </c>
      <c r="T359" s="41" t="s">
        <v>46</v>
      </c>
      <c r="U359" s="41" t="s">
        <v>2293</v>
      </c>
      <c r="V359" s="42" t="s">
        <v>40</v>
      </c>
      <c r="W359" s="42" t="s">
        <v>411</v>
      </c>
      <c r="X359" s="85" t="s">
        <v>40</v>
      </c>
      <c r="Z359" s="42" t="s">
        <v>2294</v>
      </c>
      <c r="AA359" s="42" t="s">
        <v>2295</v>
      </c>
      <c r="AB359" s="42"/>
      <c r="AC359" s="42" t="s">
        <v>2296</v>
      </c>
      <c r="AD359" s="42"/>
      <c r="AE359" s="42">
        <v>1</v>
      </c>
      <c r="AF359" s="42" t="s">
        <v>53</v>
      </c>
      <c r="AG359" s="42" t="s">
        <v>2094</v>
      </c>
      <c r="AH359" s="2"/>
      <c r="AI359" s="2"/>
      <c r="AJ359" s="2" t="s">
        <v>57</v>
      </c>
      <c r="AK359" s="2"/>
      <c r="AL359" s="2"/>
      <c r="AM359" s="2"/>
      <c r="AN359" s="2"/>
      <c r="AO359" s="2"/>
    </row>
    <row r="360" spans="1:41" s="42" customFormat="1" ht="17.149999999999999" hidden="1" customHeight="1">
      <c r="A360" s="1" t="s">
        <v>2297</v>
      </c>
      <c r="B360" s="1"/>
      <c r="C360" s="1" t="s">
        <v>2298</v>
      </c>
      <c r="D360" s="1"/>
      <c r="E360" s="1"/>
      <c r="F360" s="1"/>
      <c r="G360" s="1"/>
      <c r="H360" s="1" t="s">
        <v>1203</v>
      </c>
      <c r="I360" s="1" t="s">
        <v>46</v>
      </c>
      <c r="J360" s="1" t="s">
        <v>2299</v>
      </c>
      <c r="K360" s="1" t="s">
        <v>2300</v>
      </c>
      <c r="L360" s="1" t="s">
        <v>45</v>
      </c>
      <c r="M360" s="1" t="s">
        <v>46</v>
      </c>
      <c r="N360" s="1" t="s">
        <v>46</v>
      </c>
      <c r="O360" s="1" t="s">
        <v>46</v>
      </c>
      <c r="P360" s="1">
        <v>390000</v>
      </c>
      <c r="Q360" s="1">
        <v>2015</v>
      </c>
      <c r="R360" s="1" t="s">
        <v>46</v>
      </c>
      <c r="S360" s="1">
        <v>1</v>
      </c>
      <c r="T360" s="1" t="s">
        <v>46</v>
      </c>
      <c r="U360" s="1" t="s">
        <v>2301</v>
      </c>
      <c r="V360" s="2"/>
      <c r="W360" s="2"/>
      <c r="X360" s="2"/>
      <c r="Y360" s="2"/>
      <c r="Z360" s="2"/>
      <c r="AA360" s="2"/>
      <c r="AB360" s="2"/>
      <c r="AC360" s="2"/>
      <c r="AD360" s="2"/>
      <c r="AE360" s="2"/>
      <c r="AF360" s="2"/>
      <c r="AG360" s="2"/>
      <c r="AH360" s="2"/>
      <c r="AI360" s="2"/>
      <c r="AJ360" s="2"/>
    </row>
    <row r="361" spans="1:41" ht="17.149999999999999" hidden="1" customHeight="1">
      <c r="A361" s="1" t="s">
        <v>2302</v>
      </c>
      <c r="B361" s="1" t="s">
        <v>167</v>
      </c>
      <c r="C361" s="1" t="s">
        <v>2303</v>
      </c>
      <c r="D361" s="1"/>
      <c r="E361" s="1"/>
      <c r="F361" s="1"/>
      <c r="G361" s="1"/>
      <c r="H361" s="1" t="s">
        <v>110</v>
      </c>
      <c r="I361" s="1" t="s">
        <v>2304</v>
      </c>
      <c r="J361" s="1" t="s">
        <v>2305</v>
      </c>
      <c r="K361" s="1" t="s">
        <v>2306</v>
      </c>
      <c r="L361" s="1" t="s">
        <v>45</v>
      </c>
      <c r="M361" s="1" t="s">
        <v>46</v>
      </c>
      <c r="N361" s="1">
        <v>428000</v>
      </c>
      <c r="O361" s="1">
        <v>2019</v>
      </c>
      <c r="P361" s="1">
        <v>389598</v>
      </c>
      <c r="Q361" s="1">
        <v>2015</v>
      </c>
      <c r="R361" s="1" t="s">
        <v>46</v>
      </c>
      <c r="S361" s="1">
        <v>1</v>
      </c>
      <c r="T361" s="1">
        <v>1</v>
      </c>
      <c r="U361" s="1" t="s">
        <v>2307</v>
      </c>
    </row>
    <row r="362" spans="1:41" ht="17.149999999999999" hidden="1" customHeight="1">
      <c r="A362" s="1" t="s">
        <v>2308</v>
      </c>
      <c r="B362" s="1"/>
      <c r="C362" s="1" t="s">
        <v>2309</v>
      </c>
      <c r="D362" s="1"/>
      <c r="E362" s="1"/>
      <c r="F362" s="1"/>
      <c r="G362" s="1"/>
      <c r="H362" s="1" t="s">
        <v>177</v>
      </c>
      <c r="I362" s="1" t="s">
        <v>345</v>
      </c>
      <c r="J362" s="1" t="s">
        <v>2310</v>
      </c>
      <c r="K362" s="1" t="s">
        <v>2311</v>
      </c>
      <c r="L362" s="1" t="s">
        <v>118</v>
      </c>
      <c r="M362" s="1" t="s">
        <v>2312</v>
      </c>
      <c r="N362" s="1">
        <v>384874</v>
      </c>
      <c r="O362" s="1">
        <v>2018</v>
      </c>
      <c r="P362" s="1">
        <v>384874</v>
      </c>
      <c r="Q362" s="1">
        <v>2018</v>
      </c>
      <c r="R362" s="1" t="s">
        <v>46</v>
      </c>
      <c r="S362" s="1">
        <v>1</v>
      </c>
      <c r="T362" s="1">
        <v>1</v>
      </c>
      <c r="U362" s="1" t="s">
        <v>2313</v>
      </c>
    </row>
    <row r="363" spans="1:41" ht="17.149999999999999" hidden="1" customHeight="1">
      <c r="A363" s="1" t="s">
        <v>2314</v>
      </c>
      <c r="B363" s="1"/>
      <c r="C363" s="1" t="s">
        <v>2315</v>
      </c>
      <c r="D363" s="1"/>
      <c r="E363" s="1"/>
      <c r="F363" s="1"/>
      <c r="G363" s="1"/>
      <c r="H363" s="1" t="s">
        <v>249</v>
      </c>
      <c r="I363" s="1" t="s">
        <v>2316</v>
      </c>
      <c r="J363" s="1" t="s">
        <v>2317</v>
      </c>
      <c r="K363" s="1" t="s">
        <v>2318</v>
      </c>
      <c r="L363" s="1" t="s">
        <v>45</v>
      </c>
      <c r="M363" s="1" t="s">
        <v>2319</v>
      </c>
      <c r="N363" s="1" t="s">
        <v>46</v>
      </c>
      <c r="O363" s="1" t="s">
        <v>46</v>
      </c>
      <c r="P363" s="1">
        <v>137597</v>
      </c>
      <c r="Q363" s="1">
        <v>2018</v>
      </c>
      <c r="R363" s="1" t="s">
        <v>46</v>
      </c>
      <c r="S363" s="1">
        <v>1</v>
      </c>
      <c r="T363" s="1">
        <v>1</v>
      </c>
      <c r="U363" s="1" t="s">
        <v>2320</v>
      </c>
    </row>
    <row r="364" spans="1:41" ht="17.149999999999999" hidden="1" customHeight="1">
      <c r="A364" s="41" t="s">
        <v>2321</v>
      </c>
      <c r="B364" s="41" t="s">
        <v>37</v>
      </c>
      <c r="C364" s="41" t="s">
        <v>2322</v>
      </c>
      <c r="D364" s="1"/>
      <c r="E364" s="1"/>
      <c r="F364" s="1"/>
      <c r="G364" s="1"/>
      <c r="H364" s="41" t="s">
        <v>1203</v>
      </c>
      <c r="I364" s="41" t="s">
        <v>46</v>
      </c>
      <c r="J364" s="41" t="s">
        <v>2323</v>
      </c>
      <c r="K364" s="41" t="s">
        <v>2324</v>
      </c>
      <c r="L364" s="41" t="s">
        <v>45</v>
      </c>
      <c r="M364" s="41" t="s">
        <v>46</v>
      </c>
      <c r="N364" s="41" t="s">
        <v>46</v>
      </c>
      <c r="O364" s="41" t="s">
        <v>46</v>
      </c>
      <c r="P364" s="41">
        <v>383100</v>
      </c>
      <c r="Q364" s="41">
        <v>2019</v>
      </c>
      <c r="R364" s="41" t="s">
        <v>46</v>
      </c>
      <c r="S364" s="41">
        <v>1</v>
      </c>
      <c r="T364" s="41" t="s">
        <v>46</v>
      </c>
      <c r="U364" s="41" t="s">
        <v>2325</v>
      </c>
      <c r="V364" s="42"/>
      <c r="W364" s="42"/>
      <c r="X364" s="84" t="s">
        <v>103</v>
      </c>
      <c r="Y364" s="84"/>
      <c r="Z364" s="42"/>
      <c r="AA364" s="42" t="s">
        <v>2326</v>
      </c>
      <c r="AB364" s="42"/>
      <c r="AC364" s="42"/>
      <c r="AD364" s="42"/>
      <c r="AE364" s="42">
        <v>4</v>
      </c>
      <c r="AF364" s="42" t="s">
        <v>2327</v>
      </c>
      <c r="AG364" s="42" t="s">
        <v>2094</v>
      </c>
    </row>
    <row r="365" spans="1:41" ht="17.149999999999999" hidden="1" customHeight="1">
      <c r="A365" s="1" t="s">
        <v>2328</v>
      </c>
      <c r="B365" s="1"/>
      <c r="C365" s="1" t="s">
        <v>2329</v>
      </c>
      <c r="D365" s="1"/>
      <c r="E365" s="1"/>
      <c r="F365" s="1"/>
      <c r="G365" s="1"/>
      <c r="H365" s="1" t="s">
        <v>598</v>
      </c>
      <c r="I365" s="1" t="s">
        <v>2330</v>
      </c>
      <c r="J365" s="1" t="s">
        <v>2331</v>
      </c>
      <c r="K365" s="1" t="s">
        <v>2332</v>
      </c>
      <c r="L365" s="1" t="s">
        <v>45</v>
      </c>
      <c r="M365" s="1" t="s">
        <v>46</v>
      </c>
      <c r="N365" s="1">
        <v>330000</v>
      </c>
      <c r="O365" s="1">
        <v>2018</v>
      </c>
      <c r="P365" s="1">
        <v>382910</v>
      </c>
      <c r="Q365" s="1">
        <v>2018</v>
      </c>
      <c r="R365" s="1" t="s">
        <v>46</v>
      </c>
      <c r="S365" s="1">
        <v>1</v>
      </c>
      <c r="T365" s="1">
        <v>1</v>
      </c>
      <c r="U365" s="1" t="s">
        <v>2333</v>
      </c>
    </row>
    <row r="366" spans="1:41" ht="17.149999999999999" hidden="1" customHeight="1">
      <c r="A366" s="1" t="s">
        <v>2334</v>
      </c>
      <c r="B366" s="1"/>
      <c r="C366" s="1" t="s">
        <v>2335</v>
      </c>
      <c r="D366" s="1"/>
      <c r="E366" s="1"/>
      <c r="F366" s="1"/>
      <c r="G366" s="1"/>
      <c r="H366" s="1" t="s">
        <v>268</v>
      </c>
      <c r="I366" s="1" t="s">
        <v>1404</v>
      </c>
      <c r="J366" s="1" t="s">
        <v>2336</v>
      </c>
      <c r="K366" s="1" t="s">
        <v>2337</v>
      </c>
      <c r="L366" s="1" t="s">
        <v>45</v>
      </c>
      <c r="M366" s="1" t="s">
        <v>46</v>
      </c>
      <c r="N366" s="1">
        <v>205224</v>
      </c>
      <c r="O366" s="1">
        <v>2019</v>
      </c>
      <c r="P366" s="1">
        <v>382866</v>
      </c>
      <c r="Q366" s="1">
        <v>2015</v>
      </c>
      <c r="R366" s="1" t="s">
        <v>46</v>
      </c>
      <c r="S366" s="1">
        <v>1</v>
      </c>
      <c r="T366" s="1">
        <v>1</v>
      </c>
      <c r="U366" s="1" t="s">
        <v>2338</v>
      </c>
    </row>
    <row r="367" spans="1:41" ht="17.149999999999999" hidden="1" customHeight="1">
      <c r="A367" s="1" t="s">
        <v>2339</v>
      </c>
      <c r="B367" s="1"/>
      <c r="C367" s="1" t="s">
        <v>2340</v>
      </c>
      <c r="D367" s="1"/>
      <c r="E367" s="1"/>
      <c r="F367" s="1"/>
      <c r="G367" s="1"/>
      <c r="H367" s="1" t="s">
        <v>674</v>
      </c>
      <c r="I367" s="1" t="s">
        <v>46</v>
      </c>
      <c r="J367" s="1" t="s">
        <v>2341</v>
      </c>
      <c r="K367" s="1" t="s">
        <v>2342</v>
      </c>
      <c r="L367" s="1" t="s">
        <v>45</v>
      </c>
      <c r="M367" s="1" t="s">
        <v>46</v>
      </c>
      <c r="N367" s="1">
        <v>472926</v>
      </c>
      <c r="O367" s="1">
        <v>2016</v>
      </c>
      <c r="P367" s="1">
        <v>381557</v>
      </c>
      <c r="Q367" s="1">
        <v>2016</v>
      </c>
      <c r="R367" s="1" t="s">
        <v>46</v>
      </c>
      <c r="S367" s="1">
        <v>1</v>
      </c>
      <c r="T367" s="1">
        <v>1</v>
      </c>
      <c r="U367" s="1" t="s">
        <v>2343</v>
      </c>
    </row>
    <row r="368" spans="1:41" ht="17.149999999999999" hidden="1" customHeight="1">
      <c r="A368" s="1" t="s">
        <v>2344</v>
      </c>
      <c r="B368" s="1" t="s">
        <v>772</v>
      </c>
      <c r="C368" s="1" t="s">
        <v>2345</v>
      </c>
      <c r="D368" s="1"/>
      <c r="E368" s="1"/>
      <c r="F368" s="1"/>
      <c r="G368" s="1"/>
      <c r="H368" s="1" t="s">
        <v>1279</v>
      </c>
      <c r="I368" s="1" t="s">
        <v>46</v>
      </c>
      <c r="J368" s="1" t="s">
        <v>2346</v>
      </c>
      <c r="K368" s="1" t="s">
        <v>2347</v>
      </c>
      <c r="L368" s="1" t="s">
        <v>45</v>
      </c>
      <c r="M368" s="1" t="s">
        <v>46</v>
      </c>
      <c r="N368" s="1">
        <v>380000</v>
      </c>
      <c r="O368" s="1">
        <v>2018</v>
      </c>
      <c r="P368" s="1">
        <v>380000</v>
      </c>
      <c r="Q368" s="1">
        <v>2018</v>
      </c>
      <c r="R368" s="1" t="s">
        <v>46</v>
      </c>
      <c r="S368" s="1">
        <v>1</v>
      </c>
      <c r="T368" s="1" t="s">
        <v>46</v>
      </c>
      <c r="U368" s="34" t="s">
        <v>2348</v>
      </c>
      <c r="X368" s="2" t="s">
        <v>2349</v>
      </c>
    </row>
    <row r="369" spans="1:36" ht="17.149999999999999" hidden="1" customHeight="1">
      <c r="A369" s="1" t="s">
        <v>2350</v>
      </c>
      <c r="B369" s="1"/>
      <c r="C369" s="1" t="s">
        <v>2351</v>
      </c>
      <c r="D369" s="1"/>
      <c r="E369" s="1"/>
      <c r="F369" s="1"/>
      <c r="G369" s="1"/>
      <c r="H369" s="1" t="s">
        <v>1367</v>
      </c>
      <c r="I369" s="1" t="s">
        <v>46</v>
      </c>
      <c r="J369" s="1" t="s">
        <v>2352</v>
      </c>
      <c r="K369" s="1" t="s">
        <v>2353</v>
      </c>
      <c r="L369" s="1" t="s">
        <v>45</v>
      </c>
      <c r="M369" s="1" t="s">
        <v>46</v>
      </c>
      <c r="N369" s="1">
        <v>470079</v>
      </c>
      <c r="O369" s="1">
        <v>2017</v>
      </c>
      <c r="P369" s="1">
        <v>372093</v>
      </c>
      <c r="Q369" s="1">
        <v>2017</v>
      </c>
      <c r="R369" s="1" t="s">
        <v>46</v>
      </c>
      <c r="S369" s="1">
        <v>1</v>
      </c>
      <c r="T369" s="1">
        <v>1</v>
      </c>
      <c r="U369" s="1" t="s">
        <v>2354</v>
      </c>
    </row>
    <row r="370" spans="1:36" ht="17.149999999999999" hidden="1" customHeight="1">
      <c r="A370" s="1" t="s">
        <v>2355</v>
      </c>
      <c r="B370" s="1" t="s">
        <v>167</v>
      </c>
      <c r="C370" s="1" t="s">
        <v>2356</v>
      </c>
      <c r="D370" s="1"/>
      <c r="E370" s="1"/>
      <c r="F370" s="1"/>
      <c r="G370" s="1"/>
      <c r="H370" s="1" t="s">
        <v>110</v>
      </c>
      <c r="I370" s="1" t="s">
        <v>1511</v>
      </c>
      <c r="J370" s="1" t="s">
        <v>2357</v>
      </c>
      <c r="K370" s="1" t="s">
        <v>2358</v>
      </c>
      <c r="L370" s="1" t="s">
        <v>118</v>
      </c>
      <c r="M370" s="1" t="s">
        <v>2359</v>
      </c>
      <c r="N370" s="1">
        <v>370478</v>
      </c>
      <c r="O370" s="1">
        <v>2019</v>
      </c>
      <c r="P370" s="1">
        <v>370478</v>
      </c>
      <c r="Q370" s="1">
        <v>2019</v>
      </c>
      <c r="R370" s="1" t="s">
        <v>46</v>
      </c>
      <c r="S370" s="1">
        <v>1</v>
      </c>
      <c r="T370" s="1">
        <v>1</v>
      </c>
      <c r="U370" s="1" t="s">
        <v>2360</v>
      </c>
    </row>
    <row r="371" spans="1:36" ht="17.149999999999999" hidden="1" customHeight="1">
      <c r="A371" s="1" t="s">
        <v>2361</v>
      </c>
      <c r="B371" s="1"/>
      <c r="C371" s="1" t="s">
        <v>2362</v>
      </c>
      <c r="D371" s="1"/>
      <c r="E371" s="1"/>
      <c r="F371" s="1"/>
      <c r="G371" s="1"/>
      <c r="H371" s="1" t="s">
        <v>674</v>
      </c>
      <c r="I371" s="1" t="s">
        <v>46</v>
      </c>
      <c r="J371" s="1" t="s">
        <v>2363</v>
      </c>
      <c r="K371" s="1" t="s">
        <v>2364</v>
      </c>
      <c r="L371" s="1" t="s">
        <v>45</v>
      </c>
      <c r="M371" s="1" t="s">
        <v>46</v>
      </c>
      <c r="N371" s="1">
        <v>426028</v>
      </c>
      <c r="O371" s="1">
        <v>2015</v>
      </c>
      <c r="P371" s="1">
        <v>370000</v>
      </c>
      <c r="Q371" s="1">
        <v>2015</v>
      </c>
      <c r="R371" s="1" t="s">
        <v>46</v>
      </c>
      <c r="S371" s="1">
        <v>1</v>
      </c>
      <c r="T371" s="1">
        <v>1</v>
      </c>
      <c r="U371" s="1" t="s">
        <v>2365</v>
      </c>
    </row>
    <row r="372" spans="1:36" ht="17.149999999999999" customHeight="1">
      <c r="A372" s="1" t="s">
        <v>1256</v>
      </c>
      <c r="B372" s="1" t="s">
        <v>37</v>
      </c>
      <c r="C372" s="1" t="s">
        <v>2366</v>
      </c>
      <c r="D372" s="1" t="s">
        <v>2367</v>
      </c>
      <c r="E372" s="1" t="s">
        <v>2368</v>
      </c>
      <c r="F372" s="1" t="s">
        <v>2366</v>
      </c>
      <c r="G372" s="1" t="s">
        <v>40</v>
      </c>
      <c r="H372" s="1" t="s">
        <v>41</v>
      </c>
      <c r="I372" s="14" t="s">
        <v>63</v>
      </c>
      <c r="J372" s="14" t="s">
        <v>951</v>
      </c>
      <c r="K372" s="14" t="s">
        <v>2369</v>
      </c>
      <c r="L372" s="14" t="s">
        <v>45</v>
      </c>
      <c r="M372" s="1"/>
      <c r="N372" s="1"/>
      <c r="O372" s="1"/>
      <c r="P372" s="1"/>
      <c r="Q372" s="1"/>
      <c r="R372" s="1"/>
      <c r="S372" s="1"/>
      <c r="T372" s="1"/>
      <c r="U372" s="1"/>
      <c r="W372" s="6" t="s">
        <v>1354</v>
      </c>
      <c r="X372" s="33" t="s">
        <v>40</v>
      </c>
      <c r="Y372" s="33"/>
      <c r="Z372" s="6" t="s">
        <v>2370</v>
      </c>
      <c r="AA372" s="6" t="s">
        <v>2371</v>
      </c>
      <c r="AB372" s="6"/>
      <c r="AC372" s="6" t="s">
        <v>956</v>
      </c>
      <c r="AD372" s="6" t="s">
        <v>40</v>
      </c>
    </row>
    <row r="373" spans="1:36" ht="17.149999999999999" hidden="1" customHeight="1">
      <c r="A373" s="14" t="s">
        <v>2372</v>
      </c>
      <c r="B373" s="14" t="s">
        <v>37</v>
      </c>
      <c r="C373" s="62" t="s">
        <v>2373</v>
      </c>
      <c r="D373" s="61"/>
      <c r="E373" s="61"/>
      <c r="F373" s="61"/>
      <c r="G373" s="61"/>
      <c r="H373" s="14" t="s">
        <v>41</v>
      </c>
      <c r="I373" s="14" t="s">
        <v>63</v>
      </c>
      <c r="J373" s="14" t="s">
        <v>951</v>
      </c>
      <c r="K373" s="14" t="s">
        <v>2369</v>
      </c>
      <c r="L373" s="14" t="s">
        <v>45</v>
      </c>
      <c r="M373" s="14" t="s">
        <v>46</v>
      </c>
      <c r="N373" s="14">
        <v>4600000</v>
      </c>
      <c r="O373" s="14">
        <v>2016</v>
      </c>
      <c r="P373" s="14">
        <v>2200000</v>
      </c>
      <c r="Q373" s="14">
        <v>2016</v>
      </c>
      <c r="R373" s="14" t="s">
        <v>46</v>
      </c>
      <c r="S373" s="14">
        <v>1</v>
      </c>
      <c r="T373" s="14">
        <v>1</v>
      </c>
      <c r="U373" s="14" t="s">
        <v>2374</v>
      </c>
      <c r="V373" s="6" t="s">
        <v>40</v>
      </c>
      <c r="W373" s="6" t="s">
        <v>1354</v>
      </c>
      <c r="X373" s="33" t="s">
        <v>2375</v>
      </c>
      <c r="Y373" s="33"/>
      <c r="Z373" s="6"/>
      <c r="AA373" s="6"/>
      <c r="AB373" s="6"/>
      <c r="AC373" s="6" t="s">
        <v>956</v>
      </c>
      <c r="AD373" s="6" t="s">
        <v>40</v>
      </c>
      <c r="AJ373" s="2" t="s">
        <v>57</v>
      </c>
    </row>
    <row r="374" spans="1:36" ht="17.149999999999999" hidden="1" customHeight="1">
      <c r="A374" s="1" t="s">
        <v>2376</v>
      </c>
      <c r="B374" s="1"/>
      <c r="C374" s="1" t="s">
        <v>2377</v>
      </c>
      <c r="D374" s="1"/>
      <c r="E374" s="1"/>
      <c r="F374" s="1"/>
      <c r="G374" s="1"/>
      <c r="H374" s="1" t="s">
        <v>249</v>
      </c>
      <c r="I374" s="1" t="s">
        <v>2378</v>
      </c>
      <c r="J374" s="1" t="s">
        <v>2379</v>
      </c>
      <c r="K374" s="1" t="s">
        <v>2380</v>
      </c>
      <c r="L374" s="1" t="s">
        <v>45</v>
      </c>
      <c r="M374" s="1" t="s">
        <v>46</v>
      </c>
      <c r="N374" s="1" t="s">
        <v>46</v>
      </c>
      <c r="O374" s="1" t="s">
        <v>46</v>
      </c>
      <c r="P374" s="1">
        <v>131094</v>
      </c>
      <c r="Q374" s="1">
        <v>2018</v>
      </c>
      <c r="R374" s="1" t="s">
        <v>46</v>
      </c>
      <c r="S374" s="1">
        <v>1</v>
      </c>
      <c r="T374" s="1">
        <v>1</v>
      </c>
      <c r="U374" s="1" t="s">
        <v>2381</v>
      </c>
    </row>
    <row r="375" spans="1:36" ht="17.149999999999999" hidden="1" customHeight="1">
      <c r="A375" s="1" t="s">
        <v>2382</v>
      </c>
      <c r="B375" s="1" t="s">
        <v>167</v>
      </c>
      <c r="C375" s="1" t="s">
        <v>2383</v>
      </c>
      <c r="D375" s="1"/>
      <c r="E375" s="1"/>
      <c r="F375" s="1"/>
      <c r="G375" s="1"/>
      <c r="H375" s="1" t="s">
        <v>110</v>
      </c>
      <c r="I375" s="1" t="s">
        <v>307</v>
      </c>
      <c r="J375" s="1" t="s">
        <v>2384</v>
      </c>
      <c r="K375" s="1" t="s">
        <v>2385</v>
      </c>
      <c r="L375" s="1" t="s">
        <v>45</v>
      </c>
      <c r="M375" s="1" t="s">
        <v>46</v>
      </c>
      <c r="N375" s="1">
        <v>602562</v>
      </c>
      <c r="O375" s="1">
        <v>2019</v>
      </c>
      <c r="P375" s="1">
        <v>362682</v>
      </c>
      <c r="Q375" s="1">
        <v>2015</v>
      </c>
      <c r="R375" s="1" t="s">
        <v>46</v>
      </c>
      <c r="S375" s="1">
        <v>1</v>
      </c>
      <c r="T375" s="1">
        <v>1</v>
      </c>
      <c r="U375" s="1" t="s">
        <v>2386</v>
      </c>
    </row>
    <row r="376" spans="1:36" ht="17.149999999999999" hidden="1" customHeight="1">
      <c r="A376" s="1" t="s">
        <v>2387</v>
      </c>
      <c r="B376" s="1"/>
      <c r="C376" s="1" t="s">
        <v>2388</v>
      </c>
      <c r="D376" s="1"/>
      <c r="E376" s="1"/>
      <c r="F376" s="1"/>
      <c r="G376" s="1"/>
      <c r="H376" s="1" t="s">
        <v>177</v>
      </c>
      <c r="I376" s="1" t="s">
        <v>236</v>
      </c>
      <c r="J376" s="1" t="s">
        <v>2389</v>
      </c>
      <c r="K376" s="1" t="s">
        <v>2390</v>
      </c>
      <c r="L376" s="1" t="s">
        <v>118</v>
      </c>
      <c r="M376" s="1" t="s">
        <v>2391</v>
      </c>
      <c r="N376" s="1">
        <v>668817</v>
      </c>
      <c r="O376" s="1">
        <v>2019</v>
      </c>
      <c r="P376" s="1">
        <v>360629</v>
      </c>
      <c r="Q376" s="1">
        <v>2019</v>
      </c>
      <c r="R376" s="1" t="s">
        <v>46</v>
      </c>
      <c r="S376" s="1">
        <v>1</v>
      </c>
      <c r="T376" s="1">
        <v>1</v>
      </c>
      <c r="U376" s="1" t="s">
        <v>2392</v>
      </c>
    </row>
    <row r="377" spans="1:36" ht="17.149999999999999" hidden="1" customHeight="1">
      <c r="A377" s="1" t="s">
        <v>2393</v>
      </c>
      <c r="B377" s="1"/>
      <c r="C377" s="1" t="s">
        <v>2394</v>
      </c>
      <c r="D377" s="1"/>
      <c r="E377" s="1"/>
      <c r="F377" s="1"/>
      <c r="G377" s="1"/>
      <c r="H377" s="1" t="s">
        <v>177</v>
      </c>
      <c r="I377" s="1" t="s">
        <v>2395</v>
      </c>
      <c r="J377" s="1" t="s">
        <v>2396</v>
      </c>
      <c r="K377" s="1" t="s">
        <v>2397</v>
      </c>
      <c r="L377" s="1" t="s">
        <v>45</v>
      </c>
      <c r="M377" s="1" t="s">
        <v>46</v>
      </c>
      <c r="N377" s="1">
        <v>360142</v>
      </c>
      <c r="O377" s="1">
        <v>2017</v>
      </c>
      <c r="P377" s="1">
        <v>360142</v>
      </c>
      <c r="Q377" s="1">
        <v>2017</v>
      </c>
      <c r="R377" s="1" t="s">
        <v>46</v>
      </c>
      <c r="S377" s="1">
        <v>1</v>
      </c>
      <c r="T377" s="1">
        <v>1</v>
      </c>
      <c r="U377" s="1" t="s">
        <v>2398</v>
      </c>
    </row>
    <row r="378" spans="1:36" ht="17.149999999999999" hidden="1" customHeight="1">
      <c r="A378" s="1" t="s">
        <v>2399</v>
      </c>
      <c r="B378" s="1"/>
      <c r="C378" s="1" t="s">
        <v>2400</v>
      </c>
      <c r="D378" s="1"/>
      <c r="E378" s="1"/>
      <c r="F378" s="1"/>
      <c r="G378" s="1"/>
      <c r="H378" s="1" t="s">
        <v>1669</v>
      </c>
      <c r="I378" s="1" t="s">
        <v>46</v>
      </c>
      <c r="J378" s="1" t="s">
        <v>2401</v>
      </c>
      <c r="K378" s="1" t="s">
        <v>2402</v>
      </c>
      <c r="L378" s="1" t="s">
        <v>45</v>
      </c>
      <c r="M378" s="1" t="s">
        <v>46</v>
      </c>
      <c r="N378" s="1">
        <v>308330</v>
      </c>
      <c r="O378" s="1">
        <v>2023</v>
      </c>
      <c r="P378" s="1">
        <v>359658</v>
      </c>
      <c r="Q378" s="1">
        <v>2023</v>
      </c>
      <c r="R378" s="1" t="s">
        <v>46</v>
      </c>
      <c r="S378" s="1">
        <v>1</v>
      </c>
      <c r="T378" s="1" t="s">
        <v>46</v>
      </c>
      <c r="U378" s="1" t="s">
        <v>2403</v>
      </c>
    </row>
    <row r="379" spans="1:36" ht="17.149999999999999" customHeight="1">
      <c r="A379" s="41" t="s">
        <v>2404</v>
      </c>
      <c r="B379" s="41" t="s">
        <v>1198</v>
      </c>
      <c r="C379" s="41" t="s">
        <v>2405</v>
      </c>
      <c r="D379" s="144" t="s">
        <v>2406</v>
      </c>
      <c r="E379" s="1" t="s">
        <v>2407</v>
      </c>
      <c r="F379" s="1" t="s">
        <v>2408</v>
      </c>
      <c r="G379" s="1" t="s">
        <v>40</v>
      </c>
      <c r="H379" s="41" t="s">
        <v>249</v>
      </c>
      <c r="I379" s="41" t="s">
        <v>2070</v>
      </c>
      <c r="J379" s="41" t="s">
        <v>2070</v>
      </c>
      <c r="K379" s="41" t="s">
        <v>2409</v>
      </c>
      <c r="L379" s="41" t="s">
        <v>45</v>
      </c>
      <c r="M379" s="41" t="s">
        <v>46</v>
      </c>
      <c r="N379" s="41" t="s">
        <v>46</v>
      </c>
      <c r="O379" s="41" t="s">
        <v>46</v>
      </c>
      <c r="P379" s="41">
        <v>9978793</v>
      </c>
      <c r="Q379" s="41">
        <v>2018</v>
      </c>
      <c r="R379" s="41">
        <v>1</v>
      </c>
      <c r="S379" s="41" t="s">
        <v>46</v>
      </c>
      <c r="T379" s="41">
        <v>1</v>
      </c>
      <c r="U379" s="41" t="s">
        <v>2410</v>
      </c>
      <c r="V379" s="42" t="s">
        <v>40</v>
      </c>
      <c r="W379" s="42" t="s">
        <v>2411</v>
      </c>
      <c r="X379" s="42" t="s">
        <v>57</v>
      </c>
      <c r="Y379" s="42"/>
      <c r="Z379" s="42" t="s">
        <v>2412</v>
      </c>
      <c r="AA379" s="42" t="s">
        <v>2413</v>
      </c>
      <c r="AB379" s="5" t="s">
        <v>2414</v>
      </c>
      <c r="AC379" s="85" t="s">
        <v>2415</v>
      </c>
      <c r="AD379" s="42"/>
      <c r="AE379" s="42">
        <v>4</v>
      </c>
      <c r="AF379" s="42" t="s">
        <v>1263</v>
      </c>
      <c r="AG379" s="42"/>
      <c r="AH379" s="42" t="s">
        <v>2416</v>
      </c>
      <c r="AI379" s="42"/>
      <c r="AJ379" s="123" t="s">
        <v>57</v>
      </c>
    </row>
    <row r="380" spans="1:36" ht="17.149999999999999" hidden="1" customHeight="1">
      <c r="A380" s="1" t="s">
        <v>2417</v>
      </c>
      <c r="B380" s="1"/>
      <c r="C380" s="1" t="s">
        <v>2418</v>
      </c>
      <c r="D380" s="1"/>
      <c r="E380" s="1"/>
      <c r="F380" s="1"/>
      <c r="G380" s="1"/>
      <c r="H380" s="1" t="s">
        <v>128</v>
      </c>
      <c r="I380" s="1" t="s">
        <v>2419</v>
      </c>
      <c r="J380" s="1" t="s">
        <v>2419</v>
      </c>
      <c r="K380" s="1" t="s">
        <v>2420</v>
      </c>
      <c r="L380" s="1" t="s">
        <v>45</v>
      </c>
      <c r="M380" s="1" t="s">
        <v>46</v>
      </c>
      <c r="N380" s="1">
        <v>350000</v>
      </c>
      <c r="O380" s="1">
        <v>2019</v>
      </c>
      <c r="P380" s="1">
        <v>350000</v>
      </c>
      <c r="Q380" s="1">
        <v>2019</v>
      </c>
      <c r="R380" s="1" t="s">
        <v>46</v>
      </c>
      <c r="S380" s="1">
        <v>1</v>
      </c>
      <c r="T380" s="1" t="s">
        <v>46</v>
      </c>
      <c r="U380" s="1" t="s">
        <v>2421</v>
      </c>
    </row>
    <row r="381" spans="1:36" ht="17.149999999999999" hidden="1" customHeight="1">
      <c r="A381" s="21" t="s">
        <v>2422</v>
      </c>
      <c r="B381" s="21"/>
      <c r="C381" s="21" t="s">
        <v>2423</v>
      </c>
      <c r="D381" s="17"/>
      <c r="E381" s="17"/>
      <c r="F381" s="17"/>
      <c r="G381" s="17"/>
      <c r="H381" s="21" t="s">
        <v>41</v>
      </c>
      <c r="I381" s="21" t="s">
        <v>518</v>
      </c>
      <c r="J381" s="21" t="s">
        <v>2424</v>
      </c>
      <c r="K381" s="21" t="s">
        <v>2425</v>
      </c>
      <c r="L381" s="21" t="s">
        <v>45</v>
      </c>
      <c r="M381" s="21" t="s">
        <v>46</v>
      </c>
      <c r="N381" s="21" t="s">
        <v>46</v>
      </c>
      <c r="O381" s="21" t="s">
        <v>46</v>
      </c>
      <c r="P381" s="21">
        <v>350000</v>
      </c>
      <c r="Q381" s="21">
        <v>2015</v>
      </c>
      <c r="R381" s="21" t="s">
        <v>46</v>
      </c>
      <c r="S381" s="21">
        <v>1</v>
      </c>
      <c r="T381" s="21">
        <v>1</v>
      </c>
      <c r="U381" s="21" t="s">
        <v>2426</v>
      </c>
      <c r="V381" s="22" t="s">
        <v>2427</v>
      </c>
      <c r="W381" s="22"/>
      <c r="X381" s="22"/>
      <c r="Y381" s="22"/>
      <c r="Z381" s="22"/>
      <c r="AA381" s="22"/>
      <c r="AB381" s="22"/>
      <c r="AC381" s="22"/>
      <c r="AD381" s="22"/>
    </row>
    <row r="382" spans="1:36" ht="17.149999999999999" hidden="1" customHeight="1">
      <c r="A382" s="1" t="s">
        <v>2428</v>
      </c>
      <c r="B382" s="1"/>
      <c r="C382" s="1" t="s">
        <v>2429</v>
      </c>
      <c r="D382" s="1"/>
      <c r="E382" s="1"/>
      <c r="F382" s="1"/>
      <c r="G382" s="1"/>
      <c r="H382" s="1" t="s">
        <v>1279</v>
      </c>
      <c r="I382" s="1" t="s">
        <v>46</v>
      </c>
      <c r="J382" s="1" t="s">
        <v>2430</v>
      </c>
      <c r="K382" s="1" t="s">
        <v>2431</v>
      </c>
      <c r="L382" s="1" t="s">
        <v>45</v>
      </c>
      <c r="M382" s="1" t="s">
        <v>46</v>
      </c>
      <c r="N382" s="1">
        <v>357009</v>
      </c>
      <c r="O382" s="1">
        <v>2018</v>
      </c>
      <c r="P382" s="1">
        <v>345170</v>
      </c>
      <c r="Q382" s="1">
        <v>2018</v>
      </c>
      <c r="R382" s="1" t="s">
        <v>46</v>
      </c>
      <c r="S382" s="1">
        <v>1</v>
      </c>
      <c r="T382" s="1">
        <v>1</v>
      </c>
      <c r="U382" s="1" t="s">
        <v>2432</v>
      </c>
    </row>
    <row r="383" spans="1:36" ht="17.149999999999999" customHeight="1">
      <c r="A383" s="1" t="s">
        <v>2433</v>
      </c>
      <c r="B383" s="1" t="s">
        <v>175</v>
      </c>
      <c r="C383" s="1" t="s">
        <v>2434</v>
      </c>
      <c r="D383" s="144" t="s">
        <v>2435</v>
      </c>
      <c r="E383" s="153" t="s">
        <v>2436</v>
      </c>
      <c r="F383" s="144" t="s">
        <v>2437</v>
      </c>
      <c r="G383" s="1" t="s">
        <v>40</v>
      </c>
      <c r="H383" s="1" t="s">
        <v>128</v>
      </c>
      <c r="I383" s="1" t="s">
        <v>926</v>
      </c>
      <c r="J383" s="1" t="s">
        <v>2438</v>
      </c>
      <c r="K383" s="1" t="s">
        <v>2439</v>
      </c>
      <c r="L383" s="1" t="s">
        <v>45</v>
      </c>
      <c r="M383" s="1" t="s">
        <v>46</v>
      </c>
      <c r="N383" s="1">
        <v>386068</v>
      </c>
      <c r="O383" s="1">
        <v>2018</v>
      </c>
      <c r="P383" s="1">
        <v>366765</v>
      </c>
      <c r="Q383" s="1">
        <v>2018</v>
      </c>
      <c r="R383" s="1" t="s">
        <v>46</v>
      </c>
      <c r="S383" s="1">
        <v>1</v>
      </c>
      <c r="T383" s="1">
        <v>1</v>
      </c>
      <c r="U383" s="1" t="s">
        <v>2440</v>
      </c>
      <c r="V383" s="2" t="s">
        <v>40</v>
      </c>
      <c r="W383" s="2" t="s">
        <v>78</v>
      </c>
      <c r="X383" s="2" t="s">
        <v>40</v>
      </c>
      <c r="Z383" s="80" t="s">
        <v>2441</v>
      </c>
      <c r="AA383" s="78" t="s">
        <v>1395</v>
      </c>
      <c r="AJ383" s="2" t="s">
        <v>57</v>
      </c>
    </row>
    <row r="384" spans="1:36" ht="17.149999999999999" customHeight="1">
      <c r="A384" s="1" t="s">
        <v>2442</v>
      </c>
      <c r="B384" s="1" t="s">
        <v>175</v>
      </c>
      <c r="C384" s="1" t="s">
        <v>2443</v>
      </c>
      <c r="D384" s="144" t="s">
        <v>2443</v>
      </c>
      <c r="E384" s="144" t="s">
        <v>2443</v>
      </c>
      <c r="F384" s="1" t="s">
        <v>2444</v>
      </c>
      <c r="G384" s="1" t="s">
        <v>40</v>
      </c>
      <c r="H384" s="1" t="s">
        <v>110</v>
      </c>
      <c r="I384" s="1" t="s">
        <v>46</v>
      </c>
      <c r="J384" s="1" t="s">
        <v>170</v>
      </c>
      <c r="K384" s="1" t="s">
        <v>2445</v>
      </c>
      <c r="L384" s="1" t="s">
        <v>45</v>
      </c>
      <c r="M384" s="1" t="s">
        <v>46</v>
      </c>
      <c r="N384" s="1">
        <v>2247449</v>
      </c>
      <c r="O384" s="1">
        <v>2019</v>
      </c>
      <c r="P384" s="1">
        <v>2222907</v>
      </c>
      <c r="Q384" s="1">
        <v>2015</v>
      </c>
      <c r="R384" s="1" t="s">
        <v>46</v>
      </c>
      <c r="S384" s="1">
        <v>1</v>
      </c>
      <c r="T384" s="1">
        <v>1</v>
      </c>
      <c r="U384" s="57" t="s">
        <v>2446</v>
      </c>
      <c r="V384" s="2" t="s">
        <v>40</v>
      </c>
      <c r="W384" s="2" t="s">
        <v>2447</v>
      </c>
      <c r="X384" s="2" t="s">
        <v>40</v>
      </c>
      <c r="Z384" s="80" t="s">
        <v>2448</v>
      </c>
      <c r="AA384" s="78" t="s">
        <v>1297</v>
      </c>
      <c r="AH384" s="42"/>
      <c r="AI384" s="42"/>
      <c r="AJ384" s="2" t="s">
        <v>57</v>
      </c>
    </row>
    <row r="385" spans="1:41" ht="17.149999999999999" hidden="1" customHeight="1">
      <c r="A385" s="1" t="s">
        <v>2449</v>
      </c>
      <c r="B385" s="1"/>
      <c r="C385" s="1" t="s">
        <v>2450</v>
      </c>
      <c r="D385" s="1"/>
      <c r="E385" s="1"/>
      <c r="F385" s="1"/>
      <c r="G385" s="1"/>
      <c r="H385" s="1" t="s">
        <v>177</v>
      </c>
      <c r="I385" s="1" t="s">
        <v>1323</v>
      </c>
      <c r="J385" s="1" t="s">
        <v>2451</v>
      </c>
      <c r="K385" s="1" t="s">
        <v>2452</v>
      </c>
      <c r="L385" s="1" t="s">
        <v>45</v>
      </c>
      <c r="M385" s="1" t="s">
        <v>46</v>
      </c>
      <c r="N385" s="1">
        <v>340000</v>
      </c>
      <c r="O385" s="1">
        <v>2019</v>
      </c>
      <c r="P385" s="1">
        <v>340000</v>
      </c>
      <c r="Q385" s="1">
        <v>2019</v>
      </c>
      <c r="R385" s="1" t="s">
        <v>46</v>
      </c>
      <c r="S385" s="1">
        <v>1</v>
      </c>
      <c r="T385" s="1" t="s">
        <v>46</v>
      </c>
      <c r="U385" s="1" t="s">
        <v>2453</v>
      </c>
    </row>
    <row r="386" spans="1:41" ht="17.149999999999999" hidden="1" customHeight="1">
      <c r="A386" s="1" t="s">
        <v>2454</v>
      </c>
      <c r="B386" s="1"/>
      <c r="C386" s="1" t="s">
        <v>2455</v>
      </c>
      <c r="D386" s="1"/>
      <c r="E386" s="1"/>
      <c r="F386" s="1"/>
      <c r="G386" s="1"/>
      <c r="H386" s="1" t="s">
        <v>177</v>
      </c>
      <c r="I386" s="1" t="s">
        <v>236</v>
      </c>
      <c r="J386" s="1" t="s">
        <v>236</v>
      </c>
      <c r="K386" s="1" t="s">
        <v>2456</v>
      </c>
      <c r="L386" s="1" t="s">
        <v>118</v>
      </c>
      <c r="M386" s="1" t="s">
        <v>2457</v>
      </c>
      <c r="N386" s="1">
        <v>420000</v>
      </c>
      <c r="O386" s="1">
        <v>2019</v>
      </c>
      <c r="P386" s="1">
        <v>338979</v>
      </c>
      <c r="Q386" s="1">
        <v>2019</v>
      </c>
      <c r="R386" s="1" t="s">
        <v>46</v>
      </c>
      <c r="S386" s="1">
        <v>1</v>
      </c>
      <c r="T386" s="1" t="s">
        <v>46</v>
      </c>
      <c r="U386" s="1" t="s">
        <v>2458</v>
      </c>
    </row>
    <row r="387" spans="1:41" ht="17.149999999999999" customHeight="1">
      <c r="A387" s="14" t="s">
        <v>2459</v>
      </c>
      <c r="B387" s="14"/>
      <c r="C387" s="14" t="s">
        <v>2460</v>
      </c>
      <c r="D387" s="17" t="s">
        <v>2460</v>
      </c>
      <c r="E387" s="17" t="s">
        <v>2461</v>
      </c>
      <c r="F387" s="17" t="s">
        <v>62</v>
      </c>
      <c r="G387" s="17" t="s">
        <v>40</v>
      </c>
      <c r="H387" s="14" t="s">
        <v>41</v>
      </c>
      <c r="I387" s="14" t="s">
        <v>63</v>
      </c>
      <c r="J387" s="14" t="s">
        <v>2462</v>
      </c>
      <c r="K387" s="14" t="s">
        <v>2463</v>
      </c>
      <c r="L387" s="14" t="s">
        <v>45</v>
      </c>
      <c r="M387" s="14" t="s">
        <v>46</v>
      </c>
      <c r="N387" s="14" t="s">
        <v>46</v>
      </c>
      <c r="O387" s="14" t="s">
        <v>46</v>
      </c>
      <c r="P387" s="14" t="s">
        <v>46</v>
      </c>
      <c r="Q387" s="14" t="s">
        <v>46</v>
      </c>
      <c r="R387" s="14" t="s">
        <v>46</v>
      </c>
      <c r="S387" s="14">
        <v>1</v>
      </c>
      <c r="T387" s="14">
        <v>1</v>
      </c>
      <c r="U387" s="14" t="s">
        <v>2464</v>
      </c>
      <c r="V387" s="6" t="s">
        <v>40</v>
      </c>
      <c r="W387" s="6" t="s">
        <v>323</v>
      </c>
      <c r="X387" s="6" t="s">
        <v>40</v>
      </c>
      <c r="Y387" s="6" t="s">
        <v>1315</v>
      </c>
      <c r="Z387" s="6" t="s">
        <v>2465</v>
      </c>
      <c r="AA387" s="6" t="s">
        <v>2466</v>
      </c>
      <c r="AB387" s="6"/>
      <c r="AC387" s="6" t="s">
        <v>2467</v>
      </c>
      <c r="AD387" s="6" t="s">
        <v>40</v>
      </c>
      <c r="AE387" s="42"/>
      <c r="AF387" s="42"/>
      <c r="AG387" s="42"/>
      <c r="AH387" s="42"/>
      <c r="AI387" s="42"/>
      <c r="AJ387" s="42" t="s">
        <v>1318</v>
      </c>
      <c r="AK387" s="42"/>
      <c r="AL387" s="42"/>
      <c r="AM387" s="42"/>
      <c r="AN387" s="42"/>
      <c r="AO387" s="42"/>
    </row>
    <row r="388" spans="1:41" ht="17.149999999999999" hidden="1" customHeight="1">
      <c r="A388" s="1" t="s">
        <v>2468</v>
      </c>
      <c r="B388" s="1" t="s">
        <v>167</v>
      </c>
      <c r="C388" s="1" t="s">
        <v>2469</v>
      </c>
      <c r="D388" s="1"/>
      <c r="E388" s="1"/>
      <c r="F388" s="1"/>
      <c r="G388" s="1"/>
      <c r="H388" s="1" t="s">
        <v>110</v>
      </c>
      <c r="I388" s="1" t="s">
        <v>1437</v>
      </c>
      <c r="J388" s="1" t="s">
        <v>2470</v>
      </c>
      <c r="K388" s="1" t="s">
        <v>2471</v>
      </c>
      <c r="L388" s="1" t="s">
        <v>45</v>
      </c>
      <c r="M388" s="1" t="s">
        <v>46</v>
      </c>
      <c r="N388" s="1">
        <v>333000</v>
      </c>
      <c r="O388" s="1">
        <v>2019</v>
      </c>
      <c r="P388" s="1">
        <v>333000</v>
      </c>
      <c r="Q388" s="1">
        <v>2019</v>
      </c>
      <c r="R388" s="1" t="s">
        <v>46</v>
      </c>
      <c r="S388" s="1">
        <v>1</v>
      </c>
      <c r="T388" s="1">
        <v>1</v>
      </c>
      <c r="U388" s="1" t="s">
        <v>2472</v>
      </c>
    </row>
    <row r="389" spans="1:41" ht="17.149999999999999" hidden="1" customHeight="1">
      <c r="A389" s="1" t="s">
        <v>2473</v>
      </c>
      <c r="B389" s="1"/>
      <c r="C389" s="1" t="s">
        <v>2474</v>
      </c>
      <c r="D389" s="1"/>
      <c r="E389" s="1"/>
      <c r="F389" s="1"/>
      <c r="G389" s="1"/>
      <c r="H389" s="1" t="s">
        <v>1367</v>
      </c>
      <c r="I389" s="1" t="s">
        <v>46</v>
      </c>
      <c r="J389" s="1" t="s">
        <v>2475</v>
      </c>
      <c r="K389" s="1" t="s">
        <v>2476</v>
      </c>
      <c r="L389" s="1" t="s">
        <v>45</v>
      </c>
      <c r="M389" s="1" t="s">
        <v>46</v>
      </c>
      <c r="N389" s="1">
        <v>384729</v>
      </c>
      <c r="O389" s="1">
        <v>2017</v>
      </c>
      <c r="P389" s="1">
        <v>324876</v>
      </c>
      <c r="Q389" s="1">
        <v>2017</v>
      </c>
      <c r="R389" s="1" t="s">
        <v>46</v>
      </c>
      <c r="S389" s="1">
        <v>1</v>
      </c>
      <c r="T389" s="1">
        <v>1</v>
      </c>
      <c r="U389" s="1" t="s">
        <v>2477</v>
      </c>
    </row>
    <row r="390" spans="1:41" ht="17.149999999999999" customHeight="1">
      <c r="A390" s="14" t="s">
        <v>2478</v>
      </c>
      <c r="B390" s="14" t="s">
        <v>37</v>
      </c>
      <c r="C390" s="49" t="s">
        <v>2479</v>
      </c>
      <c r="D390" s="17" t="s">
        <v>2479</v>
      </c>
      <c r="E390" s="17" t="s">
        <v>2480</v>
      </c>
      <c r="F390" s="17" t="s">
        <v>62</v>
      </c>
      <c r="G390" s="17" t="s">
        <v>40</v>
      </c>
      <c r="H390" s="14" t="s">
        <v>41</v>
      </c>
      <c r="I390" s="14" t="s">
        <v>63</v>
      </c>
      <c r="J390" s="14" t="s">
        <v>2481</v>
      </c>
      <c r="K390" s="14" t="s">
        <v>2482</v>
      </c>
      <c r="L390" s="14" t="s">
        <v>45</v>
      </c>
      <c r="M390" s="14" t="s">
        <v>46</v>
      </c>
      <c r="N390" s="14" t="s">
        <v>46</v>
      </c>
      <c r="O390" s="14" t="s">
        <v>46</v>
      </c>
      <c r="P390" s="16">
        <v>342952</v>
      </c>
      <c r="Q390" s="16">
        <v>2025</v>
      </c>
      <c r="R390" s="14" t="s">
        <v>46</v>
      </c>
      <c r="S390" s="14">
        <v>1</v>
      </c>
      <c r="T390" s="14">
        <v>1</v>
      </c>
      <c r="U390" s="14" t="s">
        <v>2483</v>
      </c>
      <c r="V390" s="6" t="s">
        <v>40</v>
      </c>
      <c r="W390" s="6" t="s">
        <v>67</v>
      </c>
      <c r="X390" s="33" t="s">
        <v>40</v>
      </c>
      <c r="Y390" s="33"/>
      <c r="Z390" s="6" t="s">
        <v>2484</v>
      </c>
      <c r="AA390" s="6" t="s">
        <v>2485</v>
      </c>
      <c r="AB390" s="6" t="s">
        <v>2486</v>
      </c>
      <c r="AC390" s="6" t="s">
        <v>2487</v>
      </c>
      <c r="AD390" s="6" t="s">
        <v>40</v>
      </c>
      <c r="AE390" s="2">
        <v>1</v>
      </c>
      <c r="AF390" s="2" t="s">
        <v>53</v>
      </c>
      <c r="AG390" s="2" t="s">
        <v>1183</v>
      </c>
      <c r="AI390" s="2" t="s">
        <v>2488</v>
      </c>
      <c r="AJ390" s="2" t="s">
        <v>57</v>
      </c>
    </row>
    <row r="391" spans="1:41" ht="17.149999999999999" hidden="1" customHeight="1">
      <c r="A391" s="1" t="s">
        <v>2489</v>
      </c>
      <c r="B391" s="1" t="s">
        <v>167</v>
      </c>
      <c r="C391" s="1" t="s">
        <v>2490</v>
      </c>
      <c r="D391" s="1"/>
      <c r="E391" s="1"/>
      <c r="F391" s="1"/>
      <c r="G391" s="1"/>
      <c r="H391" s="1" t="s">
        <v>110</v>
      </c>
      <c r="I391" s="1" t="s">
        <v>300</v>
      </c>
      <c r="J391" s="1" t="s">
        <v>2491</v>
      </c>
      <c r="K391" s="1" t="s">
        <v>2492</v>
      </c>
      <c r="L391" s="1" t="s">
        <v>45</v>
      </c>
      <c r="M391" s="1" t="s">
        <v>46</v>
      </c>
      <c r="N391" s="1">
        <v>320000</v>
      </c>
      <c r="O391" s="1">
        <v>2019</v>
      </c>
      <c r="P391" s="1">
        <v>320000</v>
      </c>
      <c r="Q391" s="1">
        <v>2019</v>
      </c>
      <c r="R391" s="1" t="s">
        <v>46</v>
      </c>
      <c r="S391" s="1">
        <v>1</v>
      </c>
      <c r="T391" s="1">
        <v>1</v>
      </c>
      <c r="U391" s="1" t="s">
        <v>2493</v>
      </c>
    </row>
    <row r="392" spans="1:41" ht="17.149999999999999" hidden="1" customHeight="1">
      <c r="A392" s="1" t="s">
        <v>2494</v>
      </c>
      <c r="B392" s="1"/>
      <c r="C392" s="1" t="s">
        <v>2495</v>
      </c>
      <c r="D392" s="1"/>
      <c r="E392" s="1"/>
      <c r="F392" s="1"/>
      <c r="G392" s="1"/>
      <c r="H392" s="1" t="s">
        <v>640</v>
      </c>
      <c r="I392" s="1" t="s">
        <v>46</v>
      </c>
      <c r="J392" s="1" t="s">
        <v>2496</v>
      </c>
      <c r="K392" s="1" t="s">
        <v>1902</v>
      </c>
      <c r="L392" s="1" t="s">
        <v>45</v>
      </c>
      <c r="M392" s="1" t="s">
        <v>46</v>
      </c>
      <c r="N392" s="1">
        <v>320000</v>
      </c>
      <c r="O392" s="1">
        <v>2017</v>
      </c>
      <c r="P392" s="1">
        <v>320000</v>
      </c>
      <c r="Q392" s="1">
        <v>2017</v>
      </c>
      <c r="R392" s="1">
        <v>1</v>
      </c>
      <c r="S392" s="1">
        <v>1</v>
      </c>
      <c r="T392" s="1" t="s">
        <v>46</v>
      </c>
      <c r="U392" s="1" t="s">
        <v>2497</v>
      </c>
      <c r="V392" s="2" t="s">
        <v>57</v>
      </c>
      <c r="W392" s="2" t="s">
        <v>1327</v>
      </c>
      <c r="Z392" s="2" t="s">
        <v>2498</v>
      </c>
    </row>
    <row r="393" spans="1:41" ht="17.149999999999999" hidden="1" customHeight="1">
      <c r="A393" s="1" t="s">
        <v>2499</v>
      </c>
      <c r="B393" s="1"/>
      <c r="C393" s="1" t="s">
        <v>2500</v>
      </c>
      <c r="D393" s="1"/>
      <c r="E393" s="1"/>
      <c r="F393" s="1"/>
      <c r="G393" s="1"/>
      <c r="H393" s="1" t="s">
        <v>1171</v>
      </c>
      <c r="I393" s="1" t="s">
        <v>46</v>
      </c>
      <c r="J393" s="1" t="s">
        <v>2501</v>
      </c>
      <c r="K393" s="1" t="s">
        <v>2502</v>
      </c>
      <c r="L393" s="1" t="s">
        <v>118</v>
      </c>
      <c r="M393" s="1" t="s">
        <v>46</v>
      </c>
      <c r="N393" s="1">
        <v>399311</v>
      </c>
      <c r="O393" s="1">
        <v>2018</v>
      </c>
      <c r="P393" s="1">
        <v>315955</v>
      </c>
      <c r="Q393" s="1">
        <v>2018</v>
      </c>
      <c r="R393" s="1" t="s">
        <v>46</v>
      </c>
      <c r="S393" s="1">
        <v>1</v>
      </c>
      <c r="T393" s="1" t="s">
        <v>46</v>
      </c>
      <c r="U393" s="1" t="s">
        <v>2503</v>
      </c>
    </row>
    <row r="394" spans="1:41" ht="17.149999999999999" hidden="1" customHeight="1">
      <c r="A394" s="1" t="s">
        <v>2504</v>
      </c>
      <c r="B394" s="1"/>
      <c r="C394" s="1" t="s">
        <v>2505</v>
      </c>
      <c r="D394" s="1"/>
      <c r="E394" s="1"/>
      <c r="F394" s="1"/>
      <c r="G394" s="1"/>
      <c r="H394" s="1" t="s">
        <v>1367</v>
      </c>
      <c r="I394" s="1" t="s">
        <v>46</v>
      </c>
      <c r="J394" s="1" t="s">
        <v>2506</v>
      </c>
      <c r="K394" s="1" t="s">
        <v>2507</v>
      </c>
      <c r="L394" s="1" t="s">
        <v>45</v>
      </c>
      <c r="M394" s="1" t="s">
        <v>46</v>
      </c>
      <c r="N394" s="1">
        <v>452621</v>
      </c>
      <c r="O394" s="1">
        <v>2017</v>
      </c>
      <c r="P394" s="1">
        <v>315506</v>
      </c>
      <c r="Q394" s="1">
        <v>2017</v>
      </c>
      <c r="R394" s="1" t="s">
        <v>46</v>
      </c>
      <c r="S394" s="1">
        <v>1</v>
      </c>
      <c r="T394" s="1">
        <v>1</v>
      </c>
      <c r="U394" s="1" t="s">
        <v>2508</v>
      </c>
    </row>
    <row r="395" spans="1:41" ht="17.149999999999999" hidden="1" customHeight="1">
      <c r="A395" s="1" t="s">
        <v>2509</v>
      </c>
      <c r="B395" s="1"/>
      <c r="C395" s="1" t="s">
        <v>2510</v>
      </c>
      <c r="D395" s="1"/>
      <c r="E395" s="1"/>
      <c r="F395" s="1"/>
      <c r="G395" s="1"/>
      <c r="H395" s="1" t="s">
        <v>128</v>
      </c>
      <c r="I395" s="1" t="s">
        <v>908</v>
      </c>
      <c r="J395" s="1" t="s">
        <v>2511</v>
      </c>
      <c r="K395" s="1" t="s">
        <v>2512</v>
      </c>
      <c r="L395" s="1" t="s">
        <v>45</v>
      </c>
      <c r="M395" s="1" t="s">
        <v>46</v>
      </c>
      <c r="N395" s="1">
        <v>315000</v>
      </c>
      <c r="O395" s="1">
        <v>2015</v>
      </c>
      <c r="P395" s="1">
        <v>315000</v>
      </c>
      <c r="Q395" s="1">
        <v>2015</v>
      </c>
      <c r="R395" s="1" t="s">
        <v>46</v>
      </c>
      <c r="S395" s="1">
        <v>1</v>
      </c>
      <c r="T395" s="1">
        <v>1</v>
      </c>
      <c r="U395" s="1" t="s">
        <v>2513</v>
      </c>
    </row>
    <row r="396" spans="1:41" ht="17.149999999999999" hidden="1" customHeight="1">
      <c r="A396" s="1" t="s">
        <v>2514</v>
      </c>
      <c r="B396" s="1"/>
      <c r="C396" s="1" t="s">
        <v>2515</v>
      </c>
      <c r="D396" s="1"/>
      <c r="E396" s="1"/>
      <c r="F396" s="1"/>
      <c r="G396" s="1"/>
      <c r="H396" s="1" t="s">
        <v>500</v>
      </c>
      <c r="I396" s="1" t="s">
        <v>46</v>
      </c>
      <c r="J396" s="1" t="s">
        <v>2516</v>
      </c>
      <c r="K396" s="1" t="s">
        <v>2517</v>
      </c>
      <c r="L396" s="1" t="s">
        <v>45</v>
      </c>
      <c r="M396" s="1" t="s">
        <v>46</v>
      </c>
      <c r="N396" s="1" t="s">
        <v>46</v>
      </c>
      <c r="O396" s="1" t="s">
        <v>46</v>
      </c>
      <c r="P396" s="1">
        <v>315000</v>
      </c>
      <c r="Q396" s="1">
        <v>2016</v>
      </c>
      <c r="R396" s="1" t="s">
        <v>46</v>
      </c>
      <c r="S396" s="1">
        <v>1</v>
      </c>
      <c r="T396" s="1" t="s">
        <v>46</v>
      </c>
      <c r="U396" s="1" t="s">
        <v>2518</v>
      </c>
    </row>
    <row r="397" spans="1:41" ht="17.149999999999999" hidden="1" customHeight="1">
      <c r="A397" s="1" t="s">
        <v>2519</v>
      </c>
      <c r="B397" s="1"/>
      <c r="C397" s="1" t="s">
        <v>2520</v>
      </c>
      <c r="D397" s="1"/>
      <c r="E397" s="1"/>
      <c r="F397" s="1"/>
      <c r="G397" s="1"/>
      <c r="H397" s="1" t="s">
        <v>1367</v>
      </c>
      <c r="I397" s="1" t="s">
        <v>46</v>
      </c>
      <c r="J397" s="1" t="s">
        <v>2521</v>
      </c>
      <c r="K397" s="1" t="s">
        <v>2522</v>
      </c>
      <c r="L397" s="1" t="s">
        <v>45</v>
      </c>
      <c r="M397" s="1" t="s">
        <v>46</v>
      </c>
      <c r="N397" s="1">
        <v>342723</v>
      </c>
      <c r="O397" s="1">
        <v>2017</v>
      </c>
      <c r="P397" s="1">
        <v>312897</v>
      </c>
      <c r="Q397" s="1">
        <v>2017</v>
      </c>
      <c r="R397" s="1" t="s">
        <v>46</v>
      </c>
      <c r="S397" s="1">
        <v>1</v>
      </c>
      <c r="T397" s="1">
        <v>1</v>
      </c>
      <c r="U397" s="1" t="s">
        <v>2523</v>
      </c>
    </row>
    <row r="398" spans="1:41" ht="17.149999999999999" hidden="1" customHeight="1">
      <c r="A398" s="1" t="s">
        <v>2524</v>
      </c>
      <c r="B398" s="1" t="s">
        <v>167</v>
      </c>
      <c r="C398" s="1" t="s">
        <v>2525</v>
      </c>
      <c r="D398" s="1"/>
      <c r="E398" s="1"/>
      <c r="F398" s="1"/>
      <c r="G398" s="1"/>
      <c r="H398" s="1" t="s">
        <v>110</v>
      </c>
      <c r="I398" s="1" t="s">
        <v>2304</v>
      </c>
      <c r="J398" s="1" t="s">
        <v>2526</v>
      </c>
      <c r="K398" s="1" t="s">
        <v>2527</v>
      </c>
      <c r="L398" s="1" t="s">
        <v>45</v>
      </c>
      <c r="M398" s="1" t="s">
        <v>46</v>
      </c>
      <c r="N398" s="1">
        <v>312311</v>
      </c>
      <c r="O398" s="1">
        <v>2019</v>
      </c>
      <c r="P398" s="1">
        <v>312311</v>
      </c>
      <c r="Q398" s="1">
        <v>2019</v>
      </c>
      <c r="R398" s="1" t="s">
        <v>46</v>
      </c>
      <c r="S398" s="1">
        <v>1</v>
      </c>
      <c r="T398" s="1">
        <v>1</v>
      </c>
      <c r="U398" s="1" t="s">
        <v>2528</v>
      </c>
    </row>
    <row r="399" spans="1:41" ht="17.149999999999999" customHeight="1">
      <c r="A399" s="14" t="s">
        <v>2529</v>
      </c>
      <c r="B399" s="14" t="s">
        <v>37</v>
      </c>
      <c r="C399" s="14" t="s">
        <v>2530</v>
      </c>
      <c r="D399" s="17" t="s">
        <v>2531</v>
      </c>
      <c r="E399" s="17" t="s">
        <v>2531</v>
      </c>
      <c r="F399" s="17" t="s">
        <v>62</v>
      </c>
      <c r="G399" s="17" t="s">
        <v>40</v>
      </c>
      <c r="H399" s="14" t="s">
        <v>41</v>
      </c>
      <c r="I399" s="14" t="s">
        <v>63</v>
      </c>
      <c r="J399" s="14" t="s">
        <v>2532</v>
      </c>
      <c r="K399" s="14" t="s">
        <v>2533</v>
      </c>
      <c r="L399" s="14" t="s">
        <v>45</v>
      </c>
      <c r="M399" s="14" t="s">
        <v>46</v>
      </c>
      <c r="N399" s="14" t="s">
        <v>46</v>
      </c>
      <c r="O399" s="14" t="s">
        <v>46</v>
      </c>
      <c r="P399" s="16">
        <v>73257</v>
      </c>
      <c r="Q399" s="16">
        <v>2025</v>
      </c>
      <c r="R399" s="14" t="s">
        <v>46</v>
      </c>
      <c r="S399" s="14">
        <v>1</v>
      </c>
      <c r="T399" s="14">
        <v>1</v>
      </c>
      <c r="U399" s="14" t="s">
        <v>2534</v>
      </c>
      <c r="V399" s="6" t="s">
        <v>40</v>
      </c>
      <c r="W399" s="6" t="s">
        <v>182</v>
      </c>
      <c r="X399" s="6" t="s">
        <v>40</v>
      </c>
      <c r="Y399" s="33" t="s">
        <v>1315</v>
      </c>
      <c r="Z399" s="6" t="s">
        <v>2535</v>
      </c>
      <c r="AA399" s="6" t="s">
        <v>2536</v>
      </c>
      <c r="AB399" s="76" t="s">
        <v>2537</v>
      </c>
      <c r="AC399" s="6" t="s">
        <v>2538</v>
      </c>
      <c r="AD399" s="6" t="s">
        <v>40</v>
      </c>
      <c r="AE399" s="2">
        <v>1</v>
      </c>
      <c r="AF399" s="2" t="s">
        <v>53</v>
      </c>
      <c r="AJ399" s="2" t="s">
        <v>1318</v>
      </c>
      <c r="AK399" s="42"/>
      <c r="AL399" s="42"/>
      <c r="AM399" s="42"/>
      <c r="AN399" s="42"/>
      <c r="AO399" s="42"/>
    </row>
    <row r="400" spans="1:41" ht="17.149999999999999" hidden="1" customHeight="1">
      <c r="A400" s="1" t="s">
        <v>2539</v>
      </c>
      <c r="B400" s="1" t="s">
        <v>167</v>
      </c>
      <c r="C400" s="1" t="s">
        <v>2540</v>
      </c>
      <c r="D400" s="1"/>
      <c r="E400" s="1"/>
      <c r="F400" s="1"/>
      <c r="G400" s="1"/>
      <c r="H400" s="1" t="s">
        <v>110</v>
      </c>
      <c r="I400" s="1" t="s">
        <v>1511</v>
      </c>
      <c r="J400" s="1" t="s">
        <v>2541</v>
      </c>
      <c r="K400" s="1" t="s">
        <v>2542</v>
      </c>
      <c r="L400" s="1" t="s">
        <v>118</v>
      </c>
      <c r="M400" s="1" t="s">
        <v>2543</v>
      </c>
      <c r="N400" s="1">
        <v>308369</v>
      </c>
      <c r="O400" s="1">
        <v>2015</v>
      </c>
      <c r="P400" s="1">
        <v>308369</v>
      </c>
      <c r="Q400" s="1">
        <v>2015</v>
      </c>
      <c r="R400" s="1" t="s">
        <v>46</v>
      </c>
      <c r="S400" s="1">
        <v>1</v>
      </c>
      <c r="T400" s="1">
        <v>1</v>
      </c>
      <c r="U400" s="1" t="s">
        <v>2544</v>
      </c>
    </row>
    <row r="401" spans="1:41" ht="17.149999999999999" hidden="1" customHeight="1">
      <c r="A401" s="1" t="s">
        <v>2545</v>
      </c>
      <c r="B401" s="1"/>
      <c r="C401" s="1" t="s">
        <v>2546</v>
      </c>
      <c r="D401" s="1"/>
      <c r="E401" s="1"/>
      <c r="F401" s="1"/>
      <c r="G401" s="1"/>
      <c r="H401" s="1" t="s">
        <v>1279</v>
      </c>
      <c r="I401" s="1" t="s">
        <v>46</v>
      </c>
      <c r="J401" s="1" t="s">
        <v>2547</v>
      </c>
      <c r="K401" s="1" t="s">
        <v>2548</v>
      </c>
      <c r="L401" s="1" t="s">
        <v>45</v>
      </c>
      <c r="M401" s="1" t="s">
        <v>46</v>
      </c>
      <c r="N401" s="1">
        <v>309000</v>
      </c>
      <c r="O401" s="1">
        <v>2019</v>
      </c>
      <c r="P401" s="1">
        <v>306180</v>
      </c>
      <c r="Q401" s="1">
        <v>2019</v>
      </c>
      <c r="R401" s="1" t="s">
        <v>46</v>
      </c>
      <c r="S401" s="1">
        <v>1</v>
      </c>
      <c r="T401" s="1">
        <v>1</v>
      </c>
      <c r="U401" s="1" t="s">
        <v>2549</v>
      </c>
    </row>
    <row r="402" spans="1:41" ht="17.149999999999999" customHeight="1">
      <c r="A402" s="14" t="s">
        <v>2550</v>
      </c>
      <c r="B402" s="14" t="s">
        <v>37</v>
      </c>
      <c r="C402" s="49" t="s">
        <v>2551</v>
      </c>
      <c r="D402" s="144" t="s">
        <v>2551</v>
      </c>
      <c r="E402" s="144" t="s">
        <v>2552</v>
      </c>
      <c r="F402" s="17" t="s">
        <v>62</v>
      </c>
      <c r="G402" s="17" t="s">
        <v>40</v>
      </c>
      <c r="H402" s="14" t="s">
        <v>41</v>
      </c>
      <c r="I402" s="14" t="s">
        <v>63</v>
      </c>
      <c r="J402" s="14" t="s">
        <v>2553</v>
      </c>
      <c r="K402" s="14" t="s">
        <v>2554</v>
      </c>
      <c r="L402" s="14" t="s">
        <v>45</v>
      </c>
      <c r="M402" s="14" t="s">
        <v>46</v>
      </c>
      <c r="N402" s="14" t="s">
        <v>46</v>
      </c>
      <c r="O402" s="14" t="s">
        <v>46</v>
      </c>
      <c r="P402" s="14">
        <v>354400</v>
      </c>
      <c r="Q402" s="14">
        <v>2016</v>
      </c>
      <c r="R402" s="14" t="s">
        <v>46</v>
      </c>
      <c r="S402" s="14">
        <v>1</v>
      </c>
      <c r="T402" s="14">
        <v>1</v>
      </c>
      <c r="U402" s="14" t="s">
        <v>2555</v>
      </c>
      <c r="V402" s="6" t="s">
        <v>101</v>
      </c>
      <c r="W402" s="6" t="s">
        <v>323</v>
      </c>
      <c r="X402" s="6" t="s">
        <v>40</v>
      </c>
      <c r="Y402" s="6"/>
      <c r="Z402" s="6" t="s">
        <v>2556</v>
      </c>
      <c r="AA402" s="6"/>
      <c r="AB402" s="6" t="s">
        <v>2557</v>
      </c>
      <c r="AC402" s="6" t="s">
        <v>2558</v>
      </c>
      <c r="AD402" s="6" t="s">
        <v>40</v>
      </c>
      <c r="AE402" s="2">
        <v>1</v>
      </c>
      <c r="AF402" s="2" t="s">
        <v>53</v>
      </c>
      <c r="AG402" s="2" t="s">
        <v>145</v>
      </c>
      <c r="AH402" s="2" t="s">
        <v>55</v>
      </c>
      <c r="AJ402" s="2" t="s">
        <v>57</v>
      </c>
    </row>
    <row r="403" spans="1:41" ht="17.149999999999999" hidden="1" customHeight="1">
      <c r="A403" s="1" t="s">
        <v>2559</v>
      </c>
      <c r="B403" s="1"/>
      <c r="C403" s="1" t="s">
        <v>2560</v>
      </c>
      <c r="D403" s="1"/>
      <c r="E403" s="1"/>
      <c r="F403" s="1"/>
      <c r="G403" s="1"/>
      <c r="H403" s="1" t="s">
        <v>177</v>
      </c>
      <c r="I403" s="1" t="s">
        <v>345</v>
      </c>
      <c r="J403" s="1" t="s">
        <v>1375</v>
      </c>
      <c r="K403" s="1" t="s">
        <v>2561</v>
      </c>
      <c r="L403" s="1" t="s">
        <v>45</v>
      </c>
      <c r="M403" s="1" t="s">
        <v>46</v>
      </c>
      <c r="N403" s="1">
        <v>305000</v>
      </c>
      <c r="O403" s="1">
        <v>2015</v>
      </c>
      <c r="P403" s="1">
        <v>305000</v>
      </c>
      <c r="Q403" s="1">
        <v>2015</v>
      </c>
      <c r="R403" s="1" t="s">
        <v>46</v>
      </c>
      <c r="S403" s="1">
        <v>1</v>
      </c>
      <c r="T403" s="1" t="s">
        <v>46</v>
      </c>
      <c r="U403" s="1" t="s">
        <v>2562</v>
      </c>
    </row>
    <row r="404" spans="1:41" ht="17.149999999999999" hidden="1" customHeight="1">
      <c r="A404" s="1" t="s">
        <v>2563</v>
      </c>
      <c r="B404" s="1" t="s">
        <v>167</v>
      </c>
      <c r="C404" s="1" t="s">
        <v>2564</v>
      </c>
      <c r="D404" s="1"/>
      <c r="E404" s="1"/>
      <c r="F404" s="1"/>
      <c r="G404" s="1"/>
      <c r="H404" s="1" t="s">
        <v>110</v>
      </c>
      <c r="I404" s="1" t="s">
        <v>243</v>
      </c>
      <c r="J404" s="1" t="s">
        <v>2565</v>
      </c>
      <c r="K404" s="1" t="s">
        <v>2566</v>
      </c>
      <c r="L404" s="1" t="s">
        <v>45</v>
      </c>
      <c r="M404" s="1" t="s">
        <v>46</v>
      </c>
      <c r="N404" s="1">
        <v>265913</v>
      </c>
      <c r="O404" s="1">
        <v>2015</v>
      </c>
      <c r="P404" s="1">
        <v>302377</v>
      </c>
      <c r="Q404" s="1">
        <v>2015</v>
      </c>
      <c r="R404" s="1" t="s">
        <v>46</v>
      </c>
      <c r="S404" s="1">
        <v>1</v>
      </c>
      <c r="T404" s="1">
        <v>1</v>
      </c>
      <c r="U404" s="1" t="s">
        <v>2567</v>
      </c>
    </row>
    <row r="405" spans="1:41" ht="17.149999999999999" customHeight="1">
      <c r="A405" s="14" t="s">
        <v>2568</v>
      </c>
      <c r="B405" s="14" t="s">
        <v>37</v>
      </c>
      <c r="C405" s="14" t="s">
        <v>2569</v>
      </c>
      <c r="D405" s="144" t="s">
        <v>2570</v>
      </c>
      <c r="E405" s="144" t="s">
        <v>2571</v>
      </c>
      <c r="F405" s="17" t="s">
        <v>62</v>
      </c>
      <c r="G405" s="17" t="s">
        <v>40</v>
      </c>
      <c r="H405" s="14" t="s">
        <v>41</v>
      </c>
      <c r="I405" s="14" t="s">
        <v>42</v>
      </c>
      <c r="J405" s="14" t="s">
        <v>2572</v>
      </c>
      <c r="K405" s="14" t="s">
        <v>2573</v>
      </c>
      <c r="L405" s="14" t="s">
        <v>45</v>
      </c>
      <c r="M405" s="14" t="s">
        <v>46</v>
      </c>
      <c r="N405" s="14" t="s">
        <v>46</v>
      </c>
      <c r="O405" s="14" t="s">
        <v>46</v>
      </c>
      <c r="P405" s="16">
        <v>59903</v>
      </c>
      <c r="Q405" s="16">
        <v>2024</v>
      </c>
      <c r="R405" s="14" t="s">
        <v>46</v>
      </c>
      <c r="S405" s="14">
        <v>1</v>
      </c>
      <c r="T405" s="14">
        <v>1</v>
      </c>
      <c r="U405" s="14" t="s">
        <v>2574</v>
      </c>
      <c r="V405" s="6" t="s">
        <v>40</v>
      </c>
      <c r="W405" s="6" t="s">
        <v>78</v>
      </c>
      <c r="X405" s="6" t="s">
        <v>40</v>
      </c>
      <c r="Y405" s="6"/>
      <c r="Z405" s="6" t="s">
        <v>79</v>
      </c>
      <c r="AA405" s="5" t="s">
        <v>2575</v>
      </c>
      <c r="AB405" s="76" t="s">
        <v>2576</v>
      </c>
      <c r="AC405" s="6" t="s">
        <v>2577</v>
      </c>
      <c r="AD405" s="6" t="s">
        <v>40</v>
      </c>
      <c r="AE405" s="2">
        <v>1</v>
      </c>
      <c r="AF405" s="2" t="s">
        <v>404</v>
      </c>
      <c r="AG405" s="2" t="s">
        <v>2578</v>
      </c>
      <c r="AH405" s="2" t="s">
        <v>55</v>
      </c>
      <c r="AJ405" s="2" t="s">
        <v>57</v>
      </c>
    </row>
    <row r="406" spans="1:41" ht="17.149999999999999" hidden="1" customHeight="1">
      <c r="A406" s="1" t="s">
        <v>2579</v>
      </c>
      <c r="B406" s="1"/>
      <c r="C406" s="1" t="s">
        <v>2580</v>
      </c>
      <c r="D406" s="1"/>
      <c r="E406" s="1"/>
      <c r="F406" s="1"/>
      <c r="G406" s="1"/>
      <c r="H406" s="1" t="s">
        <v>177</v>
      </c>
      <c r="I406" s="1" t="s">
        <v>1323</v>
      </c>
      <c r="J406" s="1" t="s">
        <v>2451</v>
      </c>
      <c r="K406" s="1" t="s">
        <v>2581</v>
      </c>
      <c r="L406" s="1" t="s">
        <v>45</v>
      </c>
      <c r="M406" s="1" t="s">
        <v>46</v>
      </c>
      <c r="N406" s="1">
        <v>300000</v>
      </c>
      <c r="O406" s="1">
        <v>2019</v>
      </c>
      <c r="P406" s="1">
        <v>300000</v>
      </c>
      <c r="Q406" s="1">
        <v>2019</v>
      </c>
      <c r="R406" s="1" t="s">
        <v>46</v>
      </c>
      <c r="S406" s="1">
        <v>1</v>
      </c>
      <c r="T406" s="1" t="s">
        <v>46</v>
      </c>
      <c r="U406" s="1" t="s">
        <v>2582</v>
      </c>
    </row>
    <row r="407" spans="1:41" ht="17.149999999999999" hidden="1" customHeight="1">
      <c r="A407" s="1" t="s">
        <v>2583</v>
      </c>
      <c r="B407" s="1" t="s">
        <v>167</v>
      </c>
      <c r="C407" s="1" t="s">
        <v>2584</v>
      </c>
      <c r="D407" s="1"/>
      <c r="E407" s="1"/>
      <c r="F407" s="1"/>
      <c r="G407" s="1"/>
      <c r="H407" s="1" t="s">
        <v>110</v>
      </c>
      <c r="I407" s="1" t="s">
        <v>243</v>
      </c>
      <c r="J407" s="1" t="s">
        <v>2585</v>
      </c>
      <c r="K407" s="1" t="s">
        <v>2586</v>
      </c>
      <c r="L407" s="1" t="s">
        <v>45</v>
      </c>
      <c r="M407" s="1" t="s">
        <v>46</v>
      </c>
      <c r="N407" s="1">
        <v>300000</v>
      </c>
      <c r="O407" s="1">
        <v>2015</v>
      </c>
      <c r="P407" s="1">
        <v>300000</v>
      </c>
      <c r="Q407" s="1">
        <v>2015</v>
      </c>
      <c r="R407" s="1" t="s">
        <v>46</v>
      </c>
      <c r="S407" s="1">
        <v>1</v>
      </c>
      <c r="T407" s="1">
        <v>1</v>
      </c>
      <c r="U407" s="1" t="s">
        <v>2587</v>
      </c>
    </row>
    <row r="408" spans="1:41" s="42" customFormat="1" ht="17.149999999999999" hidden="1" customHeight="1">
      <c r="A408" s="1" t="s">
        <v>2588</v>
      </c>
      <c r="B408" s="1"/>
      <c r="C408" s="1" t="s">
        <v>2589</v>
      </c>
      <c r="D408" s="1"/>
      <c r="E408" s="1"/>
      <c r="F408" s="1"/>
      <c r="G408" s="1"/>
      <c r="H408" s="1" t="s">
        <v>177</v>
      </c>
      <c r="I408" s="1" t="s">
        <v>1323</v>
      </c>
      <c r="J408" s="1" t="s">
        <v>2590</v>
      </c>
      <c r="K408" s="1" t="s">
        <v>2591</v>
      </c>
      <c r="L408" s="1" t="s">
        <v>45</v>
      </c>
      <c r="M408" s="1" t="s">
        <v>46</v>
      </c>
      <c r="N408" s="1">
        <v>300000</v>
      </c>
      <c r="O408" s="1">
        <v>2019</v>
      </c>
      <c r="P408" s="1">
        <v>300000</v>
      </c>
      <c r="Q408" s="1">
        <v>2019</v>
      </c>
      <c r="R408" s="1">
        <v>1</v>
      </c>
      <c r="S408" s="1" t="s">
        <v>46</v>
      </c>
      <c r="T408" s="1">
        <v>1</v>
      </c>
      <c r="U408" s="1" t="s">
        <v>2592</v>
      </c>
      <c r="V408" s="2"/>
      <c r="W408" s="2"/>
      <c r="X408" s="2"/>
      <c r="Y408" s="2"/>
      <c r="Z408" s="2"/>
      <c r="AA408" s="2"/>
      <c r="AB408" s="2"/>
      <c r="AC408" s="2"/>
      <c r="AD408" s="2"/>
      <c r="AE408" s="2"/>
      <c r="AF408" s="2"/>
      <c r="AG408" s="2"/>
      <c r="AH408" s="2"/>
      <c r="AI408" s="2"/>
      <c r="AJ408" s="2"/>
    </row>
    <row r="409" spans="1:41" ht="17.149999999999999" customHeight="1">
      <c r="A409" s="14" t="s">
        <v>2593</v>
      </c>
      <c r="B409" s="14" t="s">
        <v>37</v>
      </c>
      <c r="C409" s="14" t="s">
        <v>2594</v>
      </c>
      <c r="D409" s="17" t="s">
        <v>2594</v>
      </c>
      <c r="E409" s="17" t="s">
        <v>2595</v>
      </c>
      <c r="F409" s="17" t="s">
        <v>62</v>
      </c>
      <c r="G409" s="17" t="s">
        <v>40</v>
      </c>
      <c r="H409" s="14" t="s">
        <v>41</v>
      </c>
      <c r="I409" s="14" t="s">
        <v>63</v>
      </c>
      <c r="J409" s="14" t="s">
        <v>2596</v>
      </c>
      <c r="K409" s="14" t="s">
        <v>2597</v>
      </c>
      <c r="L409" s="14" t="s">
        <v>45</v>
      </c>
      <c r="M409" s="14" t="s">
        <v>46</v>
      </c>
      <c r="N409" s="14" t="s">
        <v>46</v>
      </c>
      <c r="O409" s="14" t="s">
        <v>46</v>
      </c>
      <c r="P409" s="16">
        <v>75515</v>
      </c>
      <c r="Q409" s="16">
        <v>2022</v>
      </c>
      <c r="R409" s="14" t="s">
        <v>46</v>
      </c>
      <c r="S409" s="14">
        <v>1</v>
      </c>
      <c r="T409" s="14">
        <v>1</v>
      </c>
      <c r="U409" s="14" t="s">
        <v>2598</v>
      </c>
      <c r="V409" s="6" t="s">
        <v>40</v>
      </c>
      <c r="W409" s="6" t="s">
        <v>323</v>
      </c>
      <c r="X409" s="6" t="s">
        <v>40</v>
      </c>
      <c r="Y409" s="6"/>
      <c r="Z409" s="6" t="s">
        <v>1557</v>
      </c>
      <c r="AA409" s="6" t="s">
        <v>2599</v>
      </c>
      <c r="AB409" s="76" t="s">
        <v>2576</v>
      </c>
      <c r="AC409" s="5" t="s">
        <v>2600</v>
      </c>
      <c r="AD409" s="6" t="s">
        <v>40</v>
      </c>
      <c r="AE409" s="2">
        <v>1</v>
      </c>
      <c r="AF409" s="2" t="s">
        <v>404</v>
      </c>
      <c r="AG409" s="2" t="s">
        <v>2578</v>
      </c>
      <c r="AH409" s="2" t="s">
        <v>57</v>
      </c>
      <c r="AJ409" s="2" t="s">
        <v>57</v>
      </c>
    </row>
    <row r="410" spans="1:41" ht="17.149999999999999" hidden="1" customHeight="1">
      <c r="A410" s="1" t="s">
        <v>2601</v>
      </c>
      <c r="B410" s="1"/>
      <c r="C410" s="1" t="s">
        <v>2602</v>
      </c>
      <c r="D410" s="1"/>
      <c r="E410" s="1"/>
      <c r="F410" s="1"/>
      <c r="G410" s="1"/>
      <c r="H410" s="1" t="s">
        <v>128</v>
      </c>
      <c r="I410" s="1" t="s">
        <v>2603</v>
      </c>
      <c r="J410" s="1" t="s">
        <v>2604</v>
      </c>
      <c r="K410" s="1" t="s">
        <v>2605</v>
      </c>
      <c r="L410" s="1" t="s">
        <v>118</v>
      </c>
      <c r="M410" s="1" t="s">
        <v>2606</v>
      </c>
      <c r="N410" s="1" t="s">
        <v>46</v>
      </c>
      <c r="O410" s="1" t="s">
        <v>46</v>
      </c>
      <c r="P410" s="1">
        <v>300000</v>
      </c>
      <c r="Q410" s="1">
        <v>2019</v>
      </c>
      <c r="R410" s="1">
        <v>1</v>
      </c>
      <c r="S410" s="1">
        <v>1</v>
      </c>
      <c r="T410" s="1" t="s">
        <v>46</v>
      </c>
      <c r="U410" s="1" t="s">
        <v>2607</v>
      </c>
    </row>
    <row r="411" spans="1:41" ht="17.149999999999999" hidden="1" customHeight="1">
      <c r="A411" s="1" t="s">
        <v>2608</v>
      </c>
      <c r="B411" s="1"/>
      <c r="C411" s="1" t="s">
        <v>2609</v>
      </c>
      <c r="D411" s="1"/>
      <c r="E411" s="1"/>
      <c r="F411" s="1"/>
      <c r="G411" s="1"/>
      <c r="H411" s="1" t="s">
        <v>249</v>
      </c>
      <c r="I411" s="1" t="s">
        <v>2610</v>
      </c>
      <c r="J411" s="1" t="s">
        <v>2611</v>
      </c>
      <c r="K411" s="1" t="s">
        <v>2612</v>
      </c>
      <c r="L411" s="1" t="s">
        <v>45</v>
      </c>
      <c r="M411" s="1" t="s">
        <v>1566</v>
      </c>
      <c r="N411" s="1" t="s">
        <v>46</v>
      </c>
      <c r="O411" s="1" t="s">
        <v>46</v>
      </c>
      <c r="P411" s="1">
        <v>131057</v>
      </c>
      <c r="Q411" s="1">
        <v>2018</v>
      </c>
      <c r="R411" s="1" t="s">
        <v>46</v>
      </c>
      <c r="S411" s="1">
        <v>1</v>
      </c>
      <c r="T411" s="1">
        <v>1</v>
      </c>
      <c r="U411" s="1" t="s">
        <v>2613</v>
      </c>
    </row>
    <row r="412" spans="1:41" ht="17.149999999999999" hidden="1" customHeight="1">
      <c r="A412" s="1" t="s">
        <v>2614</v>
      </c>
      <c r="B412" s="1" t="s">
        <v>167</v>
      </c>
      <c r="C412" s="1" t="s">
        <v>2615</v>
      </c>
      <c r="D412" s="1"/>
      <c r="E412" s="1"/>
      <c r="F412" s="1"/>
      <c r="G412" s="1"/>
      <c r="H412" s="1" t="s">
        <v>110</v>
      </c>
      <c r="I412" s="1" t="s">
        <v>307</v>
      </c>
      <c r="J412" s="1" t="s">
        <v>2616</v>
      </c>
      <c r="K412" s="1" t="s">
        <v>2617</v>
      </c>
      <c r="L412" s="1" t="s">
        <v>45</v>
      </c>
      <c r="M412" s="1" t="s">
        <v>46</v>
      </c>
      <c r="N412" s="1">
        <v>293500</v>
      </c>
      <c r="O412" s="1">
        <v>2019</v>
      </c>
      <c r="P412" s="1">
        <v>293500</v>
      </c>
      <c r="Q412" s="1">
        <v>2019</v>
      </c>
      <c r="R412" s="1" t="s">
        <v>46</v>
      </c>
      <c r="S412" s="1">
        <v>1</v>
      </c>
      <c r="T412" s="1">
        <v>1</v>
      </c>
      <c r="U412" s="1" t="s">
        <v>2618</v>
      </c>
    </row>
    <row r="413" spans="1:41" ht="17.149999999999999" hidden="1" customHeight="1">
      <c r="A413" s="1" t="s">
        <v>2619</v>
      </c>
      <c r="B413" s="1"/>
      <c r="C413" s="1" t="s">
        <v>2620</v>
      </c>
      <c r="D413" s="1"/>
      <c r="E413" s="1"/>
      <c r="F413" s="1"/>
      <c r="G413" s="1"/>
      <c r="H413" s="1" t="s">
        <v>177</v>
      </c>
      <c r="I413" s="1" t="s">
        <v>1242</v>
      </c>
      <c r="J413" s="1" t="s">
        <v>2621</v>
      </c>
      <c r="K413" s="1" t="s">
        <v>2622</v>
      </c>
      <c r="L413" s="1" t="s">
        <v>118</v>
      </c>
      <c r="M413" s="1" t="s">
        <v>725</v>
      </c>
      <c r="N413" s="1">
        <v>290000</v>
      </c>
      <c r="O413" s="1">
        <v>2019</v>
      </c>
      <c r="P413" s="1">
        <v>290000</v>
      </c>
      <c r="Q413" s="1">
        <v>2019</v>
      </c>
      <c r="R413" s="1" t="s">
        <v>46</v>
      </c>
      <c r="S413" s="1">
        <v>1</v>
      </c>
      <c r="T413" s="1">
        <v>1</v>
      </c>
      <c r="U413" s="1" t="s">
        <v>2623</v>
      </c>
    </row>
    <row r="414" spans="1:41" ht="17.149999999999999" hidden="1" customHeight="1">
      <c r="A414" s="1" t="s">
        <v>2624</v>
      </c>
      <c r="B414" s="1" t="s">
        <v>167</v>
      </c>
      <c r="C414" s="1" t="s">
        <v>2625</v>
      </c>
      <c r="D414" s="1"/>
      <c r="E414" s="1"/>
      <c r="F414" s="1"/>
      <c r="G414" s="1"/>
      <c r="H414" s="1" t="s">
        <v>110</v>
      </c>
      <c r="I414" s="1" t="s">
        <v>307</v>
      </c>
      <c r="J414" s="1" t="s">
        <v>2626</v>
      </c>
      <c r="K414" s="1" t="s">
        <v>2627</v>
      </c>
      <c r="L414" s="1" t="s">
        <v>45</v>
      </c>
      <c r="M414" s="1" t="s">
        <v>46</v>
      </c>
      <c r="N414" s="1">
        <v>550000</v>
      </c>
      <c r="O414" s="1">
        <v>2018</v>
      </c>
      <c r="P414" s="1">
        <v>289060</v>
      </c>
      <c r="Q414" s="1">
        <v>2015</v>
      </c>
      <c r="R414" s="1" t="s">
        <v>46</v>
      </c>
      <c r="S414" s="1">
        <v>1</v>
      </c>
      <c r="T414" s="1">
        <v>1</v>
      </c>
      <c r="U414" s="1" t="s">
        <v>2628</v>
      </c>
    </row>
    <row r="415" spans="1:41" ht="17.149999999999999" hidden="1" customHeight="1">
      <c r="A415" s="1" t="s">
        <v>2629</v>
      </c>
      <c r="B415" s="1"/>
      <c r="C415" s="1" t="s">
        <v>2630</v>
      </c>
      <c r="D415" s="1"/>
      <c r="E415" s="1"/>
      <c r="F415" s="1"/>
      <c r="G415" s="1"/>
      <c r="H415" s="1" t="s">
        <v>1171</v>
      </c>
      <c r="I415" s="1" t="s">
        <v>46</v>
      </c>
      <c r="J415" s="1" t="s">
        <v>1976</v>
      </c>
      <c r="K415" s="1" t="s">
        <v>2631</v>
      </c>
      <c r="L415" s="1" t="s">
        <v>118</v>
      </c>
      <c r="M415" s="1" t="s">
        <v>2632</v>
      </c>
      <c r="N415" s="1">
        <v>298571</v>
      </c>
      <c r="O415" s="1">
        <v>2018</v>
      </c>
      <c r="P415" s="1">
        <v>289000</v>
      </c>
      <c r="Q415" s="1">
        <v>2015</v>
      </c>
      <c r="R415" s="1" t="s">
        <v>46</v>
      </c>
      <c r="S415" s="1">
        <v>1</v>
      </c>
      <c r="T415" s="1" t="s">
        <v>46</v>
      </c>
      <c r="U415" s="1" t="s">
        <v>2633</v>
      </c>
    </row>
    <row r="416" spans="1:41" ht="17.149999999999999" customHeight="1">
      <c r="A416" s="14" t="s">
        <v>2634</v>
      </c>
      <c r="B416" s="14" t="s">
        <v>37</v>
      </c>
      <c r="C416" s="14" t="s">
        <v>2635</v>
      </c>
      <c r="D416" s="17" t="s">
        <v>2635</v>
      </c>
      <c r="E416" s="17" t="s">
        <v>2636</v>
      </c>
      <c r="F416" s="17" t="s">
        <v>62</v>
      </c>
      <c r="G416" s="17" t="s">
        <v>40</v>
      </c>
      <c r="H416" s="14" t="s">
        <v>41</v>
      </c>
      <c r="I416" s="14" t="s">
        <v>63</v>
      </c>
      <c r="J416" s="14" t="s">
        <v>2637</v>
      </c>
      <c r="K416" s="14" t="s">
        <v>2638</v>
      </c>
      <c r="L416" s="14" t="s">
        <v>45</v>
      </c>
      <c r="M416" s="14" t="s">
        <v>46</v>
      </c>
      <c r="N416" s="14" t="s">
        <v>46</v>
      </c>
      <c r="O416" s="14" t="s">
        <v>46</v>
      </c>
      <c r="P416" s="139"/>
      <c r="Q416" s="14" t="s">
        <v>46</v>
      </c>
      <c r="R416" s="14" t="s">
        <v>46</v>
      </c>
      <c r="S416" s="14">
        <v>1</v>
      </c>
      <c r="T416" s="14">
        <v>1</v>
      </c>
      <c r="U416" s="14" t="s">
        <v>2639</v>
      </c>
      <c r="V416" s="6" t="s">
        <v>40</v>
      </c>
      <c r="W416" s="6" t="s">
        <v>67</v>
      </c>
      <c r="X416" s="6" t="s">
        <v>40</v>
      </c>
      <c r="Y416" s="33" t="s">
        <v>2640</v>
      </c>
      <c r="Z416" s="6" t="s">
        <v>1355</v>
      </c>
      <c r="AA416" s="6" t="s">
        <v>2641</v>
      </c>
      <c r="AB416" s="6"/>
      <c r="AC416" s="6" t="s">
        <v>2642</v>
      </c>
      <c r="AD416" s="6"/>
      <c r="AE416" s="42"/>
      <c r="AF416" s="42"/>
      <c r="AG416" s="42"/>
      <c r="AH416" s="42"/>
      <c r="AI416" s="42"/>
      <c r="AJ416" s="42" t="s">
        <v>1318</v>
      </c>
      <c r="AK416" s="42"/>
      <c r="AL416" s="42"/>
      <c r="AM416" s="42"/>
      <c r="AN416" s="42"/>
      <c r="AO416" s="42"/>
    </row>
    <row r="417" spans="1:36" ht="17.149999999999999" hidden="1" customHeight="1">
      <c r="A417" s="1" t="s">
        <v>2643</v>
      </c>
      <c r="B417" s="1" t="s">
        <v>167</v>
      </c>
      <c r="C417" s="1" t="s">
        <v>2644</v>
      </c>
      <c r="D417" s="1"/>
      <c r="E417" s="1"/>
      <c r="F417" s="1"/>
      <c r="G417" s="1"/>
      <c r="H417" s="1" t="s">
        <v>110</v>
      </c>
      <c r="I417" s="1" t="s">
        <v>2028</v>
      </c>
      <c r="J417" s="1" t="s">
        <v>2645</v>
      </c>
      <c r="K417" s="1" t="s">
        <v>2646</v>
      </c>
      <c r="L417" s="1" t="s">
        <v>118</v>
      </c>
      <c r="M417" s="1" t="s">
        <v>46</v>
      </c>
      <c r="N417" s="1">
        <v>286000</v>
      </c>
      <c r="O417" s="1">
        <v>2023</v>
      </c>
      <c r="P417" s="1">
        <v>286000</v>
      </c>
      <c r="Q417" s="1">
        <v>2023</v>
      </c>
      <c r="R417" s="1" t="s">
        <v>46</v>
      </c>
      <c r="S417" s="1">
        <v>1</v>
      </c>
      <c r="T417" s="1">
        <v>1</v>
      </c>
      <c r="U417" s="1" t="s">
        <v>46</v>
      </c>
    </row>
    <row r="418" spans="1:36" ht="17.149999999999999" hidden="1" customHeight="1">
      <c r="A418" s="1" t="s">
        <v>2647</v>
      </c>
      <c r="B418" s="1"/>
      <c r="C418" s="1" t="s">
        <v>2648</v>
      </c>
      <c r="D418" s="1"/>
      <c r="E418" s="1"/>
      <c r="F418" s="1"/>
      <c r="G418" s="1"/>
      <c r="H418" s="1" t="s">
        <v>249</v>
      </c>
      <c r="I418" s="1" t="s">
        <v>2070</v>
      </c>
      <c r="J418" s="1" t="s">
        <v>2070</v>
      </c>
      <c r="K418" s="1" t="s">
        <v>2649</v>
      </c>
      <c r="L418" s="1" t="s">
        <v>45</v>
      </c>
      <c r="M418" s="1" t="s">
        <v>46</v>
      </c>
      <c r="N418" s="1" t="s">
        <v>46</v>
      </c>
      <c r="O418" s="1" t="s">
        <v>46</v>
      </c>
      <c r="P418" s="1">
        <v>130748</v>
      </c>
      <c r="Q418" s="1">
        <v>2018</v>
      </c>
      <c r="R418" s="1" t="s">
        <v>46</v>
      </c>
      <c r="S418" s="1">
        <v>1</v>
      </c>
      <c r="T418" s="1" t="s">
        <v>46</v>
      </c>
      <c r="U418" s="1" t="s">
        <v>2650</v>
      </c>
    </row>
    <row r="419" spans="1:36" ht="17.149999999999999" hidden="1" customHeight="1">
      <c r="A419" s="24" t="s">
        <v>2651</v>
      </c>
      <c r="B419" s="24"/>
      <c r="C419" s="83" t="s">
        <v>2652</v>
      </c>
      <c r="D419" s="65"/>
      <c r="E419" s="65"/>
      <c r="F419" s="65"/>
      <c r="G419" s="65"/>
      <c r="H419" s="24" t="s">
        <v>41</v>
      </c>
      <c r="I419" s="24" t="s">
        <v>42</v>
      </c>
      <c r="J419" s="24" t="s">
        <v>2653</v>
      </c>
      <c r="K419" s="24" t="s">
        <v>2654</v>
      </c>
      <c r="L419" s="24" t="s">
        <v>151</v>
      </c>
      <c r="M419" s="24" t="s">
        <v>2655</v>
      </c>
      <c r="N419" s="24" t="s">
        <v>46</v>
      </c>
      <c r="O419" s="24" t="s">
        <v>46</v>
      </c>
      <c r="P419" s="24">
        <v>283900</v>
      </c>
      <c r="Q419" s="24">
        <v>2016</v>
      </c>
      <c r="R419" s="24" t="s">
        <v>46</v>
      </c>
      <c r="S419" s="24">
        <v>1</v>
      </c>
      <c r="T419" s="24">
        <v>1</v>
      </c>
      <c r="U419" s="24" t="s">
        <v>2656</v>
      </c>
      <c r="V419" s="25" t="s">
        <v>2657</v>
      </c>
      <c r="W419" s="25"/>
      <c r="X419" s="25"/>
      <c r="Y419" s="25"/>
      <c r="Z419" s="25"/>
      <c r="AA419" s="25"/>
      <c r="AB419" s="25"/>
      <c r="AC419" s="25"/>
      <c r="AD419" s="25"/>
    </row>
    <row r="420" spans="1:36" ht="17.149999999999999" hidden="1" customHeight="1">
      <c r="A420" s="1" t="s">
        <v>2658</v>
      </c>
      <c r="B420" s="1"/>
      <c r="C420" s="1" t="s">
        <v>2659</v>
      </c>
      <c r="D420" s="1"/>
      <c r="E420" s="1"/>
      <c r="F420" s="1"/>
      <c r="G420" s="1"/>
      <c r="H420" s="1" t="s">
        <v>249</v>
      </c>
      <c r="I420" s="1" t="s">
        <v>2610</v>
      </c>
      <c r="J420" s="1" t="s">
        <v>2660</v>
      </c>
      <c r="K420" s="1" t="s">
        <v>2661</v>
      </c>
      <c r="L420" s="1" t="s">
        <v>45</v>
      </c>
      <c r="M420" s="1" t="s">
        <v>2662</v>
      </c>
      <c r="N420" s="1" t="s">
        <v>46</v>
      </c>
      <c r="O420" s="1" t="s">
        <v>46</v>
      </c>
      <c r="P420" s="1">
        <v>127124</v>
      </c>
      <c r="Q420" s="1">
        <v>2018</v>
      </c>
      <c r="R420" s="1">
        <v>1</v>
      </c>
      <c r="S420" s="1" t="s">
        <v>46</v>
      </c>
      <c r="T420" s="1">
        <v>1</v>
      </c>
      <c r="U420" s="1" t="s">
        <v>2663</v>
      </c>
    </row>
    <row r="421" spans="1:36" ht="17.149999999999999" hidden="1" customHeight="1">
      <c r="A421" s="1" t="s">
        <v>2664</v>
      </c>
      <c r="B421" s="1"/>
      <c r="C421" s="141" t="s">
        <v>2665</v>
      </c>
      <c r="D421" s="1"/>
      <c r="E421" s="1"/>
      <c r="F421" s="1"/>
      <c r="G421" s="1"/>
      <c r="H421" s="1" t="s">
        <v>249</v>
      </c>
      <c r="I421" s="1" t="s">
        <v>2666</v>
      </c>
      <c r="J421" s="1" t="s">
        <v>2667</v>
      </c>
      <c r="K421" s="1" t="s">
        <v>2668</v>
      </c>
      <c r="L421" s="1" t="s">
        <v>45</v>
      </c>
      <c r="M421" s="1" t="s">
        <v>46</v>
      </c>
      <c r="N421" s="1" t="s">
        <v>46</v>
      </c>
      <c r="O421" s="1" t="s">
        <v>46</v>
      </c>
      <c r="P421" s="1">
        <v>126645</v>
      </c>
      <c r="Q421" s="1">
        <v>2018</v>
      </c>
      <c r="R421" s="1" t="s">
        <v>46</v>
      </c>
      <c r="S421" s="1">
        <v>1</v>
      </c>
      <c r="T421" s="1" t="s">
        <v>46</v>
      </c>
      <c r="U421" s="1" t="s">
        <v>2669</v>
      </c>
    </row>
    <row r="422" spans="1:36" ht="17.149999999999999" hidden="1" customHeight="1">
      <c r="A422" s="1" t="s">
        <v>2670</v>
      </c>
      <c r="B422" s="1"/>
      <c r="C422" s="1" t="s">
        <v>2671</v>
      </c>
      <c r="D422" s="1"/>
      <c r="E422" s="1"/>
      <c r="F422" s="1"/>
      <c r="G422" s="1"/>
      <c r="H422" s="1" t="s">
        <v>313</v>
      </c>
      <c r="I422" s="1" t="s">
        <v>2672</v>
      </c>
      <c r="J422" s="1" t="s">
        <v>2672</v>
      </c>
      <c r="K422" s="1" t="s">
        <v>2673</v>
      </c>
      <c r="L422" s="1" t="s">
        <v>45</v>
      </c>
      <c r="M422" s="1" t="s">
        <v>46</v>
      </c>
      <c r="N422" s="1">
        <v>350000</v>
      </c>
      <c r="O422" s="1">
        <v>2019</v>
      </c>
      <c r="P422" s="1">
        <v>282000</v>
      </c>
      <c r="Q422" s="1">
        <v>2019</v>
      </c>
      <c r="R422" s="1" t="s">
        <v>46</v>
      </c>
      <c r="S422" s="1">
        <v>1</v>
      </c>
      <c r="T422" s="1">
        <v>1</v>
      </c>
      <c r="U422" s="1" t="s">
        <v>2674</v>
      </c>
    </row>
    <row r="423" spans="1:36" ht="17.149999999999999" hidden="1" customHeight="1">
      <c r="A423" s="1" t="s">
        <v>2675</v>
      </c>
      <c r="B423" s="1" t="s">
        <v>167</v>
      </c>
      <c r="C423" s="1" t="s">
        <v>2676</v>
      </c>
      <c r="D423" s="1"/>
      <c r="E423" s="1"/>
      <c r="F423" s="1"/>
      <c r="G423" s="1"/>
      <c r="H423" s="1" t="s">
        <v>110</v>
      </c>
      <c r="I423" s="1" t="s">
        <v>2304</v>
      </c>
      <c r="J423" s="1" t="s">
        <v>2677</v>
      </c>
      <c r="K423" s="1" t="s">
        <v>2678</v>
      </c>
      <c r="L423" s="1" t="s">
        <v>45</v>
      </c>
      <c r="M423" s="1" t="s">
        <v>46</v>
      </c>
      <c r="N423" s="1">
        <v>280000</v>
      </c>
      <c r="O423" s="1">
        <v>2015</v>
      </c>
      <c r="P423" s="1">
        <v>280000</v>
      </c>
      <c r="Q423" s="1">
        <v>2015</v>
      </c>
      <c r="R423" s="1" t="s">
        <v>46</v>
      </c>
      <c r="S423" s="1">
        <v>1</v>
      </c>
      <c r="T423" s="1">
        <v>1</v>
      </c>
      <c r="U423" s="1" t="s">
        <v>2679</v>
      </c>
    </row>
    <row r="424" spans="1:36" ht="17.149999999999999" hidden="1" customHeight="1">
      <c r="A424" s="1" t="s">
        <v>2680</v>
      </c>
      <c r="B424" s="1"/>
      <c r="C424" s="1" t="s">
        <v>2681</v>
      </c>
      <c r="D424" s="1"/>
      <c r="E424" s="1"/>
      <c r="F424" s="1"/>
      <c r="G424" s="1"/>
      <c r="H424" s="1" t="s">
        <v>1391</v>
      </c>
      <c r="I424" s="1" t="s">
        <v>2682</v>
      </c>
      <c r="J424" s="1" t="s">
        <v>2683</v>
      </c>
      <c r="K424" s="1" t="s">
        <v>2684</v>
      </c>
      <c r="L424" s="1" t="s">
        <v>45</v>
      </c>
      <c r="M424" s="1" t="s">
        <v>46</v>
      </c>
      <c r="N424" s="1">
        <v>280000</v>
      </c>
      <c r="O424" s="1">
        <v>2015</v>
      </c>
      <c r="P424" s="1">
        <v>280000</v>
      </c>
      <c r="Q424" s="1">
        <v>2015</v>
      </c>
      <c r="R424" s="1" t="s">
        <v>46</v>
      </c>
      <c r="S424" s="1">
        <v>1</v>
      </c>
      <c r="T424" s="1">
        <v>1</v>
      </c>
      <c r="U424" s="1" t="s">
        <v>2685</v>
      </c>
    </row>
    <row r="425" spans="1:36" ht="17.149999999999999" hidden="1" customHeight="1">
      <c r="A425" s="1" t="s">
        <v>2686</v>
      </c>
      <c r="B425" s="1"/>
      <c r="C425" s="1" t="s">
        <v>2687</v>
      </c>
      <c r="D425" s="1"/>
      <c r="E425" s="1"/>
      <c r="F425" s="1"/>
      <c r="G425" s="1"/>
      <c r="H425" s="1" t="s">
        <v>249</v>
      </c>
      <c r="I425" s="1" t="s">
        <v>2122</v>
      </c>
      <c r="J425" s="1" t="s">
        <v>2688</v>
      </c>
      <c r="K425" s="1" t="s">
        <v>2689</v>
      </c>
      <c r="L425" s="1" t="s">
        <v>45</v>
      </c>
      <c r="M425" s="1" t="s">
        <v>46</v>
      </c>
      <c r="N425" s="1" t="s">
        <v>46</v>
      </c>
      <c r="O425" s="1" t="s">
        <v>46</v>
      </c>
      <c r="P425" s="1">
        <v>120770</v>
      </c>
      <c r="Q425" s="1">
        <v>2018</v>
      </c>
      <c r="R425" s="1" t="s">
        <v>46</v>
      </c>
      <c r="S425" s="1">
        <v>1</v>
      </c>
      <c r="T425" s="1">
        <v>1</v>
      </c>
      <c r="U425" s="1" t="s">
        <v>2690</v>
      </c>
    </row>
    <row r="426" spans="1:36" ht="17.149999999999999" hidden="1" customHeight="1">
      <c r="A426" s="1" t="s">
        <v>2691</v>
      </c>
      <c r="B426" s="1"/>
      <c r="C426" s="1" t="s">
        <v>2692</v>
      </c>
      <c r="D426" s="1"/>
      <c r="E426" s="1"/>
      <c r="F426" s="1"/>
      <c r="G426" s="1"/>
      <c r="H426" s="1" t="s">
        <v>1279</v>
      </c>
      <c r="I426" s="1" t="s">
        <v>46</v>
      </c>
      <c r="J426" s="1" t="s">
        <v>2693</v>
      </c>
      <c r="K426" s="1" t="s">
        <v>2694</v>
      </c>
      <c r="L426" s="1" t="s">
        <v>45</v>
      </c>
      <c r="M426" s="1" t="s">
        <v>46</v>
      </c>
      <c r="N426" s="1">
        <v>321216</v>
      </c>
      <c r="O426" s="1">
        <v>2018</v>
      </c>
      <c r="P426" s="1">
        <v>273929</v>
      </c>
      <c r="Q426" s="1">
        <v>2018</v>
      </c>
      <c r="R426" s="1" t="s">
        <v>46</v>
      </c>
      <c r="S426" s="1">
        <v>1</v>
      </c>
      <c r="T426" s="1" t="s">
        <v>46</v>
      </c>
      <c r="U426" s="1" t="s">
        <v>2695</v>
      </c>
    </row>
    <row r="427" spans="1:36" ht="17.149999999999999" customHeight="1">
      <c r="A427" s="14" t="s">
        <v>2696</v>
      </c>
      <c r="B427" s="14" t="s">
        <v>37</v>
      </c>
      <c r="C427" s="14" t="s">
        <v>2697</v>
      </c>
      <c r="D427" s="17" t="s">
        <v>2697</v>
      </c>
      <c r="E427" s="17" t="s">
        <v>2698</v>
      </c>
      <c r="F427" s="17" t="s">
        <v>62</v>
      </c>
      <c r="G427" s="17" t="s">
        <v>40</v>
      </c>
      <c r="H427" s="14" t="s">
        <v>41</v>
      </c>
      <c r="I427" s="14" t="s">
        <v>63</v>
      </c>
      <c r="J427" s="14" t="s">
        <v>2699</v>
      </c>
      <c r="K427" s="14" t="s">
        <v>2700</v>
      </c>
      <c r="L427" s="14" t="s">
        <v>45</v>
      </c>
      <c r="M427" s="14" t="s">
        <v>46</v>
      </c>
      <c r="N427" s="14" t="s">
        <v>46</v>
      </c>
      <c r="O427" s="14" t="s">
        <v>46</v>
      </c>
      <c r="P427" s="14" t="s">
        <v>46</v>
      </c>
      <c r="Q427" s="14" t="s">
        <v>46</v>
      </c>
      <c r="R427" s="14" t="s">
        <v>46</v>
      </c>
      <c r="S427" s="14">
        <v>1</v>
      </c>
      <c r="T427" s="14">
        <v>1</v>
      </c>
      <c r="U427" s="14" t="s">
        <v>2701</v>
      </c>
      <c r="V427" s="6" t="s">
        <v>40</v>
      </c>
      <c r="W427" s="6" t="s">
        <v>78</v>
      </c>
      <c r="X427" s="6" t="s">
        <v>40</v>
      </c>
      <c r="Y427" s="6"/>
      <c r="Z427" s="6" t="s">
        <v>2702</v>
      </c>
      <c r="AA427" s="6" t="s">
        <v>2703</v>
      </c>
      <c r="AB427" s="6"/>
      <c r="AC427" s="6" t="s">
        <v>2704</v>
      </c>
      <c r="AD427" s="6" t="s">
        <v>40</v>
      </c>
      <c r="AE427" s="42">
        <v>1</v>
      </c>
      <c r="AF427" s="42" t="s">
        <v>404</v>
      </c>
      <c r="AG427" s="42" t="s">
        <v>405</v>
      </c>
      <c r="AH427" s="42"/>
      <c r="AI427" s="42"/>
      <c r="AJ427" s="42" t="s">
        <v>1318</v>
      </c>
    </row>
    <row r="428" spans="1:36" ht="17.149999999999999" hidden="1" customHeight="1">
      <c r="A428" s="1" t="s">
        <v>2705</v>
      </c>
      <c r="B428" s="1" t="s">
        <v>167</v>
      </c>
      <c r="C428" s="1" t="s">
        <v>2706</v>
      </c>
      <c r="D428" s="1"/>
      <c r="E428" s="1"/>
      <c r="F428" s="1"/>
      <c r="G428" s="1"/>
      <c r="H428" s="1" t="s">
        <v>110</v>
      </c>
      <c r="I428" s="1" t="s">
        <v>300</v>
      </c>
      <c r="J428" s="1" t="s">
        <v>2707</v>
      </c>
      <c r="K428" s="1" t="s">
        <v>2708</v>
      </c>
      <c r="L428" s="1" t="s">
        <v>118</v>
      </c>
      <c r="M428" s="1" t="s">
        <v>2709</v>
      </c>
      <c r="N428" s="1">
        <v>272918</v>
      </c>
      <c r="O428" s="1">
        <v>2015</v>
      </c>
      <c r="P428" s="1">
        <v>272918</v>
      </c>
      <c r="Q428" s="1">
        <v>2015</v>
      </c>
      <c r="R428" s="1" t="s">
        <v>46</v>
      </c>
      <c r="S428" s="1">
        <v>1</v>
      </c>
      <c r="T428" s="1">
        <v>1</v>
      </c>
      <c r="U428" s="1" t="s">
        <v>2710</v>
      </c>
    </row>
    <row r="429" spans="1:36" ht="17.149999999999999" hidden="1" customHeight="1">
      <c r="A429" s="1" t="s">
        <v>2711</v>
      </c>
      <c r="B429" s="1"/>
      <c r="C429" s="1" t="s">
        <v>2712</v>
      </c>
      <c r="D429" s="1"/>
      <c r="E429" s="1"/>
      <c r="F429" s="1"/>
      <c r="G429" s="1"/>
      <c r="H429" s="1" t="s">
        <v>249</v>
      </c>
      <c r="I429" s="1" t="s">
        <v>2316</v>
      </c>
      <c r="J429" s="1" t="s">
        <v>2713</v>
      </c>
      <c r="K429" s="1" t="s">
        <v>2714</v>
      </c>
      <c r="L429" s="1" t="s">
        <v>45</v>
      </c>
      <c r="M429" s="1" t="s">
        <v>46</v>
      </c>
      <c r="N429" s="1" t="s">
        <v>46</v>
      </c>
      <c r="O429" s="1" t="s">
        <v>46</v>
      </c>
      <c r="P429" s="1">
        <v>118234</v>
      </c>
      <c r="Q429" s="1">
        <v>2018</v>
      </c>
      <c r="R429" s="1" t="s">
        <v>46</v>
      </c>
      <c r="S429" s="1">
        <v>1</v>
      </c>
      <c r="T429" s="1" t="s">
        <v>46</v>
      </c>
      <c r="U429" s="1" t="s">
        <v>2715</v>
      </c>
    </row>
    <row r="430" spans="1:36" ht="17.149999999999999" hidden="1" customHeight="1">
      <c r="A430" s="1" t="s">
        <v>2716</v>
      </c>
      <c r="B430" s="1" t="s">
        <v>167</v>
      </c>
      <c r="C430" s="1" t="s">
        <v>2717</v>
      </c>
      <c r="D430" s="1"/>
      <c r="E430" s="1"/>
      <c r="F430" s="1"/>
      <c r="G430" s="1"/>
      <c r="H430" s="1" t="s">
        <v>110</v>
      </c>
      <c r="I430" s="1" t="s">
        <v>307</v>
      </c>
      <c r="J430" s="1" t="s">
        <v>2718</v>
      </c>
      <c r="K430" s="1" t="s">
        <v>2719</v>
      </c>
      <c r="L430" s="1" t="s">
        <v>45</v>
      </c>
      <c r="M430" s="1" t="s">
        <v>46</v>
      </c>
      <c r="N430" s="1">
        <v>515000</v>
      </c>
      <c r="O430" s="1">
        <v>2019</v>
      </c>
      <c r="P430" s="1">
        <v>264187</v>
      </c>
      <c r="Q430" s="1">
        <v>2015</v>
      </c>
      <c r="R430" s="1" t="s">
        <v>46</v>
      </c>
      <c r="S430" s="1">
        <v>1</v>
      </c>
      <c r="T430" s="1">
        <v>1</v>
      </c>
      <c r="U430" s="1" t="s">
        <v>2720</v>
      </c>
    </row>
    <row r="431" spans="1:36" ht="17.149999999999999" customHeight="1">
      <c r="A431" s="14" t="s">
        <v>2721</v>
      </c>
      <c r="B431" s="14" t="s">
        <v>37</v>
      </c>
      <c r="C431" s="49" t="s">
        <v>2722</v>
      </c>
      <c r="D431" s="17" t="s">
        <v>2722</v>
      </c>
      <c r="E431" s="17" t="s">
        <v>2723</v>
      </c>
      <c r="F431" s="17" t="s">
        <v>62</v>
      </c>
      <c r="G431" s="17" t="s">
        <v>40</v>
      </c>
      <c r="H431" s="14" t="s">
        <v>41</v>
      </c>
      <c r="I431" s="14" t="s">
        <v>135</v>
      </c>
      <c r="J431" s="14" t="s">
        <v>2724</v>
      </c>
      <c r="K431" s="14" t="s">
        <v>2725</v>
      </c>
      <c r="L431" s="14" t="s">
        <v>45</v>
      </c>
      <c r="M431" s="14" t="s">
        <v>46</v>
      </c>
      <c r="N431" s="14" t="s">
        <v>46</v>
      </c>
      <c r="O431" s="14" t="s">
        <v>46</v>
      </c>
      <c r="P431" s="46">
        <v>309050</v>
      </c>
      <c r="Q431" s="46">
        <v>2024</v>
      </c>
      <c r="R431" s="14" t="s">
        <v>46</v>
      </c>
      <c r="S431" s="14">
        <v>1</v>
      </c>
      <c r="T431" s="14">
        <v>1</v>
      </c>
      <c r="U431" s="14" t="s">
        <v>2726</v>
      </c>
      <c r="V431" s="6" t="s">
        <v>40</v>
      </c>
      <c r="W431" s="6" t="s">
        <v>1216</v>
      </c>
      <c r="X431" s="33" t="s">
        <v>40</v>
      </c>
      <c r="Y431" s="33"/>
      <c r="Z431" s="6" t="s">
        <v>2727</v>
      </c>
      <c r="AA431" s="6" t="s">
        <v>2728</v>
      </c>
      <c r="AB431" s="6"/>
      <c r="AC431" s="6" t="s">
        <v>2729</v>
      </c>
      <c r="AD431" s="6" t="s">
        <v>40</v>
      </c>
      <c r="AE431" s="2">
        <v>1</v>
      </c>
      <c r="AF431" s="2" t="s">
        <v>53</v>
      </c>
      <c r="AG431" s="2" t="s">
        <v>2730</v>
      </c>
      <c r="AH431" s="2" t="s">
        <v>55</v>
      </c>
      <c r="AJ431" s="2" t="s">
        <v>57</v>
      </c>
    </row>
    <row r="432" spans="1:36" ht="17.149999999999999" hidden="1" customHeight="1">
      <c r="A432" s="14" t="s">
        <v>2731</v>
      </c>
      <c r="B432" s="14" t="s">
        <v>37</v>
      </c>
      <c r="C432" s="56" t="s">
        <v>2732</v>
      </c>
      <c r="D432" s="61"/>
      <c r="E432" s="61"/>
      <c r="F432" s="61"/>
      <c r="G432" s="61"/>
      <c r="H432" s="14" t="s">
        <v>41</v>
      </c>
      <c r="I432" s="14" t="s">
        <v>63</v>
      </c>
      <c r="J432" s="14" t="s">
        <v>2733</v>
      </c>
      <c r="K432" s="14" t="s">
        <v>2734</v>
      </c>
      <c r="L432" s="14" t="s">
        <v>45</v>
      </c>
      <c r="M432" s="14" t="s">
        <v>46</v>
      </c>
      <c r="N432" s="14">
        <v>242865</v>
      </c>
      <c r="O432" s="14">
        <v>2016</v>
      </c>
      <c r="P432" s="14">
        <v>262300</v>
      </c>
      <c r="Q432" s="14">
        <v>2016</v>
      </c>
      <c r="R432" s="14" t="s">
        <v>46</v>
      </c>
      <c r="S432" s="14">
        <v>1</v>
      </c>
      <c r="T432" s="14" t="s">
        <v>46</v>
      </c>
      <c r="U432" s="14" t="s">
        <v>2735</v>
      </c>
      <c r="V432" s="6" t="s">
        <v>101</v>
      </c>
      <c r="W432" s="6"/>
      <c r="X432" s="8" t="s">
        <v>103</v>
      </c>
      <c r="Y432" s="8"/>
      <c r="Z432" s="6"/>
      <c r="AA432" s="6" t="s">
        <v>2736</v>
      </c>
      <c r="AB432" s="76" t="s">
        <v>2737</v>
      </c>
      <c r="AC432" s="6"/>
      <c r="AD432" s="8" t="s">
        <v>286</v>
      </c>
      <c r="AE432" s="2">
        <v>3</v>
      </c>
      <c r="AF432" s="2" t="s">
        <v>2738</v>
      </c>
      <c r="AG432" s="2" t="s">
        <v>145</v>
      </c>
    </row>
    <row r="433" spans="1:41" ht="17.149999999999999" hidden="1" customHeight="1">
      <c r="A433" s="1" t="s">
        <v>2739</v>
      </c>
      <c r="B433" s="1"/>
      <c r="C433" s="1" t="s">
        <v>2740</v>
      </c>
      <c r="D433" s="1"/>
      <c r="E433" s="1"/>
      <c r="F433" s="1"/>
      <c r="G433" s="1"/>
      <c r="H433" s="1" t="s">
        <v>249</v>
      </c>
      <c r="I433" s="1" t="s">
        <v>1308</v>
      </c>
      <c r="J433" s="1" t="s">
        <v>2741</v>
      </c>
      <c r="K433" s="1" t="s">
        <v>2742</v>
      </c>
      <c r="L433" s="1" t="s">
        <v>45</v>
      </c>
      <c r="M433" s="1" t="s">
        <v>46</v>
      </c>
      <c r="N433" s="1" t="s">
        <v>46</v>
      </c>
      <c r="O433" s="1" t="s">
        <v>46</v>
      </c>
      <c r="P433" s="1">
        <v>116474</v>
      </c>
      <c r="Q433" s="1">
        <v>2018</v>
      </c>
      <c r="R433" s="1" t="s">
        <v>46</v>
      </c>
      <c r="S433" s="1">
        <v>1</v>
      </c>
      <c r="T433" s="1">
        <v>1</v>
      </c>
      <c r="U433" s="1" t="s">
        <v>2743</v>
      </c>
    </row>
    <row r="434" spans="1:41" ht="17.149999999999999" hidden="1" customHeight="1">
      <c r="A434" s="1" t="s">
        <v>2744</v>
      </c>
      <c r="B434" s="1"/>
      <c r="C434" s="1" t="s">
        <v>2745</v>
      </c>
      <c r="D434" s="1"/>
      <c r="E434" s="1"/>
      <c r="F434" s="1"/>
      <c r="G434" s="1"/>
      <c r="H434" s="1" t="s">
        <v>249</v>
      </c>
      <c r="I434" s="1" t="s">
        <v>2746</v>
      </c>
      <c r="J434" s="1" t="s">
        <v>2747</v>
      </c>
      <c r="K434" s="1" t="s">
        <v>2161</v>
      </c>
      <c r="L434" s="1" t="s">
        <v>45</v>
      </c>
      <c r="M434" s="1" t="s">
        <v>46</v>
      </c>
      <c r="N434" s="1" t="s">
        <v>46</v>
      </c>
      <c r="O434" s="1" t="s">
        <v>46</v>
      </c>
      <c r="P434" s="1">
        <v>111618</v>
      </c>
      <c r="Q434" s="1">
        <v>2018</v>
      </c>
      <c r="R434" s="1" t="s">
        <v>46</v>
      </c>
      <c r="S434" s="1">
        <v>1</v>
      </c>
      <c r="T434" s="1">
        <v>1</v>
      </c>
      <c r="U434" s="1" t="s">
        <v>2748</v>
      </c>
    </row>
    <row r="435" spans="1:41" ht="17.149999999999999" hidden="1" customHeight="1">
      <c r="A435" s="1" t="s">
        <v>2749</v>
      </c>
      <c r="B435" s="1"/>
      <c r="C435" s="1" t="s">
        <v>2750</v>
      </c>
      <c r="D435" s="1"/>
      <c r="E435" s="1"/>
      <c r="F435" s="1"/>
      <c r="G435" s="1"/>
      <c r="H435" s="1" t="s">
        <v>249</v>
      </c>
      <c r="I435" s="1" t="s">
        <v>2070</v>
      </c>
      <c r="J435" s="1" t="s">
        <v>2070</v>
      </c>
      <c r="K435" s="1" t="s">
        <v>2751</v>
      </c>
      <c r="L435" s="1" t="s">
        <v>45</v>
      </c>
      <c r="M435" s="1" t="s">
        <v>46</v>
      </c>
      <c r="N435" s="1" t="s">
        <v>46</v>
      </c>
      <c r="O435" s="1" t="s">
        <v>46</v>
      </c>
      <c r="P435" s="1">
        <v>109803</v>
      </c>
      <c r="Q435" s="1">
        <v>2018</v>
      </c>
      <c r="R435" s="1" t="s">
        <v>46</v>
      </c>
      <c r="S435" s="1">
        <v>1</v>
      </c>
      <c r="T435" s="1" t="s">
        <v>46</v>
      </c>
      <c r="U435" s="1" t="s">
        <v>2752</v>
      </c>
    </row>
    <row r="436" spans="1:41" ht="17.149999999999999" hidden="1" customHeight="1">
      <c r="A436" s="21" t="s">
        <v>2753</v>
      </c>
      <c r="B436" s="21" t="s">
        <v>37</v>
      </c>
      <c r="C436" s="58" t="s">
        <v>2754</v>
      </c>
      <c r="D436" s="61"/>
      <c r="E436" s="61"/>
      <c r="F436" s="61"/>
      <c r="G436" s="61"/>
      <c r="H436" s="21" t="s">
        <v>41</v>
      </c>
      <c r="I436" s="21" t="s">
        <v>63</v>
      </c>
      <c r="J436" s="21" t="s">
        <v>465</v>
      </c>
      <c r="K436" s="21" t="s">
        <v>2755</v>
      </c>
      <c r="L436" s="21" t="s">
        <v>151</v>
      </c>
      <c r="M436" s="21" t="s">
        <v>2756</v>
      </c>
      <c r="N436" s="21" t="s">
        <v>46</v>
      </c>
      <c r="O436" s="21" t="s">
        <v>46</v>
      </c>
      <c r="P436" s="21">
        <v>260000</v>
      </c>
      <c r="Q436" s="21">
        <v>2016</v>
      </c>
      <c r="R436" s="21" t="s">
        <v>46</v>
      </c>
      <c r="S436" s="21">
        <v>1</v>
      </c>
      <c r="T436" s="21">
        <v>1</v>
      </c>
      <c r="U436" s="21" t="s">
        <v>2757</v>
      </c>
      <c r="V436" s="22" t="s">
        <v>103</v>
      </c>
      <c r="W436" s="22"/>
      <c r="X436" s="22"/>
      <c r="Y436" s="22"/>
      <c r="Z436" s="22"/>
      <c r="AA436" s="22"/>
      <c r="AB436" s="22"/>
      <c r="AC436" s="22" t="s">
        <v>2758</v>
      </c>
      <c r="AD436" s="22"/>
    </row>
    <row r="437" spans="1:41" ht="17.149999999999999" hidden="1" customHeight="1">
      <c r="A437" s="1" t="s">
        <v>2759</v>
      </c>
      <c r="B437" s="1"/>
      <c r="C437" s="1" t="s">
        <v>2760</v>
      </c>
      <c r="D437" s="1"/>
      <c r="E437" s="1"/>
      <c r="F437" s="1"/>
      <c r="G437" s="1"/>
      <c r="H437" s="1" t="s">
        <v>313</v>
      </c>
      <c r="I437" s="1" t="s">
        <v>2761</v>
      </c>
      <c r="J437" s="1" t="s">
        <v>2761</v>
      </c>
      <c r="K437" s="1" t="s">
        <v>2762</v>
      </c>
      <c r="L437" s="1" t="s">
        <v>45</v>
      </c>
      <c r="M437" s="1" t="s">
        <v>46</v>
      </c>
      <c r="N437" s="1">
        <v>300000</v>
      </c>
      <c r="O437" s="1">
        <v>2018</v>
      </c>
      <c r="P437" s="1">
        <v>260000</v>
      </c>
      <c r="Q437" s="1">
        <v>2018</v>
      </c>
      <c r="R437" s="1" t="s">
        <v>46</v>
      </c>
      <c r="S437" s="1">
        <v>1</v>
      </c>
      <c r="T437" s="1">
        <v>1</v>
      </c>
      <c r="U437" s="1" t="s">
        <v>2763</v>
      </c>
    </row>
    <row r="438" spans="1:41" ht="17.149999999999999" hidden="1" customHeight="1">
      <c r="A438" s="1" t="s">
        <v>2764</v>
      </c>
      <c r="B438" s="1"/>
      <c r="C438" s="141" t="s">
        <v>2765</v>
      </c>
      <c r="D438" s="1"/>
      <c r="E438" s="1"/>
      <c r="F438" s="1"/>
      <c r="G438" s="1"/>
      <c r="H438" s="1" t="s">
        <v>249</v>
      </c>
      <c r="I438" s="1" t="s">
        <v>2766</v>
      </c>
      <c r="J438" s="1" t="s">
        <v>2767</v>
      </c>
      <c r="K438" s="1" t="s">
        <v>2768</v>
      </c>
      <c r="L438" s="1" t="s">
        <v>45</v>
      </c>
      <c r="M438" s="1" t="s">
        <v>46</v>
      </c>
      <c r="N438" s="1" t="s">
        <v>46</v>
      </c>
      <c r="O438" s="1" t="s">
        <v>46</v>
      </c>
      <c r="P438" s="1">
        <v>109242</v>
      </c>
      <c r="Q438" s="1">
        <v>2018</v>
      </c>
      <c r="R438" s="1" t="s">
        <v>46</v>
      </c>
      <c r="S438" s="1">
        <v>1</v>
      </c>
      <c r="T438" s="1">
        <v>1</v>
      </c>
      <c r="U438" s="1" t="s">
        <v>2769</v>
      </c>
    </row>
    <row r="439" spans="1:41" ht="17.149999999999999" hidden="1" customHeight="1">
      <c r="A439" s="24" t="s">
        <v>2770</v>
      </c>
      <c r="B439" s="24" t="s">
        <v>37</v>
      </c>
      <c r="C439" s="62" t="s">
        <v>2771</v>
      </c>
      <c r="D439" s="61"/>
      <c r="E439" s="61"/>
      <c r="F439" s="61"/>
      <c r="G439" s="61"/>
      <c r="H439" s="24" t="s">
        <v>41</v>
      </c>
      <c r="I439" s="24" t="s">
        <v>148</v>
      </c>
      <c r="J439" s="24" t="s">
        <v>2772</v>
      </c>
      <c r="K439" s="24" t="s">
        <v>2773</v>
      </c>
      <c r="L439" s="24" t="s">
        <v>45</v>
      </c>
      <c r="M439" s="24" t="s">
        <v>46</v>
      </c>
      <c r="N439" s="24" t="s">
        <v>46</v>
      </c>
      <c r="O439" s="24" t="s">
        <v>46</v>
      </c>
      <c r="P439" s="24">
        <v>259700</v>
      </c>
      <c r="Q439" s="24">
        <v>2016</v>
      </c>
      <c r="R439" s="24" t="s">
        <v>46</v>
      </c>
      <c r="S439" s="24">
        <v>1</v>
      </c>
      <c r="T439" s="24">
        <v>1</v>
      </c>
      <c r="U439" s="24" t="s">
        <v>2774</v>
      </c>
      <c r="V439" s="25" t="s">
        <v>2775</v>
      </c>
      <c r="W439" s="25"/>
      <c r="X439" s="25"/>
      <c r="Y439" s="25"/>
      <c r="Z439" s="25"/>
      <c r="AA439" s="25" t="s">
        <v>2776</v>
      </c>
      <c r="AB439" s="25"/>
      <c r="AC439" s="25" t="s">
        <v>2777</v>
      </c>
      <c r="AD439" s="25"/>
      <c r="AG439" s="2" t="s">
        <v>2778</v>
      </c>
      <c r="AJ439" s="42"/>
    </row>
    <row r="440" spans="1:41" ht="17.149999999999999" hidden="1" customHeight="1">
      <c r="A440" s="1" t="s">
        <v>2779</v>
      </c>
      <c r="B440" s="1"/>
      <c r="C440" s="1" t="s">
        <v>2780</v>
      </c>
      <c r="D440" s="1"/>
      <c r="E440" s="1"/>
      <c r="F440" s="1"/>
      <c r="G440" s="1"/>
      <c r="H440" s="1" t="s">
        <v>249</v>
      </c>
      <c r="I440" s="1" t="s">
        <v>46</v>
      </c>
      <c r="J440" s="1" t="s">
        <v>2781</v>
      </c>
      <c r="K440" s="1" t="s">
        <v>2782</v>
      </c>
      <c r="L440" s="1" t="s">
        <v>46</v>
      </c>
      <c r="M440" s="1" t="s">
        <v>1566</v>
      </c>
      <c r="N440" s="1" t="s">
        <v>46</v>
      </c>
      <c r="O440" s="1" t="s">
        <v>46</v>
      </c>
      <c r="P440" s="1">
        <v>108400</v>
      </c>
      <c r="Q440" s="1">
        <v>2015</v>
      </c>
      <c r="R440" s="1" t="s">
        <v>46</v>
      </c>
      <c r="S440" s="1">
        <v>1</v>
      </c>
      <c r="T440" s="1">
        <v>1</v>
      </c>
      <c r="U440" s="1" t="s">
        <v>1005</v>
      </c>
    </row>
    <row r="441" spans="1:41" ht="17.149999999999999" hidden="1" customHeight="1">
      <c r="A441" s="17" t="s">
        <v>2783</v>
      </c>
      <c r="B441" s="17"/>
      <c r="C441" s="61" t="s">
        <v>2784</v>
      </c>
      <c r="D441" s="61"/>
      <c r="E441" s="61"/>
      <c r="F441" s="61"/>
      <c r="G441" s="61"/>
      <c r="H441" s="17" t="s">
        <v>41</v>
      </c>
      <c r="I441" s="17" t="s">
        <v>2785</v>
      </c>
      <c r="J441" s="17" t="s">
        <v>2786</v>
      </c>
      <c r="K441" s="17" t="s">
        <v>2787</v>
      </c>
      <c r="L441" s="17" t="s">
        <v>45</v>
      </c>
      <c r="M441" s="17" t="s">
        <v>2788</v>
      </c>
      <c r="N441" s="17">
        <v>236095</v>
      </c>
      <c r="O441" s="17">
        <v>2016</v>
      </c>
      <c r="P441" s="17">
        <v>259100</v>
      </c>
      <c r="Q441" s="17">
        <v>2016</v>
      </c>
      <c r="R441" s="17" t="s">
        <v>46</v>
      </c>
      <c r="S441" s="17">
        <v>1</v>
      </c>
      <c r="T441" s="17">
        <v>1</v>
      </c>
      <c r="U441" s="17" t="s">
        <v>2789</v>
      </c>
      <c r="V441" s="18"/>
      <c r="W441" s="18"/>
      <c r="X441" s="18"/>
      <c r="Y441" s="18"/>
      <c r="Z441" s="18"/>
      <c r="AA441" s="18"/>
      <c r="AB441" s="18"/>
      <c r="AC441" s="18"/>
      <c r="AD441" s="18"/>
    </row>
    <row r="442" spans="1:41" ht="17.149999999999999" customHeight="1">
      <c r="A442" s="14" t="s">
        <v>2790</v>
      </c>
      <c r="B442" s="14" t="s">
        <v>37</v>
      </c>
      <c r="C442" s="49" t="s">
        <v>2791</v>
      </c>
      <c r="D442" s="144" t="s">
        <v>2792</v>
      </c>
      <c r="E442" s="144" t="s">
        <v>2792</v>
      </c>
      <c r="F442" s="144" t="s">
        <v>2793</v>
      </c>
      <c r="G442" s="17" t="s">
        <v>40</v>
      </c>
      <c r="H442" s="14" t="s">
        <v>41</v>
      </c>
      <c r="I442" s="14" t="s">
        <v>63</v>
      </c>
      <c r="J442" s="14" t="s">
        <v>2794</v>
      </c>
      <c r="K442" s="14" t="s">
        <v>2795</v>
      </c>
      <c r="L442" s="14" t="s">
        <v>45</v>
      </c>
      <c r="M442" s="14" t="s">
        <v>46</v>
      </c>
      <c r="N442" s="14" t="s">
        <v>46</v>
      </c>
      <c r="O442" s="14" t="s">
        <v>46</v>
      </c>
      <c r="P442" s="14">
        <v>264100</v>
      </c>
      <c r="Q442" s="14">
        <v>2016</v>
      </c>
      <c r="R442" s="14" t="s">
        <v>46</v>
      </c>
      <c r="S442" s="14">
        <v>1</v>
      </c>
      <c r="T442" s="14">
        <v>1</v>
      </c>
      <c r="U442" s="14" t="s">
        <v>2796</v>
      </c>
      <c r="V442" s="6" t="s">
        <v>40</v>
      </c>
      <c r="W442" s="6" t="s">
        <v>2797</v>
      </c>
      <c r="X442" s="33" t="s">
        <v>40</v>
      </c>
      <c r="Y442" s="33"/>
      <c r="Z442" s="6" t="s">
        <v>2798</v>
      </c>
      <c r="AA442" s="6" t="s">
        <v>2799</v>
      </c>
      <c r="AB442" s="76" t="s">
        <v>2800</v>
      </c>
      <c r="AC442" s="6" t="s">
        <v>2801</v>
      </c>
      <c r="AD442" s="6" t="s">
        <v>40</v>
      </c>
      <c r="AE442" s="2">
        <v>1</v>
      </c>
      <c r="AF442" s="2" t="s">
        <v>53</v>
      </c>
      <c r="AH442" s="2" t="s">
        <v>55</v>
      </c>
      <c r="AI442" s="2" t="s">
        <v>2802</v>
      </c>
      <c r="AJ442" s="2" t="s">
        <v>57</v>
      </c>
    </row>
    <row r="443" spans="1:41" ht="17.149999999999999" hidden="1" customHeight="1">
      <c r="A443" s="1" t="s">
        <v>2803</v>
      </c>
      <c r="B443" s="1"/>
      <c r="C443" s="1" t="s">
        <v>2804</v>
      </c>
      <c r="D443" s="1"/>
      <c r="E443" s="1"/>
      <c r="F443" s="1"/>
      <c r="G443" s="1"/>
      <c r="H443" s="1" t="s">
        <v>1279</v>
      </c>
      <c r="I443" s="1" t="s">
        <v>46</v>
      </c>
      <c r="J443" s="1" t="s">
        <v>2805</v>
      </c>
      <c r="K443" s="1" t="s">
        <v>2806</v>
      </c>
      <c r="L443" s="1" t="s">
        <v>45</v>
      </c>
      <c r="M443" s="1" t="s">
        <v>46</v>
      </c>
      <c r="N443" s="1">
        <v>258019</v>
      </c>
      <c r="O443" s="1">
        <v>2019</v>
      </c>
      <c r="P443" s="1">
        <v>258019</v>
      </c>
      <c r="Q443" s="1">
        <v>2019</v>
      </c>
      <c r="R443" s="1" t="s">
        <v>46</v>
      </c>
      <c r="S443" s="1">
        <v>1</v>
      </c>
      <c r="T443" s="1" t="s">
        <v>46</v>
      </c>
      <c r="U443" s="1" t="s">
        <v>2807</v>
      </c>
    </row>
    <row r="444" spans="1:41" ht="17.149999999999999" hidden="1" customHeight="1">
      <c r="A444" s="1" t="s">
        <v>2808</v>
      </c>
      <c r="B444" s="1"/>
      <c r="C444" s="1" t="s">
        <v>2809</v>
      </c>
      <c r="D444" s="1"/>
      <c r="E444" s="1"/>
      <c r="F444" s="1"/>
      <c r="G444" s="1"/>
      <c r="H444" s="1" t="s">
        <v>1367</v>
      </c>
      <c r="I444" s="1" t="s">
        <v>46</v>
      </c>
      <c r="J444" s="1" t="s">
        <v>2475</v>
      </c>
      <c r="K444" s="1" t="s">
        <v>2810</v>
      </c>
      <c r="L444" s="1" t="s">
        <v>45</v>
      </c>
      <c r="M444" s="1" t="s">
        <v>46</v>
      </c>
      <c r="N444" s="1">
        <v>271508</v>
      </c>
      <c r="O444" s="1">
        <v>2017</v>
      </c>
      <c r="P444" s="1">
        <v>256120</v>
      </c>
      <c r="Q444" s="1">
        <v>2017</v>
      </c>
      <c r="R444" s="1" t="s">
        <v>46</v>
      </c>
      <c r="S444" s="1">
        <v>1</v>
      </c>
      <c r="T444" s="1">
        <v>1</v>
      </c>
      <c r="U444" s="1" t="s">
        <v>2811</v>
      </c>
    </row>
    <row r="445" spans="1:41" ht="17.149999999999999" customHeight="1">
      <c r="A445" s="14" t="s">
        <v>2812</v>
      </c>
      <c r="B445" s="14" t="s">
        <v>37</v>
      </c>
      <c r="C445" s="14" t="s">
        <v>2813</v>
      </c>
      <c r="D445" s="17" t="s">
        <v>2813</v>
      </c>
      <c r="E445" s="17" t="s">
        <v>2814</v>
      </c>
      <c r="F445" s="17" t="s">
        <v>62</v>
      </c>
      <c r="G445" s="17" t="s">
        <v>40</v>
      </c>
      <c r="H445" s="14" t="s">
        <v>41</v>
      </c>
      <c r="I445" s="14" t="s">
        <v>63</v>
      </c>
      <c r="J445" s="14" t="s">
        <v>2815</v>
      </c>
      <c r="K445" s="14" t="s">
        <v>2816</v>
      </c>
      <c r="L445" s="14" t="s">
        <v>45</v>
      </c>
      <c r="M445" s="14" t="s">
        <v>46</v>
      </c>
      <c r="N445" s="14" t="s">
        <v>46</v>
      </c>
      <c r="O445" s="14" t="s">
        <v>46</v>
      </c>
      <c r="P445" s="14" t="s">
        <v>46</v>
      </c>
      <c r="Q445" s="14" t="s">
        <v>46</v>
      </c>
      <c r="R445" s="14" t="s">
        <v>46</v>
      </c>
      <c r="S445" s="14">
        <v>1</v>
      </c>
      <c r="T445" s="14">
        <v>1</v>
      </c>
      <c r="U445" s="14" t="s">
        <v>2817</v>
      </c>
      <c r="V445" s="6" t="s">
        <v>40</v>
      </c>
      <c r="W445" s="6" t="s">
        <v>664</v>
      </c>
      <c r="X445" s="6" t="s">
        <v>40</v>
      </c>
      <c r="Y445" s="6" t="s">
        <v>2640</v>
      </c>
      <c r="Z445" s="6" t="s">
        <v>2818</v>
      </c>
      <c r="AA445" s="6" t="s">
        <v>2819</v>
      </c>
      <c r="AB445" s="6"/>
      <c r="AC445" s="6" t="s">
        <v>2820</v>
      </c>
      <c r="AD445" s="6" t="s">
        <v>40</v>
      </c>
      <c r="AE445" s="42">
        <v>1</v>
      </c>
      <c r="AF445" s="42" t="s">
        <v>404</v>
      </c>
      <c r="AG445" s="42" t="s">
        <v>900</v>
      </c>
      <c r="AH445" s="42"/>
      <c r="AI445" s="42" t="s">
        <v>2821</v>
      </c>
      <c r="AJ445" s="42" t="s">
        <v>1318</v>
      </c>
      <c r="AK445" s="42"/>
      <c r="AL445" s="42"/>
      <c r="AM445" s="42"/>
      <c r="AN445" s="42"/>
      <c r="AO445" s="42"/>
    </row>
    <row r="446" spans="1:41" ht="17.149999999999999" hidden="1" customHeight="1">
      <c r="A446" s="1" t="s">
        <v>2822</v>
      </c>
      <c r="B446" s="1"/>
      <c r="C446" s="141" t="s">
        <v>2823</v>
      </c>
      <c r="D446" s="1"/>
      <c r="E446" s="1"/>
      <c r="F446" s="1"/>
      <c r="G446" s="1"/>
      <c r="H446" s="1" t="s">
        <v>249</v>
      </c>
      <c r="I446" s="1" t="s">
        <v>2058</v>
      </c>
      <c r="J446" s="1" t="s">
        <v>2824</v>
      </c>
      <c r="K446" s="1" t="s">
        <v>2825</v>
      </c>
      <c r="L446" s="1" t="s">
        <v>45</v>
      </c>
      <c r="M446" s="1" t="s">
        <v>46</v>
      </c>
      <c r="N446" s="1" t="s">
        <v>46</v>
      </c>
      <c r="O446" s="1" t="s">
        <v>46</v>
      </c>
      <c r="P446" s="1">
        <v>107824</v>
      </c>
      <c r="Q446" s="1">
        <v>2018</v>
      </c>
      <c r="R446" s="1" t="s">
        <v>46</v>
      </c>
      <c r="S446" s="1">
        <v>1</v>
      </c>
      <c r="T446" s="1" t="s">
        <v>46</v>
      </c>
      <c r="U446" s="1" t="s">
        <v>2826</v>
      </c>
    </row>
    <row r="447" spans="1:41" ht="17.149999999999999" hidden="1" customHeight="1">
      <c r="A447" s="1" t="s">
        <v>2827</v>
      </c>
      <c r="B447" s="1"/>
      <c r="C447" s="1" t="s">
        <v>2828</v>
      </c>
      <c r="D447" s="1"/>
      <c r="E447" s="1"/>
      <c r="F447" s="1"/>
      <c r="G447" s="1"/>
      <c r="H447" s="1" t="s">
        <v>177</v>
      </c>
      <c r="I447" s="1" t="s">
        <v>1323</v>
      </c>
      <c r="J447" s="1" t="s">
        <v>2829</v>
      </c>
      <c r="K447" s="1" t="s">
        <v>2830</v>
      </c>
      <c r="L447" s="1" t="s">
        <v>45</v>
      </c>
      <c r="M447" s="1" t="s">
        <v>46</v>
      </c>
      <c r="N447" s="1">
        <v>256668</v>
      </c>
      <c r="O447" s="1">
        <v>2018</v>
      </c>
      <c r="P447" s="1">
        <v>252488</v>
      </c>
      <c r="Q447" s="1">
        <v>2018</v>
      </c>
      <c r="R447" s="1">
        <v>1</v>
      </c>
      <c r="S447" s="1">
        <v>1</v>
      </c>
      <c r="T447" s="1">
        <v>1</v>
      </c>
      <c r="U447" s="1" t="s">
        <v>2831</v>
      </c>
    </row>
    <row r="448" spans="1:41" ht="17.149999999999999" hidden="1" customHeight="1">
      <c r="A448" s="21" t="s">
        <v>2832</v>
      </c>
      <c r="B448" s="21" t="s">
        <v>37</v>
      </c>
      <c r="C448" s="60" t="s">
        <v>2833</v>
      </c>
      <c r="D448" s="65"/>
      <c r="E448" s="65"/>
      <c r="F448" s="65"/>
      <c r="G448" s="65"/>
      <c r="H448" s="21" t="s">
        <v>41</v>
      </c>
      <c r="I448" s="21" t="s">
        <v>2834</v>
      </c>
      <c r="J448" s="21" t="s">
        <v>2835</v>
      </c>
      <c r="K448" s="21" t="s">
        <v>2836</v>
      </c>
      <c r="L448" s="21" t="s">
        <v>45</v>
      </c>
      <c r="M448" s="21" t="s">
        <v>46</v>
      </c>
      <c r="N448" s="21" t="s">
        <v>46</v>
      </c>
      <c r="O448" s="21" t="s">
        <v>46</v>
      </c>
      <c r="P448" s="21">
        <v>251900</v>
      </c>
      <c r="Q448" s="21">
        <v>2016</v>
      </c>
      <c r="R448" s="21" t="s">
        <v>46</v>
      </c>
      <c r="S448" s="21">
        <v>1</v>
      </c>
      <c r="T448" s="21">
        <v>1</v>
      </c>
      <c r="U448" s="21" t="s">
        <v>2837</v>
      </c>
      <c r="V448" s="22" t="s">
        <v>103</v>
      </c>
      <c r="W448" s="22"/>
      <c r="X448" s="22"/>
      <c r="Y448" s="22"/>
      <c r="Z448" s="22"/>
      <c r="AA448" s="22"/>
      <c r="AB448" s="22"/>
      <c r="AC448" s="22" t="s">
        <v>2838</v>
      </c>
      <c r="AD448" s="22"/>
      <c r="AE448" s="44"/>
      <c r="AF448" s="44"/>
      <c r="AG448" s="44" t="s">
        <v>2839</v>
      </c>
    </row>
    <row r="449" spans="1:41" ht="17.149999999999999" hidden="1" customHeight="1">
      <c r="A449" s="17" t="s">
        <v>2840</v>
      </c>
      <c r="B449" s="17"/>
      <c r="C449" s="17" t="s">
        <v>2841</v>
      </c>
      <c r="D449" s="17"/>
      <c r="E449" s="17"/>
      <c r="F449" s="17"/>
      <c r="G449" s="17"/>
      <c r="H449" s="17" t="s">
        <v>41</v>
      </c>
      <c r="I449" s="17" t="s">
        <v>551</v>
      </c>
      <c r="J449" s="17" t="s">
        <v>2842</v>
      </c>
      <c r="K449" s="17" t="s">
        <v>2843</v>
      </c>
      <c r="L449" s="17" t="s">
        <v>45</v>
      </c>
      <c r="M449" s="17" t="s">
        <v>46</v>
      </c>
      <c r="N449" s="17" t="s">
        <v>46</v>
      </c>
      <c r="O449" s="17" t="s">
        <v>46</v>
      </c>
      <c r="P449" s="17">
        <v>251800</v>
      </c>
      <c r="Q449" s="17">
        <v>2016</v>
      </c>
      <c r="R449" s="17" t="s">
        <v>46</v>
      </c>
      <c r="S449" s="17">
        <v>1</v>
      </c>
      <c r="T449" s="17">
        <v>1</v>
      </c>
      <c r="U449" s="17" t="s">
        <v>2844</v>
      </c>
      <c r="V449" s="18"/>
      <c r="W449" s="18"/>
      <c r="X449" s="18"/>
      <c r="Y449" s="18"/>
      <c r="Z449" s="18"/>
      <c r="AA449" s="18"/>
      <c r="AB449" s="18"/>
      <c r="AC449" s="18"/>
      <c r="AD449" s="18"/>
    </row>
    <row r="450" spans="1:41" ht="17.149999999999999" hidden="1" customHeight="1">
      <c r="A450" s="1" t="s">
        <v>2845</v>
      </c>
      <c r="B450" s="1"/>
      <c r="C450" s="1" t="s">
        <v>2846</v>
      </c>
      <c r="D450" s="1"/>
      <c r="E450" s="1"/>
      <c r="F450" s="1"/>
      <c r="G450" s="1"/>
      <c r="H450" s="1" t="s">
        <v>1367</v>
      </c>
      <c r="I450" s="1" t="s">
        <v>46</v>
      </c>
      <c r="J450" s="1" t="s">
        <v>2847</v>
      </c>
      <c r="K450" s="1" t="s">
        <v>2848</v>
      </c>
      <c r="L450" s="1" t="s">
        <v>45</v>
      </c>
      <c r="M450" s="1" t="s">
        <v>46</v>
      </c>
      <c r="N450" s="1">
        <v>317904</v>
      </c>
      <c r="O450" s="1">
        <v>2017</v>
      </c>
      <c r="P450" s="1">
        <v>251366</v>
      </c>
      <c r="Q450" s="1">
        <v>2017</v>
      </c>
      <c r="R450" s="1" t="s">
        <v>46</v>
      </c>
      <c r="S450" s="1">
        <v>1</v>
      </c>
      <c r="T450" s="1">
        <v>1</v>
      </c>
      <c r="U450" s="1" t="s">
        <v>2849</v>
      </c>
    </row>
    <row r="451" spans="1:41" ht="17.149999999999999" hidden="1" customHeight="1">
      <c r="A451" s="14" t="s">
        <v>2850</v>
      </c>
      <c r="B451" s="14" t="s">
        <v>37</v>
      </c>
      <c r="C451" s="56" t="s">
        <v>2851</v>
      </c>
      <c r="D451" s="61"/>
      <c r="E451" s="61"/>
      <c r="F451" s="61"/>
      <c r="G451" s="61"/>
      <c r="H451" s="14" t="s">
        <v>41</v>
      </c>
      <c r="I451" s="14" t="s">
        <v>1179</v>
      </c>
      <c r="J451" s="14" t="s">
        <v>2852</v>
      </c>
      <c r="K451" s="14" t="s">
        <v>2853</v>
      </c>
      <c r="L451" s="14" t="s">
        <v>151</v>
      </c>
      <c r="M451" s="14" t="s">
        <v>2854</v>
      </c>
      <c r="N451" s="14">
        <v>245711</v>
      </c>
      <c r="O451" s="14">
        <v>2016</v>
      </c>
      <c r="P451" s="14">
        <v>251200</v>
      </c>
      <c r="Q451" s="14">
        <v>2016</v>
      </c>
      <c r="R451" s="14" t="s">
        <v>46</v>
      </c>
      <c r="S451" s="14">
        <v>1</v>
      </c>
      <c r="T451" s="14">
        <v>1</v>
      </c>
      <c r="U451" s="14" t="s">
        <v>2855</v>
      </c>
      <c r="V451" s="6" t="s">
        <v>40</v>
      </c>
      <c r="W451" s="6" t="s">
        <v>2856</v>
      </c>
      <c r="X451" s="55" t="s">
        <v>2857</v>
      </c>
      <c r="Y451" s="55"/>
      <c r="Z451" s="6" t="s">
        <v>2858</v>
      </c>
      <c r="AA451" s="6" t="s">
        <v>2859</v>
      </c>
      <c r="AB451" s="6" t="s">
        <v>2860</v>
      </c>
      <c r="AC451" s="28" t="s">
        <v>2861</v>
      </c>
      <c r="AD451" s="8" t="s">
        <v>286</v>
      </c>
      <c r="AG451" s="2" t="s">
        <v>71</v>
      </c>
    </row>
    <row r="452" spans="1:41" ht="17.149999999999999" hidden="1" customHeight="1">
      <c r="A452" s="1" t="s">
        <v>2862</v>
      </c>
      <c r="B452" s="1"/>
      <c r="C452" s="141" t="s">
        <v>2863</v>
      </c>
      <c r="D452" s="1"/>
      <c r="E452" s="1"/>
      <c r="F452" s="1"/>
      <c r="G452" s="1"/>
      <c r="H452" s="1" t="s">
        <v>249</v>
      </c>
      <c r="I452" s="1" t="s">
        <v>2378</v>
      </c>
      <c r="J452" s="1" t="s">
        <v>2864</v>
      </c>
      <c r="K452" s="1" t="s">
        <v>2865</v>
      </c>
      <c r="L452" s="1" t="s">
        <v>45</v>
      </c>
      <c r="M452" s="1" t="s">
        <v>46</v>
      </c>
      <c r="N452" s="1" t="s">
        <v>46</v>
      </c>
      <c r="O452" s="1" t="s">
        <v>46</v>
      </c>
      <c r="P452" s="1">
        <v>105897</v>
      </c>
      <c r="Q452" s="1">
        <v>2018</v>
      </c>
      <c r="R452" s="1" t="s">
        <v>46</v>
      </c>
      <c r="S452" s="1">
        <v>1</v>
      </c>
      <c r="T452" s="1">
        <v>1</v>
      </c>
      <c r="U452" s="1" t="s">
        <v>2866</v>
      </c>
    </row>
    <row r="453" spans="1:41" ht="17.149999999999999" hidden="1" customHeight="1">
      <c r="A453" s="1" t="s">
        <v>2867</v>
      </c>
      <c r="B453" s="1"/>
      <c r="C453" s="1" t="s">
        <v>2868</v>
      </c>
      <c r="D453" s="1"/>
      <c r="E453" s="1"/>
      <c r="F453" s="1"/>
      <c r="G453" s="1"/>
      <c r="H453" s="1" t="s">
        <v>177</v>
      </c>
      <c r="I453" s="1" t="s">
        <v>345</v>
      </c>
      <c r="J453" s="1" t="s">
        <v>1375</v>
      </c>
      <c r="K453" s="1" t="s">
        <v>2869</v>
      </c>
      <c r="L453" s="1" t="s">
        <v>45</v>
      </c>
      <c r="M453" s="1" t="s">
        <v>46</v>
      </c>
      <c r="N453" s="1">
        <v>250000</v>
      </c>
      <c r="O453" s="1">
        <v>2019</v>
      </c>
      <c r="P453" s="1">
        <v>250000</v>
      </c>
      <c r="Q453" s="1">
        <v>2019</v>
      </c>
      <c r="R453" s="1">
        <v>1</v>
      </c>
      <c r="S453" s="1" t="s">
        <v>46</v>
      </c>
      <c r="T453" s="1">
        <v>1</v>
      </c>
      <c r="U453" s="1" t="s">
        <v>2870</v>
      </c>
    </row>
    <row r="454" spans="1:41" ht="17.149999999999999" hidden="1" customHeight="1">
      <c r="A454" s="1" t="s">
        <v>2871</v>
      </c>
      <c r="B454" s="1"/>
      <c r="C454" s="1" t="s">
        <v>2872</v>
      </c>
      <c r="D454" s="1"/>
      <c r="E454" s="1"/>
      <c r="F454" s="1"/>
      <c r="G454" s="1"/>
      <c r="H454" s="1" t="s">
        <v>313</v>
      </c>
      <c r="I454" s="1" t="s">
        <v>2873</v>
      </c>
      <c r="J454" s="1" t="s">
        <v>2873</v>
      </c>
      <c r="K454" s="1" t="s">
        <v>2874</v>
      </c>
      <c r="L454" s="1" t="s">
        <v>45</v>
      </c>
      <c r="M454" s="1" t="s">
        <v>46</v>
      </c>
      <c r="N454" s="1">
        <v>318000</v>
      </c>
      <c r="O454" s="1">
        <v>2018</v>
      </c>
      <c r="P454" s="1">
        <v>250000</v>
      </c>
      <c r="Q454" s="1">
        <v>2018</v>
      </c>
      <c r="R454" s="1">
        <v>1</v>
      </c>
      <c r="S454" s="1">
        <v>1</v>
      </c>
      <c r="T454" s="1">
        <v>1</v>
      </c>
      <c r="U454" s="1" t="s">
        <v>2875</v>
      </c>
    </row>
    <row r="455" spans="1:41" ht="17.149999999999999" customHeight="1">
      <c r="A455" s="14" t="s">
        <v>2876</v>
      </c>
      <c r="B455" s="14" t="s">
        <v>37</v>
      </c>
      <c r="C455" s="49" t="s">
        <v>2877</v>
      </c>
      <c r="D455" s="144" t="s">
        <v>2877</v>
      </c>
      <c r="E455" s="17" t="s">
        <v>2878</v>
      </c>
      <c r="F455" s="17" t="s">
        <v>62</v>
      </c>
      <c r="G455" s="17" t="s">
        <v>40</v>
      </c>
      <c r="H455" s="14" t="s">
        <v>41</v>
      </c>
      <c r="I455" s="14" t="s">
        <v>63</v>
      </c>
      <c r="J455" s="14" t="s">
        <v>2879</v>
      </c>
      <c r="K455" s="14" t="s">
        <v>2880</v>
      </c>
      <c r="L455" s="14" t="s">
        <v>45</v>
      </c>
      <c r="M455" s="14" t="s">
        <v>46</v>
      </c>
      <c r="N455" s="14" t="s">
        <v>46</v>
      </c>
      <c r="O455" s="14" t="s">
        <v>46</v>
      </c>
      <c r="P455" s="16">
        <v>323111</v>
      </c>
      <c r="Q455" s="16">
        <v>2025</v>
      </c>
      <c r="R455" s="14" t="s">
        <v>46</v>
      </c>
      <c r="S455" s="14">
        <v>1</v>
      </c>
      <c r="T455" s="14">
        <v>1</v>
      </c>
      <c r="U455" s="14" t="s">
        <v>2881</v>
      </c>
      <c r="V455" s="6" t="s">
        <v>40</v>
      </c>
      <c r="W455" s="6" t="s">
        <v>2882</v>
      </c>
      <c r="X455" s="33" t="s">
        <v>40</v>
      </c>
      <c r="Y455" s="33"/>
      <c r="Z455" s="6" t="s">
        <v>1774</v>
      </c>
      <c r="AA455" s="6" t="s">
        <v>2883</v>
      </c>
      <c r="AB455" s="6" t="s">
        <v>2884</v>
      </c>
      <c r="AC455" s="6" t="s">
        <v>2885</v>
      </c>
      <c r="AD455" s="6" t="s">
        <v>40</v>
      </c>
      <c r="AE455" s="2">
        <v>1</v>
      </c>
      <c r="AF455" s="2" t="s">
        <v>53</v>
      </c>
      <c r="AH455" s="73"/>
      <c r="AI455" s="73"/>
      <c r="AJ455" s="2" t="s">
        <v>57</v>
      </c>
    </row>
    <row r="456" spans="1:41" ht="17.149999999999999" hidden="1" customHeight="1">
      <c r="A456" s="1" t="s">
        <v>2886</v>
      </c>
      <c r="B456" s="1"/>
      <c r="C456" s="143" t="s">
        <v>2887</v>
      </c>
      <c r="D456" s="1"/>
      <c r="E456" s="1"/>
      <c r="F456" s="1"/>
      <c r="G456" s="1"/>
      <c r="H456" s="1" t="s">
        <v>249</v>
      </c>
      <c r="I456" s="1" t="s">
        <v>2070</v>
      </c>
      <c r="J456" s="1" t="s">
        <v>2888</v>
      </c>
      <c r="K456" s="1" t="s">
        <v>2104</v>
      </c>
      <c r="L456" s="1" t="s">
        <v>45</v>
      </c>
      <c r="M456" s="1" t="s">
        <v>1566</v>
      </c>
      <c r="N456" s="1" t="s">
        <v>46</v>
      </c>
      <c r="O456" s="1" t="s">
        <v>46</v>
      </c>
      <c r="P456" s="1">
        <v>105722</v>
      </c>
      <c r="Q456" s="1">
        <v>2018</v>
      </c>
      <c r="R456" s="1" t="s">
        <v>46</v>
      </c>
      <c r="S456" s="1">
        <v>1</v>
      </c>
      <c r="T456" s="1">
        <v>1</v>
      </c>
      <c r="U456" s="1" t="s">
        <v>2889</v>
      </c>
      <c r="Z456" s="2" t="s">
        <v>2890</v>
      </c>
      <c r="AA456" s="2" t="s">
        <v>2891</v>
      </c>
    </row>
    <row r="457" spans="1:41" ht="17.149999999999999" hidden="1" customHeight="1">
      <c r="A457" s="1" t="s">
        <v>2892</v>
      </c>
      <c r="B457" s="1"/>
      <c r="C457" s="1" t="s">
        <v>2893</v>
      </c>
      <c r="D457" s="1"/>
      <c r="E457" s="1"/>
      <c r="F457" s="1"/>
      <c r="G457" s="1"/>
      <c r="H457" s="1" t="s">
        <v>674</v>
      </c>
      <c r="I457" s="1" t="s">
        <v>46</v>
      </c>
      <c r="J457" s="1" t="s">
        <v>2894</v>
      </c>
      <c r="K457" s="1" t="s">
        <v>2895</v>
      </c>
      <c r="L457" s="1" t="s">
        <v>45</v>
      </c>
      <c r="M457" s="1" t="s">
        <v>46</v>
      </c>
      <c r="N457" s="1">
        <v>363178</v>
      </c>
      <c r="O457" s="1">
        <v>2016</v>
      </c>
      <c r="P457" s="1">
        <v>245509</v>
      </c>
      <c r="Q457" s="1">
        <v>2016</v>
      </c>
      <c r="R457" s="1" t="s">
        <v>46</v>
      </c>
      <c r="S457" s="1">
        <v>1</v>
      </c>
      <c r="T457" s="1">
        <v>1</v>
      </c>
      <c r="U457" s="1" t="s">
        <v>2896</v>
      </c>
    </row>
    <row r="458" spans="1:41" s="44" customFormat="1" ht="17.149999999999999" hidden="1" customHeight="1">
      <c r="A458" s="141" t="s">
        <v>2897</v>
      </c>
      <c r="B458" s="141"/>
      <c r="C458" s="141" t="s">
        <v>2898</v>
      </c>
      <c r="D458" s="1"/>
      <c r="E458" s="1"/>
      <c r="F458" s="1"/>
      <c r="G458" s="1"/>
      <c r="H458" s="141" t="s">
        <v>249</v>
      </c>
      <c r="I458" s="141" t="s">
        <v>2899</v>
      </c>
      <c r="J458" s="141" t="s">
        <v>2900</v>
      </c>
      <c r="K458" s="141" t="s">
        <v>2901</v>
      </c>
      <c r="L458" s="141" t="s">
        <v>45</v>
      </c>
      <c r="M458" s="141" t="s">
        <v>46</v>
      </c>
      <c r="N458" s="141" t="s">
        <v>46</v>
      </c>
      <c r="O458" s="141" t="s">
        <v>46</v>
      </c>
      <c r="P458" s="141">
        <v>103279</v>
      </c>
      <c r="Q458" s="141">
        <v>2018</v>
      </c>
      <c r="R458" s="141" t="s">
        <v>46</v>
      </c>
      <c r="S458" s="141">
        <v>1</v>
      </c>
      <c r="T458" s="141" t="s">
        <v>46</v>
      </c>
      <c r="U458" s="141" t="s">
        <v>2902</v>
      </c>
    </row>
    <row r="459" spans="1:41" ht="17.149999999999999" hidden="1" customHeight="1">
      <c r="A459" s="1" t="s">
        <v>2903</v>
      </c>
      <c r="B459" s="1"/>
      <c r="C459" s="1" t="s">
        <v>2904</v>
      </c>
      <c r="D459" s="1"/>
      <c r="E459" s="1"/>
      <c r="F459" s="1"/>
      <c r="G459" s="1"/>
      <c r="H459" s="1" t="s">
        <v>110</v>
      </c>
      <c r="I459" s="1" t="s">
        <v>46</v>
      </c>
      <c r="J459" s="1" t="s">
        <v>2905</v>
      </c>
      <c r="K459" s="1" t="s">
        <v>2906</v>
      </c>
      <c r="L459" s="1" t="s">
        <v>118</v>
      </c>
      <c r="M459" s="1" t="s">
        <v>46</v>
      </c>
      <c r="N459" s="1">
        <v>245000</v>
      </c>
      <c r="O459" s="1">
        <v>2015</v>
      </c>
      <c r="P459" s="1">
        <v>245000</v>
      </c>
      <c r="Q459" s="1">
        <v>2015</v>
      </c>
      <c r="R459" s="1" t="s">
        <v>46</v>
      </c>
      <c r="S459" s="1">
        <v>1</v>
      </c>
      <c r="T459" s="1">
        <v>1</v>
      </c>
      <c r="U459" s="1" t="s">
        <v>2907</v>
      </c>
    </row>
    <row r="460" spans="1:41" ht="17.149999999999999" customHeight="1">
      <c r="A460" s="14" t="s">
        <v>2908</v>
      </c>
      <c r="B460" s="14" t="s">
        <v>37</v>
      </c>
      <c r="C460" s="14" t="s">
        <v>2909</v>
      </c>
      <c r="D460" s="17" t="s">
        <v>2909</v>
      </c>
      <c r="E460" s="17" t="s">
        <v>2910</v>
      </c>
      <c r="F460" s="17" t="s">
        <v>62</v>
      </c>
      <c r="G460" s="17" t="s">
        <v>40</v>
      </c>
      <c r="H460" s="14" t="s">
        <v>41</v>
      </c>
      <c r="I460" s="14" t="s">
        <v>63</v>
      </c>
      <c r="J460" s="14" t="s">
        <v>2911</v>
      </c>
      <c r="K460" s="14" t="s">
        <v>2912</v>
      </c>
      <c r="L460" s="14" t="s">
        <v>45</v>
      </c>
      <c r="M460" s="14" t="s">
        <v>46</v>
      </c>
      <c r="N460" s="14" t="s">
        <v>46</v>
      </c>
      <c r="O460" s="14" t="s">
        <v>46</v>
      </c>
      <c r="P460" s="14">
        <v>54000</v>
      </c>
      <c r="Q460" s="14">
        <v>2015</v>
      </c>
      <c r="R460" s="14" t="s">
        <v>46</v>
      </c>
      <c r="S460" s="14">
        <v>1</v>
      </c>
      <c r="T460" s="14">
        <v>1</v>
      </c>
      <c r="U460" s="14" t="s">
        <v>2913</v>
      </c>
      <c r="V460" s="6" t="s">
        <v>40</v>
      </c>
      <c r="W460" s="6" t="s">
        <v>1354</v>
      </c>
      <c r="X460" s="6" t="s">
        <v>40</v>
      </c>
      <c r="Y460" s="6" t="s">
        <v>2914</v>
      </c>
      <c r="Z460" s="6" t="s">
        <v>2915</v>
      </c>
      <c r="AA460" s="6" t="s">
        <v>2916</v>
      </c>
      <c r="AB460" s="6"/>
      <c r="AC460" s="6" t="s">
        <v>2917</v>
      </c>
      <c r="AD460" s="6" t="s">
        <v>40</v>
      </c>
      <c r="AE460" s="42"/>
      <c r="AF460" s="42"/>
      <c r="AG460" s="42"/>
      <c r="AH460" s="42"/>
      <c r="AI460" s="42"/>
      <c r="AJ460" s="42" t="s">
        <v>1318</v>
      </c>
      <c r="AK460" s="42"/>
      <c r="AL460" s="42"/>
      <c r="AM460" s="42"/>
      <c r="AN460" s="42"/>
      <c r="AO460" s="42"/>
    </row>
    <row r="461" spans="1:41" ht="17.149999999999999" hidden="1" customHeight="1">
      <c r="A461" s="1" t="s">
        <v>2918</v>
      </c>
      <c r="B461" s="1"/>
      <c r="C461" s="1" t="s">
        <v>2919</v>
      </c>
      <c r="D461" s="1"/>
      <c r="E461" s="1"/>
      <c r="F461" s="1"/>
      <c r="G461" s="1"/>
      <c r="H461" s="1" t="s">
        <v>1367</v>
      </c>
      <c r="I461" s="1" t="s">
        <v>46</v>
      </c>
      <c r="J461" s="1" t="s">
        <v>2920</v>
      </c>
      <c r="K461" s="1" t="s">
        <v>2921</v>
      </c>
      <c r="L461" s="1" t="s">
        <v>45</v>
      </c>
      <c r="M461" s="1" t="s">
        <v>46</v>
      </c>
      <c r="N461" s="1">
        <v>310979</v>
      </c>
      <c r="O461" s="1">
        <v>2017</v>
      </c>
      <c r="P461" s="1">
        <v>243438</v>
      </c>
      <c r="Q461" s="1">
        <v>2017</v>
      </c>
      <c r="R461" s="1" t="s">
        <v>46</v>
      </c>
      <c r="S461" s="1">
        <v>1</v>
      </c>
      <c r="T461" s="1">
        <v>1</v>
      </c>
      <c r="U461" s="1" t="s">
        <v>2922</v>
      </c>
    </row>
    <row r="462" spans="1:41" ht="17.149999999999999" hidden="1" customHeight="1">
      <c r="A462" s="1" t="s">
        <v>2923</v>
      </c>
      <c r="B462" s="1"/>
      <c r="C462" s="1" t="s">
        <v>2924</v>
      </c>
      <c r="D462" s="1"/>
      <c r="E462" s="1"/>
      <c r="F462" s="1"/>
      <c r="G462" s="1"/>
      <c r="H462" s="1" t="s">
        <v>1669</v>
      </c>
      <c r="I462" s="1" t="s">
        <v>46</v>
      </c>
      <c r="J462" s="1" t="s">
        <v>2925</v>
      </c>
      <c r="K462" s="1" t="s">
        <v>2926</v>
      </c>
      <c r="L462" s="1" t="s">
        <v>45</v>
      </c>
      <c r="M462" s="1" t="s">
        <v>46</v>
      </c>
      <c r="N462" s="1" t="s">
        <v>46</v>
      </c>
      <c r="O462" s="1" t="s">
        <v>46</v>
      </c>
      <c r="P462" s="1">
        <v>242159</v>
      </c>
      <c r="Q462" s="1">
        <v>2017</v>
      </c>
      <c r="R462" s="1" t="s">
        <v>46</v>
      </c>
      <c r="S462" s="1">
        <v>1</v>
      </c>
      <c r="T462" s="1" t="s">
        <v>46</v>
      </c>
      <c r="U462" s="1" t="s">
        <v>1005</v>
      </c>
    </row>
    <row r="463" spans="1:41" ht="17.149999999999999" hidden="1" customHeight="1">
      <c r="A463" s="1" t="s">
        <v>2927</v>
      </c>
      <c r="B463" s="1"/>
      <c r="C463" s="1" t="s">
        <v>2928</v>
      </c>
      <c r="D463" s="1"/>
      <c r="E463" s="1"/>
      <c r="F463" s="1"/>
      <c r="G463" s="1"/>
      <c r="H463" s="1" t="s">
        <v>249</v>
      </c>
      <c r="I463" s="1" t="s">
        <v>2929</v>
      </c>
      <c r="J463" s="1" t="s">
        <v>2930</v>
      </c>
      <c r="K463" s="1" t="s">
        <v>2931</v>
      </c>
      <c r="L463" s="1" t="s">
        <v>45</v>
      </c>
      <c r="M463" s="1" t="s">
        <v>46</v>
      </c>
      <c r="N463" s="1" t="s">
        <v>46</v>
      </c>
      <c r="O463" s="1" t="s">
        <v>46</v>
      </c>
      <c r="P463" s="1">
        <v>101531</v>
      </c>
      <c r="Q463" s="1">
        <v>2018</v>
      </c>
      <c r="R463" s="1" t="s">
        <v>46</v>
      </c>
      <c r="S463" s="1">
        <v>1</v>
      </c>
      <c r="T463" s="1" t="s">
        <v>46</v>
      </c>
      <c r="U463" s="1" t="s">
        <v>2932</v>
      </c>
    </row>
    <row r="464" spans="1:41" ht="17.149999999999999" hidden="1" customHeight="1">
      <c r="A464" s="21" t="s">
        <v>2933</v>
      </c>
      <c r="B464" s="21" t="s">
        <v>37</v>
      </c>
      <c r="C464" s="58" t="s">
        <v>2934</v>
      </c>
      <c r="D464" s="61"/>
      <c r="E464" s="61"/>
      <c r="F464" s="61"/>
      <c r="G464" s="61"/>
      <c r="H464" s="21" t="s">
        <v>41</v>
      </c>
      <c r="I464" s="21" t="s">
        <v>42</v>
      </c>
      <c r="J464" s="21" t="s">
        <v>2935</v>
      </c>
      <c r="K464" s="21" t="s">
        <v>2936</v>
      </c>
      <c r="L464" s="21" t="s">
        <v>151</v>
      </c>
      <c r="M464" s="21" t="s">
        <v>2937</v>
      </c>
      <c r="N464" s="21" t="s">
        <v>46</v>
      </c>
      <c r="O464" s="21" t="s">
        <v>46</v>
      </c>
      <c r="P464" s="21">
        <v>240000</v>
      </c>
      <c r="Q464" s="21">
        <v>2016</v>
      </c>
      <c r="R464" s="21" t="s">
        <v>46</v>
      </c>
      <c r="S464" s="21">
        <v>1</v>
      </c>
      <c r="T464" s="21">
        <v>1</v>
      </c>
      <c r="U464" s="21" t="s">
        <v>2938</v>
      </c>
      <c r="V464" s="23" t="s">
        <v>2939</v>
      </c>
      <c r="W464" s="22"/>
      <c r="X464" s="22"/>
      <c r="Y464" s="22"/>
      <c r="Z464" s="22"/>
      <c r="AA464" s="22"/>
      <c r="AB464" s="22"/>
      <c r="AC464" s="22" t="s">
        <v>2940</v>
      </c>
      <c r="AD464" s="22"/>
    </row>
    <row r="465" spans="1:41" ht="17.149999999999999" hidden="1" customHeight="1">
      <c r="A465" s="1" t="s">
        <v>2941</v>
      </c>
      <c r="B465" s="1"/>
      <c r="C465" s="1" t="s">
        <v>2942</v>
      </c>
      <c r="D465" s="1"/>
      <c r="E465" s="1"/>
      <c r="F465" s="1"/>
      <c r="G465" s="1"/>
      <c r="H465" s="1" t="s">
        <v>313</v>
      </c>
      <c r="I465" s="1" t="s">
        <v>2943</v>
      </c>
      <c r="J465" s="1" t="s">
        <v>2943</v>
      </c>
      <c r="K465" s="1" t="s">
        <v>2944</v>
      </c>
      <c r="L465" s="1" t="s">
        <v>45</v>
      </c>
      <c r="M465" s="1" t="s">
        <v>46</v>
      </c>
      <c r="N465" s="1">
        <v>340000</v>
      </c>
      <c r="O465" s="1">
        <v>2019</v>
      </c>
      <c r="P465" s="1">
        <v>240000</v>
      </c>
      <c r="Q465" s="1">
        <v>2019</v>
      </c>
      <c r="R465" s="1">
        <v>1</v>
      </c>
      <c r="S465" s="1">
        <v>1</v>
      </c>
      <c r="T465" s="1">
        <v>1</v>
      </c>
      <c r="U465" s="1" t="s">
        <v>2945</v>
      </c>
    </row>
    <row r="466" spans="1:41" ht="17.149999999999999" hidden="1" customHeight="1">
      <c r="A466" s="21" t="s">
        <v>2946</v>
      </c>
      <c r="B466" s="21" t="s">
        <v>37</v>
      </c>
      <c r="C466" s="58" t="s">
        <v>2947</v>
      </c>
      <c r="D466" s="61"/>
      <c r="E466" s="61"/>
      <c r="F466" s="61"/>
      <c r="G466" s="61"/>
      <c r="H466" s="21" t="s">
        <v>41</v>
      </c>
      <c r="I466" s="21" t="s">
        <v>2785</v>
      </c>
      <c r="J466" s="21" t="s">
        <v>2935</v>
      </c>
      <c r="K466" s="21" t="s">
        <v>2948</v>
      </c>
      <c r="L466" s="21" t="s">
        <v>151</v>
      </c>
      <c r="M466" s="21" t="s">
        <v>2949</v>
      </c>
      <c r="N466" s="21">
        <v>236045</v>
      </c>
      <c r="O466" s="21">
        <v>2016</v>
      </c>
      <c r="P466" s="21">
        <v>240000</v>
      </c>
      <c r="Q466" s="21">
        <v>2016</v>
      </c>
      <c r="R466" s="21" t="s">
        <v>46</v>
      </c>
      <c r="S466" s="21">
        <v>1</v>
      </c>
      <c r="T466" s="21">
        <v>1</v>
      </c>
      <c r="U466" s="21" t="s">
        <v>2950</v>
      </c>
      <c r="V466" s="22" t="s">
        <v>103</v>
      </c>
      <c r="W466" s="22"/>
      <c r="X466" s="22"/>
      <c r="Y466" s="22"/>
      <c r="Z466" s="22"/>
      <c r="AA466" s="22"/>
      <c r="AB466" s="22"/>
      <c r="AC466" s="22" t="s">
        <v>2940</v>
      </c>
    </row>
    <row r="467" spans="1:41" ht="17.149999999999999" hidden="1" customHeight="1">
      <c r="A467" s="21" t="s">
        <v>2951</v>
      </c>
      <c r="B467" s="21" t="s">
        <v>37</v>
      </c>
      <c r="C467" s="58" t="s">
        <v>2952</v>
      </c>
      <c r="D467" s="61"/>
      <c r="E467" s="61"/>
      <c r="F467" s="61"/>
      <c r="G467" s="61"/>
      <c r="H467" s="21" t="s">
        <v>41</v>
      </c>
      <c r="I467" s="21" t="s">
        <v>518</v>
      </c>
      <c r="J467" s="21" t="s">
        <v>2953</v>
      </c>
      <c r="K467" s="21" t="s">
        <v>2954</v>
      </c>
      <c r="L467" s="21" t="s">
        <v>45</v>
      </c>
      <c r="M467" s="21" t="s">
        <v>46</v>
      </c>
      <c r="N467" s="21">
        <v>146981</v>
      </c>
      <c r="O467" s="21">
        <v>2016</v>
      </c>
      <c r="P467" s="21">
        <v>238200</v>
      </c>
      <c r="Q467" s="21">
        <v>2016</v>
      </c>
      <c r="R467" s="21" t="s">
        <v>46</v>
      </c>
      <c r="S467" s="21">
        <v>1</v>
      </c>
      <c r="T467" s="21">
        <v>1</v>
      </c>
      <c r="U467" s="21" t="s">
        <v>2955</v>
      </c>
      <c r="V467" s="22" t="s">
        <v>103</v>
      </c>
      <c r="W467" s="22"/>
      <c r="X467" s="22"/>
      <c r="Y467" s="22"/>
      <c r="Z467" s="22"/>
      <c r="AA467" s="22"/>
      <c r="AB467" s="22"/>
      <c r="AC467" s="22" t="s">
        <v>2956</v>
      </c>
      <c r="AD467" s="22"/>
    </row>
    <row r="468" spans="1:41" ht="17.149999999999999" customHeight="1">
      <c r="A468" s="14" t="s">
        <v>2957</v>
      </c>
      <c r="B468" s="17" t="s">
        <v>37</v>
      </c>
      <c r="C468" s="14" t="s">
        <v>2958</v>
      </c>
      <c r="D468" s="17" t="s">
        <v>2958</v>
      </c>
      <c r="E468" s="17" t="s">
        <v>2959</v>
      </c>
      <c r="F468" s="17" t="s">
        <v>62</v>
      </c>
      <c r="G468" s="17" t="s">
        <v>40</v>
      </c>
      <c r="H468" s="14" t="s">
        <v>41</v>
      </c>
      <c r="I468" s="14" t="s">
        <v>63</v>
      </c>
      <c r="J468" s="14" t="s">
        <v>2960</v>
      </c>
      <c r="K468" s="14" t="s">
        <v>2961</v>
      </c>
      <c r="L468" s="14" t="s">
        <v>45</v>
      </c>
      <c r="M468" s="14" t="s">
        <v>46</v>
      </c>
      <c r="N468" s="14" t="s">
        <v>46</v>
      </c>
      <c r="O468" s="14" t="s">
        <v>46</v>
      </c>
      <c r="P468" s="14" t="s">
        <v>46</v>
      </c>
      <c r="Q468" s="14" t="s">
        <v>46</v>
      </c>
      <c r="R468" s="14" t="s">
        <v>46</v>
      </c>
      <c r="S468" s="14">
        <v>1</v>
      </c>
      <c r="T468" s="14">
        <v>1</v>
      </c>
      <c r="U468" s="14" t="s">
        <v>2962</v>
      </c>
      <c r="V468" s="6" t="s">
        <v>40</v>
      </c>
      <c r="W468" s="6" t="s">
        <v>2963</v>
      </c>
      <c r="X468" s="6" t="s">
        <v>40</v>
      </c>
      <c r="Y468" s="6" t="s">
        <v>2640</v>
      </c>
      <c r="Z468" s="6" t="s">
        <v>2915</v>
      </c>
      <c r="AA468" s="6" t="s">
        <v>2964</v>
      </c>
      <c r="AB468" s="6"/>
      <c r="AC468" s="6" t="s">
        <v>2965</v>
      </c>
      <c r="AD468" s="6" t="s">
        <v>40</v>
      </c>
      <c r="AE468" s="42"/>
      <c r="AF468" s="42"/>
      <c r="AG468" s="42"/>
      <c r="AH468" s="42"/>
      <c r="AI468" s="42"/>
      <c r="AJ468" s="42" t="s">
        <v>1318</v>
      </c>
      <c r="AK468" s="42"/>
      <c r="AL468" s="42"/>
      <c r="AM468" s="42"/>
      <c r="AN468" s="42"/>
      <c r="AO468" s="42"/>
    </row>
    <row r="469" spans="1:41" ht="17.149999999999999" hidden="1" customHeight="1">
      <c r="A469" s="1" t="s">
        <v>2966</v>
      </c>
      <c r="B469" s="1"/>
      <c r="C469" s="1" t="s">
        <v>2967</v>
      </c>
      <c r="D469" s="1"/>
      <c r="E469" s="1"/>
      <c r="F469" s="1"/>
      <c r="G469" s="1"/>
      <c r="H469" s="1" t="s">
        <v>1669</v>
      </c>
      <c r="I469" s="1" t="s">
        <v>46</v>
      </c>
      <c r="J469" s="1" t="s">
        <v>2968</v>
      </c>
      <c r="K469" s="1" t="s">
        <v>2969</v>
      </c>
      <c r="L469" s="1" t="s">
        <v>45</v>
      </c>
      <c r="M469" s="1" t="s">
        <v>46</v>
      </c>
      <c r="N469" s="1">
        <v>177766</v>
      </c>
      <c r="O469" s="1">
        <v>2023</v>
      </c>
      <c r="P469" s="1">
        <v>236918</v>
      </c>
      <c r="Q469" s="1">
        <v>2023</v>
      </c>
      <c r="R469" s="1" t="s">
        <v>46</v>
      </c>
      <c r="S469" s="1">
        <v>1</v>
      </c>
      <c r="T469" s="1" t="s">
        <v>46</v>
      </c>
      <c r="U469" s="1" t="s">
        <v>2970</v>
      </c>
    </row>
    <row r="470" spans="1:41" s="44" customFormat="1" ht="17.149999999999999" hidden="1" customHeight="1">
      <c r="A470" s="21" t="s">
        <v>2971</v>
      </c>
      <c r="B470" s="21"/>
      <c r="C470" s="58" t="s">
        <v>2972</v>
      </c>
      <c r="D470" s="61"/>
      <c r="E470" s="61"/>
      <c r="F470" s="61"/>
      <c r="G470" s="61"/>
      <c r="H470" s="21" t="s">
        <v>41</v>
      </c>
      <c r="I470" s="21" t="s">
        <v>680</v>
      </c>
      <c r="J470" s="21" t="s">
        <v>2973</v>
      </c>
      <c r="K470" s="21" t="s">
        <v>2974</v>
      </c>
      <c r="L470" s="21" t="s">
        <v>45</v>
      </c>
      <c r="M470" s="21" t="s">
        <v>46</v>
      </c>
      <c r="N470" s="21">
        <v>206660</v>
      </c>
      <c r="O470" s="21">
        <v>2016</v>
      </c>
      <c r="P470" s="21">
        <v>236200</v>
      </c>
      <c r="Q470" s="21">
        <v>2016</v>
      </c>
      <c r="R470" s="21" t="s">
        <v>46</v>
      </c>
      <c r="S470" s="21">
        <v>1</v>
      </c>
      <c r="T470" s="21">
        <v>1</v>
      </c>
      <c r="U470" s="21" t="s">
        <v>2975</v>
      </c>
      <c r="V470" s="22"/>
      <c r="W470" s="22"/>
      <c r="X470" s="22"/>
      <c r="Y470" s="22"/>
      <c r="Z470" s="22"/>
      <c r="AA470" s="22"/>
      <c r="AB470" s="22"/>
      <c r="AC470" s="22"/>
      <c r="AD470" s="22"/>
    </row>
    <row r="471" spans="1:41" ht="17.149999999999999" hidden="1" customHeight="1">
      <c r="A471" s="1" t="s">
        <v>2976</v>
      </c>
      <c r="B471" s="1"/>
      <c r="C471" s="1" t="s">
        <v>2977</v>
      </c>
      <c r="D471" s="1"/>
      <c r="E471" s="1"/>
      <c r="F471" s="1"/>
      <c r="G471" s="1"/>
      <c r="H471" s="1" t="s">
        <v>110</v>
      </c>
      <c r="I471" s="1" t="s">
        <v>46</v>
      </c>
      <c r="J471" s="1" t="s">
        <v>2491</v>
      </c>
      <c r="K471" s="1" t="s">
        <v>2978</v>
      </c>
      <c r="L471" s="1" t="s">
        <v>45</v>
      </c>
      <c r="M471" s="1" t="s">
        <v>46</v>
      </c>
      <c r="N471" s="1">
        <v>236000</v>
      </c>
      <c r="O471" s="1">
        <v>2019</v>
      </c>
      <c r="P471" s="1">
        <v>236000</v>
      </c>
      <c r="Q471" s="1">
        <v>2019</v>
      </c>
      <c r="R471" s="1" t="s">
        <v>46</v>
      </c>
      <c r="S471" s="1">
        <v>1</v>
      </c>
      <c r="T471" s="1">
        <v>1</v>
      </c>
      <c r="U471" s="1" t="s">
        <v>2979</v>
      </c>
    </row>
    <row r="472" spans="1:41" ht="17.149999999999999" hidden="1" customHeight="1">
      <c r="A472" s="1" t="s">
        <v>2980</v>
      </c>
      <c r="B472" s="1"/>
      <c r="C472" s="1" t="s">
        <v>2981</v>
      </c>
      <c r="D472" s="1"/>
      <c r="E472" s="1"/>
      <c r="F472" s="1"/>
      <c r="G472" s="1"/>
      <c r="H472" s="1" t="s">
        <v>249</v>
      </c>
      <c r="I472" s="1" t="s">
        <v>1563</v>
      </c>
      <c r="J472" s="1" t="s">
        <v>2982</v>
      </c>
      <c r="K472" s="1" t="s">
        <v>2983</v>
      </c>
      <c r="L472" s="1" t="s">
        <v>45</v>
      </c>
      <c r="M472" s="1" t="s">
        <v>46</v>
      </c>
      <c r="N472" s="1" t="s">
        <v>46</v>
      </c>
      <c r="O472" s="1" t="s">
        <v>46</v>
      </c>
      <c r="P472" s="1">
        <v>101140</v>
      </c>
      <c r="Q472" s="1">
        <v>2018</v>
      </c>
      <c r="R472" s="1" t="s">
        <v>46</v>
      </c>
      <c r="S472" s="1">
        <v>1</v>
      </c>
      <c r="T472" s="1">
        <v>1</v>
      </c>
      <c r="U472" s="1" t="s">
        <v>2984</v>
      </c>
    </row>
    <row r="473" spans="1:41" ht="17.149999999999999" hidden="1" customHeight="1">
      <c r="A473" s="1" t="s">
        <v>2985</v>
      </c>
      <c r="B473" s="1"/>
      <c r="C473" s="1" t="s">
        <v>2986</v>
      </c>
      <c r="D473" s="1"/>
      <c r="E473" s="1"/>
      <c r="F473" s="1"/>
      <c r="G473" s="1"/>
      <c r="H473" s="1" t="s">
        <v>249</v>
      </c>
      <c r="I473" s="1" t="s">
        <v>2987</v>
      </c>
      <c r="J473" s="1" t="s">
        <v>1887</v>
      </c>
      <c r="K473" s="1" t="s">
        <v>2988</v>
      </c>
      <c r="L473" s="1" t="s">
        <v>45</v>
      </c>
      <c r="M473" s="1" t="s">
        <v>1566</v>
      </c>
      <c r="N473" s="1" t="s">
        <v>46</v>
      </c>
      <c r="O473" s="1" t="s">
        <v>46</v>
      </c>
      <c r="P473" s="1">
        <v>98564</v>
      </c>
      <c r="Q473" s="1">
        <v>2018</v>
      </c>
      <c r="R473" s="1" t="s">
        <v>46</v>
      </c>
      <c r="S473" s="1">
        <v>1</v>
      </c>
      <c r="T473" s="1">
        <v>1</v>
      </c>
      <c r="U473" s="1" t="s">
        <v>2989</v>
      </c>
    </row>
    <row r="474" spans="1:41" ht="17.149999999999999" hidden="1" customHeight="1">
      <c r="A474" s="1" t="s">
        <v>2990</v>
      </c>
      <c r="B474" s="1"/>
      <c r="C474" s="1" t="s">
        <v>2991</v>
      </c>
      <c r="D474" s="1"/>
      <c r="E474" s="1"/>
      <c r="F474" s="1"/>
      <c r="G474" s="1"/>
      <c r="H474" s="1" t="s">
        <v>1171</v>
      </c>
      <c r="I474" s="1" t="s">
        <v>46</v>
      </c>
      <c r="J474" s="1" t="s">
        <v>2992</v>
      </c>
      <c r="K474" s="1" t="s">
        <v>2993</v>
      </c>
      <c r="L474" s="1" t="s">
        <v>45</v>
      </c>
      <c r="M474" s="1" t="s">
        <v>2994</v>
      </c>
      <c r="N474" s="1">
        <v>235830</v>
      </c>
      <c r="O474" s="1">
        <v>2018</v>
      </c>
      <c r="P474" s="1">
        <v>230040</v>
      </c>
      <c r="Q474" s="1">
        <v>2018</v>
      </c>
      <c r="R474" s="1" t="s">
        <v>46</v>
      </c>
      <c r="S474" s="1">
        <v>1</v>
      </c>
      <c r="T474" s="1" t="s">
        <v>46</v>
      </c>
      <c r="U474" s="1" t="s">
        <v>2995</v>
      </c>
    </row>
    <row r="475" spans="1:41" ht="17.149999999999999" hidden="1" customHeight="1">
      <c r="A475" s="1" t="s">
        <v>2996</v>
      </c>
      <c r="B475" s="1"/>
      <c r="C475" s="1" t="s">
        <v>2997</v>
      </c>
      <c r="D475" s="1"/>
      <c r="E475" s="1"/>
      <c r="F475" s="1"/>
      <c r="G475" s="1"/>
      <c r="H475" s="1" t="s">
        <v>506</v>
      </c>
      <c r="I475" s="1" t="s">
        <v>46</v>
      </c>
      <c r="J475" s="1" t="s">
        <v>2998</v>
      </c>
      <c r="K475" s="1" t="s">
        <v>2999</v>
      </c>
      <c r="L475" s="1" t="s">
        <v>45</v>
      </c>
      <c r="M475" s="1" t="s">
        <v>46</v>
      </c>
      <c r="N475" s="1">
        <v>230000</v>
      </c>
      <c r="O475" s="1">
        <v>2016</v>
      </c>
      <c r="P475" s="1">
        <v>230000</v>
      </c>
      <c r="Q475" s="1">
        <v>2016</v>
      </c>
      <c r="R475" s="1" t="s">
        <v>46</v>
      </c>
      <c r="S475" s="1">
        <v>1</v>
      </c>
      <c r="T475" s="1">
        <v>1</v>
      </c>
      <c r="U475" s="1" t="s">
        <v>3000</v>
      </c>
    </row>
    <row r="476" spans="1:41" ht="17.149999999999999" hidden="1" customHeight="1">
      <c r="A476" s="1" t="s">
        <v>3001</v>
      </c>
      <c r="B476" s="1"/>
      <c r="C476" s="1" t="s">
        <v>3002</v>
      </c>
      <c r="D476" s="1"/>
      <c r="E476" s="1"/>
      <c r="F476" s="1"/>
      <c r="G476" s="1"/>
      <c r="H476" s="1" t="s">
        <v>177</v>
      </c>
      <c r="I476" s="1" t="s">
        <v>392</v>
      </c>
      <c r="J476" s="1" t="s">
        <v>1723</v>
      </c>
      <c r="K476" s="1" t="s">
        <v>3003</v>
      </c>
      <c r="L476" s="1" t="s">
        <v>118</v>
      </c>
      <c r="M476" s="1" t="s">
        <v>725</v>
      </c>
      <c r="N476" s="1">
        <v>230000</v>
      </c>
      <c r="O476" s="1">
        <v>2019</v>
      </c>
      <c r="P476" s="1">
        <v>230000</v>
      </c>
      <c r="Q476" s="1">
        <v>2019</v>
      </c>
      <c r="R476" s="1" t="s">
        <v>46</v>
      </c>
      <c r="S476" s="1">
        <v>1</v>
      </c>
      <c r="T476" s="1">
        <v>1</v>
      </c>
      <c r="U476" s="1" t="s">
        <v>3004</v>
      </c>
    </row>
    <row r="477" spans="1:41" ht="17.149999999999999" hidden="1" customHeight="1">
      <c r="A477" s="1" t="s">
        <v>3005</v>
      </c>
      <c r="B477" s="1"/>
      <c r="C477" s="1" t="s">
        <v>3006</v>
      </c>
      <c r="D477" s="1"/>
      <c r="E477" s="1"/>
      <c r="F477" s="1"/>
      <c r="G477" s="1"/>
      <c r="H477" s="1" t="s">
        <v>177</v>
      </c>
      <c r="I477" s="1" t="s">
        <v>3007</v>
      </c>
      <c r="J477" s="1" t="s">
        <v>3008</v>
      </c>
      <c r="K477" s="1" t="s">
        <v>3009</v>
      </c>
      <c r="L477" s="1" t="s">
        <v>118</v>
      </c>
      <c r="M477" s="1" t="s">
        <v>725</v>
      </c>
      <c r="N477" s="1">
        <v>230000</v>
      </c>
      <c r="O477" s="1">
        <v>2019</v>
      </c>
      <c r="P477" s="1">
        <v>230000</v>
      </c>
      <c r="Q477" s="1">
        <v>2019</v>
      </c>
      <c r="R477" s="1" t="s">
        <v>46</v>
      </c>
      <c r="S477" s="1">
        <v>1</v>
      </c>
      <c r="T477" s="1">
        <v>1</v>
      </c>
      <c r="U477" s="1" t="s">
        <v>3010</v>
      </c>
    </row>
    <row r="478" spans="1:41" ht="17.149999999999999" hidden="1" customHeight="1">
      <c r="A478" s="1" t="s">
        <v>3011</v>
      </c>
      <c r="B478" s="1"/>
      <c r="C478" s="1" t="s">
        <v>3012</v>
      </c>
      <c r="D478" s="1"/>
      <c r="E478" s="1"/>
      <c r="F478" s="1"/>
      <c r="G478" s="1"/>
      <c r="H478" s="1" t="s">
        <v>313</v>
      </c>
      <c r="I478" s="1" t="s">
        <v>3013</v>
      </c>
      <c r="J478" s="1" t="s">
        <v>3014</v>
      </c>
      <c r="K478" s="1" t="s">
        <v>3015</v>
      </c>
      <c r="L478" s="1" t="s">
        <v>45</v>
      </c>
      <c r="M478" s="1" t="s">
        <v>46</v>
      </c>
      <c r="N478" s="1">
        <v>300000</v>
      </c>
      <c r="O478" s="1">
        <v>2018</v>
      </c>
      <c r="P478" s="1">
        <v>228000</v>
      </c>
      <c r="Q478" s="1">
        <v>2015</v>
      </c>
      <c r="R478" s="1" t="s">
        <v>46</v>
      </c>
      <c r="S478" s="1">
        <v>1</v>
      </c>
      <c r="T478" s="1">
        <v>1</v>
      </c>
      <c r="U478" s="1" t="s">
        <v>3016</v>
      </c>
    </row>
    <row r="479" spans="1:41" ht="17.149999999999999" hidden="1" customHeight="1">
      <c r="A479" s="1" t="s">
        <v>3017</v>
      </c>
      <c r="B479" s="1"/>
      <c r="C479" s="1" t="s">
        <v>3018</v>
      </c>
      <c r="D479" s="1"/>
      <c r="E479" s="1"/>
      <c r="F479" s="1"/>
      <c r="G479" s="1"/>
      <c r="H479" s="1" t="s">
        <v>110</v>
      </c>
      <c r="I479" s="1" t="s">
        <v>46</v>
      </c>
      <c r="J479" s="1" t="s">
        <v>3019</v>
      </c>
      <c r="K479" s="1" t="s">
        <v>3020</v>
      </c>
      <c r="L479" s="1" t="s">
        <v>45</v>
      </c>
      <c r="M479" s="1" t="s">
        <v>46</v>
      </c>
      <c r="N479" s="1">
        <v>227655</v>
      </c>
      <c r="O479" s="1">
        <v>2015</v>
      </c>
      <c r="P479" s="1">
        <v>227655</v>
      </c>
      <c r="Q479" s="1">
        <v>2015</v>
      </c>
      <c r="R479" s="1" t="s">
        <v>46</v>
      </c>
      <c r="S479" s="1">
        <v>1</v>
      </c>
      <c r="T479" s="1">
        <v>1</v>
      </c>
      <c r="U479" s="1" t="s">
        <v>3021</v>
      </c>
    </row>
    <row r="480" spans="1:41" ht="17.149999999999999" customHeight="1">
      <c r="A480" s="14" t="s">
        <v>3022</v>
      </c>
      <c r="B480" s="14" t="s">
        <v>37</v>
      </c>
      <c r="C480" s="49" t="s">
        <v>3023</v>
      </c>
      <c r="D480" t="s">
        <v>3024</v>
      </c>
      <c r="E480" s="17" t="s">
        <v>3025</v>
      </c>
      <c r="F480" s="17" t="s">
        <v>62</v>
      </c>
      <c r="G480" s="17" t="s">
        <v>40</v>
      </c>
      <c r="H480" s="14" t="s">
        <v>41</v>
      </c>
      <c r="I480" s="14" t="s">
        <v>518</v>
      </c>
      <c r="J480" s="14" t="s">
        <v>3026</v>
      </c>
      <c r="K480" s="14" t="s">
        <v>3027</v>
      </c>
      <c r="L480" s="14" t="s">
        <v>45</v>
      </c>
      <c r="M480" s="14" t="s">
        <v>46</v>
      </c>
      <c r="N480" s="14" t="s">
        <v>46</v>
      </c>
      <c r="O480" s="14" t="s">
        <v>46</v>
      </c>
      <c r="P480" s="52">
        <v>117216</v>
      </c>
      <c r="Q480" s="51">
        <v>2025</v>
      </c>
      <c r="R480" s="14" t="s">
        <v>46</v>
      </c>
      <c r="S480" s="14">
        <v>1</v>
      </c>
      <c r="T480" s="14">
        <v>1</v>
      </c>
      <c r="U480" s="14" t="s">
        <v>3028</v>
      </c>
      <c r="V480" s="6" t="s">
        <v>40</v>
      </c>
      <c r="W480" s="6" t="s">
        <v>1042</v>
      </c>
      <c r="X480" s="6" t="s">
        <v>40</v>
      </c>
      <c r="Y480" s="6"/>
      <c r="Z480" s="6" t="s">
        <v>3029</v>
      </c>
      <c r="AA480" s="6" t="s">
        <v>3030</v>
      </c>
      <c r="AB480" s="6" t="s">
        <v>3031</v>
      </c>
      <c r="AC480" s="6" t="s">
        <v>3032</v>
      </c>
      <c r="AD480" s="6"/>
      <c r="AE480" s="2">
        <v>1</v>
      </c>
      <c r="AF480" s="2" t="s">
        <v>53</v>
      </c>
      <c r="AG480" s="2" t="s">
        <v>3033</v>
      </c>
      <c r="AJ480" s="2" t="s">
        <v>57</v>
      </c>
    </row>
    <row r="481" spans="1:36" ht="17.149999999999999" customHeight="1">
      <c r="A481" s="14" t="s">
        <v>3034</v>
      </c>
      <c r="B481" s="14" t="s">
        <v>37</v>
      </c>
      <c r="C481" s="14" t="s">
        <v>3035</v>
      </c>
      <c r="D481" t="s">
        <v>3036</v>
      </c>
      <c r="E481" t="s">
        <v>3036</v>
      </c>
      <c r="F481" s="17" t="s">
        <v>62</v>
      </c>
      <c r="G481" s="17" t="s">
        <v>40</v>
      </c>
      <c r="H481" s="14" t="s">
        <v>41</v>
      </c>
      <c r="I481" s="14" t="s">
        <v>135</v>
      </c>
      <c r="J481" s="14" t="s">
        <v>3037</v>
      </c>
      <c r="K481" s="14" t="s">
        <v>3038</v>
      </c>
      <c r="L481" s="14" t="s">
        <v>45</v>
      </c>
      <c r="M481" s="14" t="s">
        <v>46</v>
      </c>
      <c r="N481" s="14" t="s">
        <v>46</v>
      </c>
      <c r="O481" s="14" t="s">
        <v>46</v>
      </c>
      <c r="P481" s="51">
        <v>64814</v>
      </c>
      <c r="Q481" s="51">
        <v>2025</v>
      </c>
      <c r="R481" s="14" t="s">
        <v>46</v>
      </c>
      <c r="S481" s="14">
        <v>1</v>
      </c>
      <c r="T481" s="14">
        <v>1</v>
      </c>
      <c r="U481" s="14" t="s">
        <v>3039</v>
      </c>
      <c r="V481" s="6" t="s">
        <v>40</v>
      </c>
      <c r="W481" s="6" t="s">
        <v>1144</v>
      </c>
      <c r="X481" s="6" t="s">
        <v>40</v>
      </c>
      <c r="Y481" s="8"/>
      <c r="Z481" s="6" t="s">
        <v>3040</v>
      </c>
      <c r="AA481" s="6" t="s">
        <v>3041</v>
      </c>
      <c r="AB481" s="6"/>
      <c r="AC481" s="6" t="s">
        <v>3042</v>
      </c>
      <c r="AD481" s="6" t="s">
        <v>40</v>
      </c>
      <c r="AJ481" s="2" t="s">
        <v>1318</v>
      </c>
    </row>
    <row r="482" spans="1:36" ht="17.149999999999999" hidden="1" customHeight="1">
      <c r="A482" s="1" t="s">
        <v>3043</v>
      </c>
      <c r="B482" s="1"/>
      <c r="C482" s="1" t="s">
        <v>3044</v>
      </c>
      <c r="D482" s="1"/>
      <c r="E482" s="1"/>
      <c r="F482" s="1"/>
      <c r="G482" s="1"/>
      <c r="H482" s="1" t="s">
        <v>177</v>
      </c>
      <c r="I482" s="1" t="s">
        <v>236</v>
      </c>
      <c r="J482" s="1" t="s">
        <v>3045</v>
      </c>
      <c r="K482" s="1" t="s">
        <v>3046</v>
      </c>
      <c r="L482" s="1" t="s">
        <v>118</v>
      </c>
      <c r="M482" s="1" t="s">
        <v>3047</v>
      </c>
      <c r="N482" s="1">
        <v>227949</v>
      </c>
      <c r="O482" s="1">
        <v>2017</v>
      </c>
      <c r="P482" s="1">
        <v>225000</v>
      </c>
      <c r="Q482" s="1">
        <v>2017</v>
      </c>
      <c r="R482" s="1" t="s">
        <v>46</v>
      </c>
      <c r="S482" s="1">
        <v>1</v>
      </c>
      <c r="T482" s="1">
        <v>1</v>
      </c>
      <c r="U482" s="1" t="s">
        <v>3048</v>
      </c>
    </row>
    <row r="483" spans="1:36" ht="17.149999999999999" hidden="1" customHeight="1">
      <c r="A483" s="1" t="s">
        <v>3049</v>
      </c>
      <c r="B483" s="1"/>
      <c r="C483" s="1" t="s">
        <v>3050</v>
      </c>
      <c r="D483" s="1"/>
      <c r="E483" s="1"/>
      <c r="F483" s="1"/>
      <c r="G483" s="1"/>
      <c r="H483" s="1" t="s">
        <v>177</v>
      </c>
      <c r="I483" s="1" t="s">
        <v>345</v>
      </c>
      <c r="J483" s="1" t="s">
        <v>3051</v>
      </c>
      <c r="K483" s="1" t="s">
        <v>3052</v>
      </c>
      <c r="L483" s="1" t="s">
        <v>45</v>
      </c>
      <c r="M483" s="1" t="s">
        <v>46</v>
      </c>
      <c r="N483" s="1">
        <v>210000</v>
      </c>
      <c r="O483" s="1">
        <v>2015</v>
      </c>
      <c r="P483" s="1">
        <v>224000</v>
      </c>
      <c r="Q483" s="1">
        <v>2019</v>
      </c>
      <c r="R483" s="1">
        <v>1</v>
      </c>
      <c r="S483" s="1" t="s">
        <v>46</v>
      </c>
      <c r="T483" s="1" t="s">
        <v>46</v>
      </c>
      <c r="U483" s="1" t="s">
        <v>3053</v>
      </c>
    </row>
    <row r="484" spans="1:36" ht="17.149999999999999" hidden="1" customHeight="1">
      <c r="A484" s="1" t="s">
        <v>3054</v>
      </c>
      <c r="B484" s="1"/>
      <c r="C484" s="1" t="s">
        <v>3055</v>
      </c>
      <c r="D484" s="1"/>
      <c r="E484" s="1"/>
      <c r="F484" s="1"/>
      <c r="G484" s="1"/>
      <c r="H484" s="1" t="s">
        <v>249</v>
      </c>
      <c r="I484" s="1" t="s">
        <v>2122</v>
      </c>
      <c r="J484" s="1" t="s">
        <v>3056</v>
      </c>
      <c r="K484" s="1" t="s">
        <v>3057</v>
      </c>
      <c r="L484" s="1" t="s">
        <v>45</v>
      </c>
      <c r="M484" s="1" t="s">
        <v>3058</v>
      </c>
      <c r="N484" s="1" t="s">
        <v>46</v>
      </c>
      <c r="O484" s="1" t="s">
        <v>46</v>
      </c>
      <c r="P484" s="1">
        <v>97690</v>
      </c>
      <c r="Q484" s="1">
        <v>2018</v>
      </c>
      <c r="R484" s="1" t="s">
        <v>46</v>
      </c>
      <c r="S484" s="1">
        <v>1</v>
      </c>
      <c r="T484" s="1">
        <v>1</v>
      </c>
      <c r="U484" s="1" t="s">
        <v>3059</v>
      </c>
    </row>
    <row r="485" spans="1:36" ht="17.149999999999999" hidden="1" customHeight="1">
      <c r="A485" s="1" t="s">
        <v>3060</v>
      </c>
      <c r="B485" s="1"/>
      <c r="C485" s="1" t="s">
        <v>3061</v>
      </c>
      <c r="D485" s="1"/>
      <c r="E485" s="1"/>
      <c r="F485" s="1"/>
      <c r="G485" s="1"/>
      <c r="H485" s="1" t="s">
        <v>1753</v>
      </c>
      <c r="I485" s="1" t="s">
        <v>46</v>
      </c>
      <c r="J485" s="1" t="s">
        <v>3062</v>
      </c>
      <c r="K485" s="1" t="s">
        <v>3063</v>
      </c>
      <c r="L485" s="1" t="s">
        <v>118</v>
      </c>
      <c r="M485" s="1" t="s">
        <v>46</v>
      </c>
      <c r="N485" s="1">
        <v>304710</v>
      </c>
      <c r="O485" s="1">
        <v>2023</v>
      </c>
      <c r="P485" s="1">
        <v>221036</v>
      </c>
      <c r="Q485" s="1">
        <v>2023</v>
      </c>
      <c r="R485" s="1" t="s">
        <v>46</v>
      </c>
      <c r="S485" s="1">
        <v>1</v>
      </c>
      <c r="T485" s="1" t="s">
        <v>46</v>
      </c>
      <c r="U485" s="1" t="s">
        <v>3064</v>
      </c>
    </row>
    <row r="486" spans="1:36" ht="17.149999999999999" hidden="1" customHeight="1">
      <c r="A486" s="1" t="s">
        <v>3065</v>
      </c>
      <c r="B486" s="1"/>
      <c r="C486" s="1" t="s">
        <v>3066</v>
      </c>
      <c r="D486" s="1"/>
      <c r="E486" s="1"/>
      <c r="F486" s="1"/>
      <c r="G486" s="1"/>
      <c r="H486" s="1" t="s">
        <v>110</v>
      </c>
      <c r="I486" s="1" t="s">
        <v>46</v>
      </c>
      <c r="J486" s="1" t="s">
        <v>3067</v>
      </c>
      <c r="K486" s="1" t="s">
        <v>3068</v>
      </c>
      <c r="L486" s="1" t="s">
        <v>45</v>
      </c>
      <c r="M486" s="1" t="s">
        <v>46</v>
      </c>
      <c r="N486" s="1">
        <v>221000</v>
      </c>
      <c r="O486" s="1">
        <v>2015</v>
      </c>
      <c r="P486" s="1">
        <v>221000</v>
      </c>
      <c r="Q486" s="1">
        <v>2015</v>
      </c>
      <c r="R486" s="1" t="s">
        <v>46</v>
      </c>
      <c r="S486" s="1">
        <v>1</v>
      </c>
      <c r="T486" s="1">
        <v>1</v>
      </c>
      <c r="U486" s="1" t="s">
        <v>3069</v>
      </c>
    </row>
    <row r="487" spans="1:36" ht="17.149999999999999" hidden="1" customHeight="1">
      <c r="A487" s="1" t="s">
        <v>3070</v>
      </c>
      <c r="B487" s="1"/>
      <c r="C487" s="1" t="s">
        <v>3071</v>
      </c>
      <c r="D487" s="1"/>
      <c r="E487" s="1"/>
      <c r="F487" s="1"/>
      <c r="G487" s="1"/>
      <c r="H487" s="1" t="s">
        <v>110</v>
      </c>
      <c r="I487" s="1" t="s">
        <v>46</v>
      </c>
      <c r="J487" s="1" t="s">
        <v>3072</v>
      </c>
      <c r="K487" s="1" t="s">
        <v>3073</v>
      </c>
      <c r="L487" s="1" t="s">
        <v>118</v>
      </c>
      <c r="M487" s="1" t="s">
        <v>3074</v>
      </c>
      <c r="N487" s="1">
        <v>220000</v>
      </c>
      <c r="O487" s="1">
        <v>2019</v>
      </c>
      <c r="P487" s="1">
        <v>220000</v>
      </c>
      <c r="Q487" s="1">
        <v>2015</v>
      </c>
      <c r="R487" s="1" t="s">
        <v>46</v>
      </c>
      <c r="S487" s="1">
        <v>1</v>
      </c>
      <c r="T487" s="1">
        <v>1</v>
      </c>
      <c r="U487" s="1" t="s">
        <v>3075</v>
      </c>
    </row>
    <row r="488" spans="1:36" ht="17.149999999999999" hidden="1" customHeight="1">
      <c r="A488" s="1" t="s">
        <v>3076</v>
      </c>
      <c r="B488" s="1"/>
      <c r="C488" s="1" t="s">
        <v>3077</v>
      </c>
      <c r="D488" s="1"/>
      <c r="E488" s="1"/>
      <c r="F488" s="1"/>
      <c r="G488" s="1"/>
      <c r="H488" s="1" t="s">
        <v>110</v>
      </c>
      <c r="I488" s="1" t="s">
        <v>46</v>
      </c>
      <c r="J488" s="1" t="s">
        <v>3078</v>
      </c>
      <c r="K488" s="1" t="s">
        <v>3079</v>
      </c>
      <c r="L488" s="1" t="s">
        <v>45</v>
      </c>
      <c r="M488" s="1" t="s">
        <v>46</v>
      </c>
      <c r="N488" s="1">
        <v>141000</v>
      </c>
      <c r="O488" s="1">
        <v>2019</v>
      </c>
      <c r="P488" s="1">
        <v>220000</v>
      </c>
      <c r="Q488" s="1">
        <v>2015</v>
      </c>
      <c r="R488" s="1" t="s">
        <v>46</v>
      </c>
      <c r="S488" s="1">
        <v>1</v>
      </c>
      <c r="T488" s="1">
        <v>1</v>
      </c>
      <c r="U488" s="1" t="s">
        <v>3080</v>
      </c>
    </row>
    <row r="489" spans="1:36" ht="17.149999999999999" hidden="1" customHeight="1">
      <c r="A489" s="1" t="s">
        <v>3081</v>
      </c>
      <c r="B489" s="1"/>
      <c r="C489" s="1" t="s">
        <v>3082</v>
      </c>
      <c r="D489" s="1"/>
      <c r="E489" s="1"/>
      <c r="F489" s="1"/>
      <c r="G489" s="1"/>
      <c r="H489" s="1" t="s">
        <v>512</v>
      </c>
      <c r="I489" s="1" t="s">
        <v>46</v>
      </c>
      <c r="J489" s="1" t="s">
        <v>3083</v>
      </c>
      <c r="K489" s="1" t="s">
        <v>3084</v>
      </c>
      <c r="L489" s="1" t="s">
        <v>45</v>
      </c>
      <c r="M489" s="1" t="s">
        <v>46</v>
      </c>
      <c r="N489" s="1">
        <v>220000</v>
      </c>
      <c r="O489" s="1">
        <v>2017</v>
      </c>
      <c r="P489" s="1">
        <v>220000</v>
      </c>
      <c r="Q489" s="1">
        <v>2017</v>
      </c>
      <c r="R489" s="1" t="s">
        <v>46</v>
      </c>
      <c r="S489" s="1">
        <v>1</v>
      </c>
      <c r="T489" s="1">
        <v>1</v>
      </c>
      <c r="U489" s="1" t="s">
        <v>3085</v>
      </c>
    </row>
    <row r="490" spans="1:36" ht="17.149999999999999" hidden="1" customHeight="1">
      <c r="A490" s="17" t="s">
        <v>3086</v>
      </c>
      <c r="B490" s="17"/>
      <c r="C490" s="65" t="s">
        <v>3087</v>
      </c>
      <c r="D490" s="65"/>
      <c r="E490" s="65"/>
      <c r="F490" s="65"/>
      <c r="G490" s="65"/>
      <c r="H490" s="17" t="s">
        <v>41</v>
      </c>
      <c r="I490" s="17" t="s">
        <v>3088</v>
      </c>
      <c r="J490" s="17" t="s">
        <v>3089</v>
      </c>
      <c r="K490" s="17" t="s">
        <v>3090</v>
      </c>
      <c r="L490" s="17" t="s">
        <v>45</v>
      </c>
      <c r="M490" s="17" t="s">
        <v>46</v>
      </c>
      <c r="N490" s="17" t="s">
        <v>46</v>
      </c>
      <c r="O490" s="17" t="s">
        <v>46</v>
      </c>
      <c r="P490" s="17">
        <v>219900</v>
      </c>
      <c r="Q490" s="17">
        <v>2016</v>
      </c>
      <c r="R490" s="17" t="s">
        <v>46</v>
      </c>
      <c r="S490" s="17">
        <v>1</v>
      </c>
      <c r="T490" s="17">
        <v>1</v>
      </c>
      <c r="U490" s="17" t="s">
        <v>3091</v>
      </c>
      <c r="V490" s="18"/>
      <c r="W490" s="18"/>
      <c r="X490" s="18"/>
      <c r="Y490" s="18"/>
      <c r="Z490" s="18"/>
      <c r="AA490" s="18"/>
      <c r="AB490" s="18"/>
      <c r="AC490" s="18"/>
      <c r="AD490" s="18"/>
      <c r="AE490" s="10"/>
      <c r="AF490" s="10"/>
      <c r="AG490" s="10"/>
    </row>
    <row r="491" spans="1:36" ht="17.149999999999999" hidden="1" customHeight="1">
      <c r="A491" s="1" t="s">
        <v>3092</v>
      </c>
      <c r="B491" s="1"/>
      <c r="C491" s="1" t="s">
        <v>3093</v>
      </c>
      <c r="D491" s="1"/>
      <c r="E491" s="1"/>
      <c r="F491" s="1"/>
      <c r="G491" s="1"/>
      <c r="H491" s="1" t="s">
        <v>1669</v>
      </c>
      <c r="I491" s="1" t="s">
        <v>46</v>
      </c>
      <c r="J491" s="1" t="s">
        <v>3094</v>
      </c>
      <c r="K491" s="1" t="s">
        <v>3095</v>
      </c>
      <c r="L491" s="1" t="s">
        <v>45</v>
      </c>
      <c r="M491" s="1" t="s">
        <v>46</v>
      </c>
      <c r="N491" s="1">
        <v>135998</v>
      </c>
      <c r="O491" s="1">
        <v>2023</v>
      </c>
      <c r="P491" s="1">
        <v>217761</v>
      </c>
      <c r="Q491" s="1">
        <v>2023</v>
      </c>
      <c r="R491" s="1" t="s">
        <v>46</v>
      </c>
      <c r="S491" s="1">
        <v>1</v>
      </c>
      <c r="T491" s="1" t="s">
        <v>46</v>
      </c>
      <c r="U491" s="1" t="s">
        <v>3096</v>
      </c>
    </row>
    <row r="492" spans="1:36" ht="17.149999999999999" hidden="1" customHeight="1">
      <c r="A492" s="1" t="s">
        <v>3097</v>
      </c>
      <c r="B492" s="1"/>
      <c r="C492" s="1" t="s">
        <v>3098</v>
      </c>
      <c r="D492" s="1"/>
      <c r="E492" s="1"/>
      <c r="F492" s="1"/>
      <c r="G492" s="1"/>
      <c r="H492" s="1" t="s">
        <v>500</v>
      </c>
      <c r="I492" s="1" t="s">
        <v>46</v>
      </c>
      <c r="J492" s="1" t="s">
        <v>3099</v>
      </c>
      <c r="K492" s="1" t="s">
        <v>3100</v>
      </c>
      <c r="L492" s="1" t="s">
        <v>45</v>
      </c>
      <c r="M492" s="1" t="s">
        <v>46</v>
      </c>
      <c r="N492" s="1">
        <v>217497</v>
      </c>
      <c r="O492" s="1">
        <v>2016</v>
      </c>
      <c r="P492" s="1">
        <v>217497</v>
      </c>
      <c r="Q492" s="1">
        <v>2016</v>
      </c>
      <c r="R492" s="1" t="s">
        <v>46</v>
      </c>
      <c r="S492" s="1">
        <v>1</v>
      </c>
      <c r="T492" s="1">
        <v>1</v>
      </c>
      <c r="U492" s="1" t="s">
        <v>3101</v>
      </c>
    </row>
    <row r="493" spans="1:36" ht="17.149999999999999" hidden="1" customHeight="1">
      <c r="A493" s="1" t="s">
        <v>3102</v>
      </c>
      <c r="B493" s="1"/>
      <c r="C493" s="1" t="s">
        <v>3103</v>
      </c>
      <c r="D493" s="1"/>
      <c r="E493" s="1"/>
      <c r="F493" s="1"/>
      <c r="G493" s="1"/>
      <c r="H493" s="1" t="s">
        <v>249</v>
      </c>
      <c r="I493" s="1" t="s">
        <v>1960</v>
      </c>
      <c r="J493" s="1" t="s">
        <v>3104</v>
      </c>
      <c r="K493" s="1" t="s">
        <v>3105</v>
      </c>
      <c r="L493" s="1" t="s">
        <v>45</v>
      </c>
      <c r="M493" s="1" t="s">
        <v>3106</v>
      </c>
      <c r="N493" s="1" t="s">
        <v>46</v>
      </c>
      <c r="O493" s="1" t="s">
        <v>46</v>
      </c>
      <c r="P493" s="1">
        <v>97504</v>
      </c>
      <c r="Q493" s="1">
        <v>2018</v>
      </c>
      <c r="R493" s="1" t="s">
        <v>46</v>
      </c>
      <c r="S493" s="1">
        <v>1</v>
      </c>
      <c r="T493" s="1">
        <v>1</v>
      </c>
      <c r="U493" s="1" t="s">
        <v>3107</v>
      </c>
    </row>
    <row r="494" spans="1:36" ht="17.149999999999999" hidden="1" customHeight="1">
      <c r="A494" s="1" t="s">
        <v>3108</v>
      </c>
      <c r="B494" s="1"/>
      <c r="C494" s="1" t="s">
        <v>3109</v>
      </c>
      <c r="D494" s="1"/>
      <c r="E494" s="1"/>
      <c r="F494" s="1"/>
      <c r="G494" s="1"/>
      <c r="H494" s="1" t="s">
        <v>1753</v>
      </c>
      <c r="I494" s="1" t="s">
        <v>46</v>
      </c>
      <c r="J494" s="1" t="s">
        <v>3110</v>
      </c>
      <c r="K494" s="1" t="s">
        <v>3111</v>
      </c>
      <c r="L494" s="1" t="s">
        <v>45</v>
      </c>
      <c r="M494" s="1" t="s">
        <v>46</v>
      </c>
      <c r="N494" s="1">
        <v>253776</v>
      </c>
      <c r="O494" s="1">
        <v>2023</v>
      </c>
      <c r="P494" s="1">
        <v>214135</v>
      </c>
      <c r="Q494" s="1">
        <v>2023</v>
      </c>
      <c r="R494" s="1" t="s">
        <v>46</v>
      </c>
      <c r="S494" s="1">
        <v>1</v>
      </c>
      <c r="T494" s="1">
        <v>1</v>
      </c>
      <c r="U494" s="1" t="s">
        <v>3112</v>
      </c>
    </row>
    <row r="495" spans="1:36" ht="17.149999999999999" hidden="1" customHeight="1">
      <c r="A495" s="1" t="s">
        <v>3113</v>
      </c>
      <c r="B495" s="1"/>
      <c r="C495" s="1" t="s">
        <v>3114</v>
      </c>
      <c r="D495" s="1"/>
      <c r="E495" s="1"/>
      <c r="F495" s="1"/>
      <c r="G495" s="1"/>
      <c r="H495" s="1" t="s">
        <v>1938</v>
      </c>
      <c r="I495" s="1" t="s">
        <v>3115</v>
      </c>
      <c r="J495" s="1" t="s">
        <v>3116</v>
      </c>
      <c r="K495" s="1" t="s">
        <v>3117</v>
      </c>
      <c r="L495" s="1" t="s">
        <v>45</v>
      </c>
      <c r="M495" s="1" t="s">
        <v>46</v>
      </c>
      <c r="N495" s="1">
        <v>380000</v>
      </c>
      <c r="O495" s="1">
        <v>2017</v>
      </c>
      <c r="P495" s="1">
        <v>214000</v>
      </c>
      <c r="Q495" s="1">
        <v>2015</v>
      </c>
      <c r="R495" s="1" t="s">
        <v>46</v>
      </c>
      <c r="S495" s="1">
        <v>1</v>
      </c>
      <c r="T495" s="1">
        <v>1</v>
      </c>
      <c r="U495" s="1" t="s">
        <v>3118</v>
      </c>
      <c r="AH495" s="42"/>
      <c r="AI495" s="42"/>
      <c r="AJ495" s="42"/>
    </row>
    <row r="496" spans="1:36" ht="17.149999999999999" hidden="1" customHeight="1">
      <c r="A496" s="17" t="s">
        <v>3119</v>
      </c>
      <c r="B496" s="17"/>
      <c r="C496" s="61" t="s">
        <v>3120</v>
      </c>
      <c r="D496" s="61"/>
      <c r="E496" s="61"/>
      <c r="F496" s="61"/>
      <c r="G496" s="61"/>
      <c r="H496" s="17" t="s">
        <v>41</v>
      </c>
      <c r="I496" s="17" t="s">
        <v>63</v>
      </c>
      <c r="J496" s="17" t="s">
        <v>3121</v>
      </c>
      <c r="K496" s="17" t="s">
        <v>3122</v>
      </c>
      <c r="L496" s="17" t="s">
        <v>151</v>
      </c>
      <c r="M496" s="17" t="s">
        <v>3123</v>
      </c>
      <c r="N496" s="17" t="s">
        <v>46</v>
      </c>
      <c r="O496" s="17" t="s">
        <v>46</v>
      </c>
      <c r="P496" s="17">
        <v>213510</v>
      </c>
      <c r="Q496" s="17">
        <v>2023</v>
      </c>
      <c r="R496" s="17" t="s">
        <v>46</v>
      </c>
      <c r="S496" s="17">
        <v>1</v>
      </c>
      <c r="T496" s="17">
        <v>1</v>
      </c>
      <c r="U496" s="17" t="s">
        <v>46</v>
      </c>
      <c r="V496" s="18"/>
      <c r="W496" s="18"/>
      <c r="X496" s="18"/>
      <c r="Y496" s="18"/>
      <c r="Z496" s="18"/>
      <c r="AA496" s="18"/>
      <c r="AB496" s="18"/>
      <c r="AC496" s="18"/>
      <c r="AD496" s="18"/>
    </row>
    <row r="497" spans="1:36" ht="17.149999999999999" hidden="1" customHeight="1">
      <c r="A497" s="1" t="s">
        <v>3124</v>
      </c>
      <c r="B497" s="1"/>
      <c r="C497" s="1" t="s">
        <v>3125</v>
      </c>
      <c r="D497" s="1"/>
      <c r="E497" s="1"/>
      <c r="F497" s="1"/>
      <c r="G497" s="1"/>
      <c r="H497" s="1" t="s">
        <v>249</v>
      </c>
      <c r="I497" s="1" t="s">
        <v>2378</v>
      </c>
      <c r="J497" s="1" t="s">
        <v>3126</v>
      </c>
      <c r="K497" s="1" t="s">
        <v>3127</v>
      </c>
      <c r="L497" s="1" t="s">
        <v>45</v>
      </c>
      <c r="M497" s="1" t="s">
        <v>46</v>
      </c>
      <c r="N497" s="1" t="s">
        <v>46</v>
      </c>
      <c r="O497" s="1" t="s">
        <v>46</v>
      </c>
      <c r="P497" s="1">
        <v>89803</v>
      </c>
      <c r="Q497" s="1">
        <v>2018</v>
      </c>
      <c r="R497" s="1" t="s">
        <v>46</v>
      </c>
      <c r="S497" s="1">
        <v>1</v>
      </c>
      <c r="T497" s="1">
        <v>1</v>
      </c>
      <c r="U497" s="1" t="s">
        <v>3128</v>
      </c>
    </row>
    <row r="498" spans="1:36" ht="17.149999999999999" hidden="1" customHeight="1">
      <c r="A498" s="1" t="s">
        <v>3129</v>
      </c>
      <c r="B498" s="1"/>
      <c r="C498" s="1" t="s">
        <v>3130</v>
      </c>
      <c r="D498" s="1"/>
      <c r="E498" s="1"/>
      <c r="F498" s="1"/>
      <c r="G498" s="1"/>
      <c r="H498" s="1" t="s">
        <v>1367</v>
      </c>
      <c r="I498" s="1" t="s">
        <v>46</v>
      </c>
      <c r="J498" s="1" t="s">
        <v>3131</v>
      </c>
      <c r="K498" s="1" t="s">
        <v>3132</v>
      </c>
      <c r="L498" s="1" t="s">
        <v>45</v>
      </c>
      <c r="M498" s="1" t="s">
        <v>46</v>
      </c>
      <c r="N498" s="1">
        <v>255057</v>
      </c>
      <c r="O498" s="1">
        <v>2017</v>
      </c>
      <c r="P498" s="1">
        <v>210191</v>
      </c>
      <c r="Q498" s="1">
        <v>2017</v>
      </c>
      <c r="R498" s="1" t="s">
        <v>46</v>
      </c>
      <c r="S498" s="1">
        <v>1</v>
      </c>
      <c r="T498" s="1">
        <v>1</v>
      </c>
      <c r="U498" s="1" t="s">
        <v>3133</v>
      </c>
    </row>
    <row r="499" spans="1:36" ht="17.149999999999999" hidden="1" customHeight="1">
      <c r="A499" s="1" t="s">
        <v>3134</v>
      </c>
      <c r="B499" s="1"/>
      <c r="C499" s="1" t="s">
        <v>3135</v>
      </c>
      <c r="D499" s="1"/>
      <c r="E499" s="1"/>
      <c r="F499" s="1"/>
      <c r="G499" s="1"/>
      <c r="H499" s="1" t="s">
        <v>249</v>
      </c>
      <c r="I499" s="1" t="s">
        <v>46</v>
      </c>
      <c r="J499" s="1" t="s">
        <v>2713</v>
      </c>
      <c r="K499" s="1" t="s">
        <v>3136</v>
      </c>
      <c r="L499" s="1" t="s">
        <v>46</v>
      </c>
      <c r="M499" s="1" t="s">
        <v>3137</v>
      </c>
      <c r="N499" s="1" t="s">
        <v>46</v>
      </c>
      <c r="O499" s="1" t="s">
        <v>46</v>
      </c>
      <c r="P499" s="1">
        <v>86603</v>
      </c>
      <c r="Q499" s="1">
        <v>2015</v>
      </c>
      <c r="R499" s="1" t="s">
        <v>46</v>
      </c>
      <c r="S499" s="1">
        <v>1</v>
      </c>
      <c r="T499" s="1">
        <v>1</v>
      </c>
      <c r="U499" s="1" t="s">
        <v>1005</v>
      </c>
    </row>
    <row r="500" spans="1:36" ht="17.149999999999999" hidden="1" customHeight="1">
      <c r="A500" s="1" t="s">
        <v>3138</v>
      </c>
      <c r="B500" s="1"/>
      <c r="C500" s="1" t="s">
        <v>3139</v>
      </c>
      <c r="D500" s="1"/>
      <c r="E500" s="1"/>
      <c r="F500" s="1"/>
      <c r="G500" s="1"/>
      <c r="H500" s="1" t="s">
        <v>128</v>
      </c>
      <c r="I500" s="1" t="s">
        <v>926</v>
      </c>
      <c r="J500" s="1" t="s">
        <v>3140</v>
      </c>
      <c r="K500" s="1" t="s">
        <v>3141</v>
      </c>
      <c r="L500" s="1" t="s">
        <v>118</v>
      </c>
      <c r="M500" s="1" t="s">
        <v>3142</v>
      </c>
      <c r="N500" s="1">
        <v>208514</v>
      </c>
      <c r="O500" s="1">
        <v>2015</v>
      </c>
      <c r="P500" s="1">
        <v>208514</v>
      </c>
      <c r="Q500" s="1">
        <v>2015</v>
      </c>
      <c r="R500" s="1" t="s">
        <v>46</v>
      </c>
      <c r="S500" s="1">
        <v>1</v>
      </c>
      <c r="T500" s="1">
        <v>1</v>
      </c>
      <c r="U500" s="1" t="s">
        <v>3143</v>
      </c>
    </row>
    <row r="501" spans="1:36" ht="17.149999999999999" hidden="1" customHeight="1">
      <c r="A501" s="1" t="s">
        <v>3144</v>
      </c>
      <c r="B501" s="1"/>
      <c r="C501" s="1" t="s">
        <v>3145</v>
      </c>
      <c r="D501" s="1"/>
      <c r="E501" s="1"/>
      <c r="F501" s="1"/>
      <c r="G501" s="1"/>
      <c r="H501" s="1" t="s">
        <v>1279</v>
      </c>
      <c r="I501" s="1" t="s">
        <v>46</v>
      </c>
      <c r="J501" s="1" t="s">
        <v>3146</v>
      </c>
      <c r="K501" s="1" t="s">
        <v>3147</v>
      </c>
      <c r="L501" s="1" t="s">
        <v>45</v>
      </c>
      <c r="M501" s="1" t="s">
        <v>46</v>
      </c>
      <c r="N501" s="1">
        <v>212718</v>
      </c>
      <c r="O501" s="1">
        <v>2015</v>
      </c>
      <c r="P501" s="1">
        <v>208240</v>
      </c>
      <c r="Q501" s="1">
        <v>2015</v>
      </c>
      <c r="R501" s="1" t="s">
        <v>46</v>
      </c>
      <c r="S501" s="1">
        <v>1</v>
      </c>
      <c r="T501" s="1">
        <v>1</v>
      </c>
      <c r="U501" s="1" t="s">
        <v>3148</v>
      </c>
    </row>
    <row r="502" spans="1:36" ht="17.149999999999999" hidden="1" customHeight="1">
      <c r="A502" s="1" t="s">
        <v>3149</v>
      </c>
      <c r="B502" s="1"/>
      <c r="C502" s="1" t="s">
        <v>3150</v>
      </c>
      <c r="D502" s="1"/>
      <c r="E502" s="1"/>
      <c r="F502" s="1"/>
      <c r="G502" s="1"/>
      <c r="H502" s="1" t="s">
        <v>110</v>
      </c>
      <c r="I502" s="1" t="s">
        <v>46</v>
      </c>
      <c r="J502" s="1" t="s">
        <v>3151</v>
      </c>
      <c r="K502" s="1" t="s">
        <v>3152</v>
      </c>
      <c r="L502" s="1" t="s">
        <v>118</v>
      </c>
      <c r="M502" s="1" t="s">
        <v>3153</v>
      </c>
      <c r="N502" s="1">
        <v>205696</v>
      </c>
      <c r="O502" s="1">
        <v>2019</v>
      </c>
      <c r="P502" s="1">
        <v>207653</v>
      </c>
      <c r="Q502" s="1">
        <v>2015</v>
      </c>
      <c r="R502" s="1" t="s">
        <v>46</v>
      </c>
      <c r="S502" s="1">
        <v>1</v>
      </c>
      <c r="T502" s="1">
        <v>1</v>
      </c>
      <c r="U502" s="1" t="s">
        <v>3154</v>
      </c>
    </row>
    <row r="503" spans="1:36" s="109" customFormat="1" ht="17.149999999999999" hidden="1" customHeight="1">
      <c r="A503" s="1" t="s">
        <v>3155</v>
      </c>
      <c r="B503" s="1"/>
      <c r="C503" s="1" t="s">
        <v>3156</v>
      </c>
      <c r="D503" s="1"/>
      <c r="E503" s="1"/>
      <c r="F503" s="1"/>
      <c r="G503" s="1"/>
      <c r="H503" s="1" t="s">
        <v>1669</v>
      </c>
      <c r="I503" s="1" t="s">
        <v>46</v>
      </c>
      <c r="J503" s="1" t="s">
        <v>3157</v>
      </c>
      <c r="K503" s="1" t="s">
        <v>3158</v>
      </c>
      <c r="L503" s="1" t="s">
        <v>45</v>
      </c>
      <c r="M503" s="1" t="s">
        <v>46</v>
      </c>
      <c r="N503" s="1" t="s">
        <v>46</v>
      </c>
      <c r="O503" s="1" t="s">
        <v>46</v>
      </c>
      <c r="P503" s="1">
        <v>207265</v>
      </c>
      <c r="Q503" s="1">
        <v>2017</v>
      </c>
      <c r="R503" s="1" t="s">
        <v>46</v>
      </c>
      <c r="S503" s="1">
        <v>1</v>
      </c>
      <c r="T503" s="1" t="s">
        <v>46</v>
      </c>
      <c r="U503" s="1" t="s">
        <v>3159</v>
      </c>
      <c r="V503" s="2"/>
      <c r="W503" s="2"/>
      <c r="X503" s="2"/>
      <c r="Y503" s="2"/>
      <c r="Z503" s="2"/>
      <c r="AA503" s="2"/>
      <c r="AB503" s="2"/>
      <c r="AC503" s="2"/>
      <c r="AD503" s="2"/>
      <c r="AE503" s="2"/>
      <c r="AF503" s="2"/>
      <c r="AG503" s="2"/>
      <c r="AH503" s="2"/>
      <c r="AI503" s="2"/>
      <c r="AJ503" s="2"/>
    </row>
    <row r="504" spans="1:36" ht="17.149999999999999" hidden="1" customHeight="1">
      <c r="A504" s="1" t="s">
        <v>3160</v>
      </c>
      <c r="B504" s="1"/>
      <c r="C504" s="1" t="s">
        <v>3161</v>
      </c>
      <c r="D504" s="1"/>
      <c r="E504" s="1"/>
      <c r="F504" s="1"/>
      <c r="G504" s="1"/>
      <c r="H504" s="1" t="s">
        <v>249</v>
      </c>
      <c r="I504" s="1" t="s">
        <v>3162</v>
      </c>
      <c r="J504" s="1" t="s">
        <v>3163</v>
      </c>
      <c r="K504" s="1" t="s">
        <v>3164</v>
      </c>
      <c r="L504" s="1" t="s">
        <v>45</v>
      </c>
      <c r="M504" s="1" t="s">
        <v>46</v>
      </c>
      <c r="N504" s="1" t="s">
        <v>46</v>
      </c>
      <c r="O504" s="1" t="s">
        <v>46</v>
      </c>
      <c r="P504" s="1">
        <v>84868</v>
      </c>
      <c r="Q504" s="1">
        <v>2018</v>
      </c>
      <c r="R504" s="1" t="s">
        <v>46</v>
      </c>
      <c r="S504" s="1">
        <v>1</v>
      </c>
      <c r="T504" s="1">
        <v>1</v>
      </c>
      <c r="U504" s="1" t="s">
        <v>3165</v>
      </c>
    </row>
    <row r="505" spans="1:36" ht="17.149999999999999" hidden="1" customHeight="1">
      <c r="A505" s="1" t="s">
        <v>3166</v>
      </c>
      <c r="B505" s="1"/>
      <c r="C505" s="1" t="s">
        <v>3167</v>
      </c>
      <c r="D505" s="1"/>
      <c r="E505" s="1"/>
      <c r="F505" s="1"/>
      <c r="G505" s="1"/>
      <c r="H505" s="1" t="s">
        <v>177</v>
      </c>
      <c r="I505" s="1" t="s">
        <v>1412</v>
      </c>
      <c r="J505" s="1" t="s">
        <v>3168</v>
      </c>
      <c r="K505" s="1" t="s">
        <v>3169</v>
      </c>
      <c r="L505" s="1" t="s">
        <v>45</v>
      </c>
      <c r="M505" s="1" t="s">
        <v>46</v>
      </c>
      <c r="N505" s="1">
        <v>204393</v>
      </c>
      <c r="O505" s="1">
        <v>2018</v>
      </c>
      <c r="P505" s="1">
        <v>204393</v>
      </c>
      <c r="Q505" s="1">
        <v>2018</v>
      </c>
      <c r="R505" s="1" t="s">
        <v>46</v>
      </c>
      <c r="S505" s="1">
        <v>1</v>
      </c>
      <c r="T505" s="1">
        <v>1</v>
      </c>
      <c r="U505" s="1" t="s">
        <v>3170</v>
      </c>
    </row>
    <row r="506" spans="1:36" ht="17.149999999999999" hidden="1" customHeight="1">
      <c r="A506" s="1" t="s">
        <v>3171</v>
      </c>
      <c r="B506" s="1"/>
      <c r="C506" s="1" t="s">
        <v>3172</v>
      </c>
      <c r="D506" s="1"/>
      <c r="E506" s="1"/>
      <c r="F506" s="1"/>
      <c r="G506" s="1"/>
      <c r="H506" s="1" t="s">
        <v>177</v>
      </c>
      <c r="I506" s="1" t="s">
        <v>1412</v>
      </c>
      <c r="J506" s="1" t="s">
        <v>1413</v>
      </c>
      <c r="K506" s="1" t="s">
        <v>3173</v>
      </c>
      <c r="L506" s="1" t="s">
        <v>118</v>
      </c>
      <c r="M506" s="1" t="s">
        <v>3174</v>
      </c>
      <c r="N506" s="1">
        <v>204000</v>
      </c>
      <c r="O506" s="1">
        <v>2019</v>
      </c>
      <c r="P506" s="1">
        <v>204000</v>
      </c>
      <c r="Q506" s="1">
        <v>2019</v>
      </c>
      <c r="R506" s="1" t="s">
        <v>46</v>
      </c>
      <c r="S506" s="1">
        <v>1</v>
      </c>
      <c r="T506" s="1">
        <v>1</v>
      </c>
      <c r="U506" s="1" t="s">
        <v>3175</v>
      </c>
    </row>
    <row r="507" spans="1:36" ht="17.149999999999999" hidden="1" customHeight="1">
      <c r="A507" s="1" t="s">
        <v>3176</v>
      </c>
      <c r="B507" s="1"/>
      <c r="C507" s="1" t="s">
        <v>3177</v>
      </c>
      <c r="D507" s="1"/>
      <c r="E507" s="1"/>
      <c r="F507" s="1"/>
      <c r="G507" s="1"/>
      <c r="H507" s="1" t="s">
        <v>249</v>
      </c>
      <c r="I507" s="1" t="s">
        <v>2122</v>
      </c>
      <c r="J507" s="1" t="s">
        <v>3178</v>
      </c>
      <c r="K507" s="1" t="s">
        <v>3179</v>
      </c>
      <c r="L507" s="1" t="s">
        <v>45</v>
      </c>
      <c r="M507" s="1" t="s">
        <v>46</v>
      </c>
      <c r="N507" s="1" t="s">
        <v>46</v>
      </c>
      <c r="O507" s="1" t="s">
        <v>46</v>
      </c>
      <c r="P507" s="1">
        <v>83842</v>
      </c>
      <c r="Q507" s="1">
        <v>2018</v>
      </c>
      <c r="R507" s="1" t="s">
        <v>46</v>
      </c>
      <c r="S507" s="1">
        <v>1</v>
      </c>
      <c r="T507" s="1" t="s">
        <v>46</v>
      </c>
      <c r="U507" s="1" t="s">
        <v>3180</v>
      </c>
    </row>
    <row r="508" spans="1:36" ht="17.149999999999999" hidden="1" customHeight="1">
      <c r="A508" s="1" t="s">
        <v>3181</v>
      </c>
      <c r="B508" s="1"/>
      <c r="C508" s="1" t="s">
        <v>3182</v>
      </c>
      <c r="D508" s="1"/>
      <c r="E508" s="1"/>
      <c r="F508" s="1"/>
      <c r="G508" s="1"/>
      <c r="H508" s="1" t="s">
        <v>249</v>
      </c>
      <c r="I508" s="1" t="s">
        <v>46</v>
      </c>
      <c r="J508" s="1" t="s">
        <v>3183</v>
      </c>
      <c r="K508" s="1" t="s">
        <v>3184</v>
      </c>
      <c r="L508" s="1" t="s">
        <v>46</v>
      </c>
      <c r="M508" s="1" t="s">
        <v>1311</v>
      </c>
      <c r="N508" s="1" t="s">
        <v>46</v>
      </c>
      <c r="O508" s="1" t="s">
        <v>46</v>
      </c>
      <c r="P508" s="1">
        <v>81171</v>
      </c>
      <c r="Q508" s="1">
        <v>2015</v>
      </c>
      <c r="R508" s="1" t="s">
        <v>46</v>
      </c>
      <c r="S508" s="1">
        <v>1</v>
      </c>
      <c r="T508" s="1">
        <v>1</v>
      </c>
      <c r="U508" s="1" t="s">
        <v>1005</v>
      </c>
    </row>
    <row r="509" spans="1:36" ht="17.149999999999999" hidden="1" customHeight="1">
      <c r="A509" s="1" t="s">
        <v>3185</v>
      </c>
      <c r="B509" s="1"/>
      <c r="C509" s="1" t="s">
        <v>3186</v>
      </c>
      <c r="D509" s="1"/>
      <c r="E509" s="1"/>
      <c r="F509" s="1"/>
      <c r="G509" s="1"/>
      <c r="H509" s="1" t="s">
        <v>177</v>
      </c>
      <c r="I509" s="1" t="s">
        <v>345</v>
      </c>
      <c r="J509" s="1" t="s">
        <v>3187</v>
      </c>
      <c r="K509" s="1" t="s">
        <v>3188</v>
      </c>
      <c r="L509" s="1" t="s">
        <v>118</v>
      </c>
      <c r="M509" s="1" t="s">
        <v>3189</v>
      </c>
      <c r="N509" s="1">
        <v>201460</v>
      </c>
      <c r="O509" s="1">
        <v>2015</v>
      </c>
      <c r="P509" s="1">
        <v>201460</v>
      </c>
      <c r="Q509" s="1">
        <v>2015</v>
      </c>
      <c r="R509" s="1" t="s">
        <v>46</v>
      </c>
      <c r="S509" s="1">
        <v>1</v>
      </c>
      <c r="T509" s="1">
        <v>1</v>
      </c>
      <c r="U509" s="1" t="s">
        <v>3190</v>
      </c>
    </row>
    <row r="510" spans="1:36" ht="17.149999999999999" hidden="1" customHeight="1">
      <c r="A510" s="1" t="s">
        <v>3191</v>
      </c>
      <c r="B510" s="1"/>
      <c r="C510" s="1" t="s">
        <v>3192</v>
      </c>
      <c r="D510" s="1"/>
      <c r="E510" s="1"/>
      <c r="F510" s="1"/>
      <c r="G510" s="1"/>
      <c r="H510" s="1" t="s">
        <v>128</v>
      </c>
      <c r="I510" s="1" t="s">
        <v>926</v>
      </c>
      <c r="J510" s="1" t="s">
        <v>3193</v>
      </c>
      <c r="K510" s="1" t="s">
        <v>3194</v>
      </c>
      <c r="L510" s="1" t="s">
        <v>45</v>
      </c>
      <c r="M510" s="1" t="s">
        <v>46</v>
      </c>
      <c r="N510" s="1">
        <v>367621</v>
      </c>
      <c r="O510" s="1">
        <v>2018</v>
      </c>
      <c r="P510" s="1">
        <v>200953</v>
      </c>
      <c r="Q510" s="1">
        <v>2015</v>
      </c>
      <c r="R510" s="1" t="s">
        <v>46</v>
      </c>
      <c r="S510" s="1">
        <v>1</v>
      </c>
      <c r="T510" s="1">
        <v>1</v>
      </c>
      <c r="U510" s="1" t="s">
        <v>3195</v>
      </c>
    </row>
    <row r="511" spans="1:36" ht="17.149999999999999" hidden="1" customHeight="1">
      <c r="A511" s="1" t="s">
        <v>3196</v>
      </c>
      <c r="B511" s="1"/>
      <c r="C511" s="1" t="s">
        <v>3197</v>
      </c>
      <c r="D511" s="1"/>
      <c r="E511" s="1"/>
      <c r="F511" s="1"/>
      <c r="G511" s="1"/>
      <c r="H511" s="1" t="s">
        <v>177</v>
      </c>
      <c r="I511" s="1" t="s">
        <v>1194</v>
      </c>
      <c r="J511" s="1" t="s">
        <v>3198</v>
      </c>
      <c r="K511" s="1" t="s">
        <v>3199</v>
      </c>
      <c r="L511" s="1" t="s">
        <v>118</v>
      </c>
      <c r="M511" s="1" t="s">
        <v>3200</v>
      </c>
      <c r="N511" s="1">
        <v>200000</v>
      </c>
      <c r="O511" s="1">
        <v>2019</v>
      </c>
      <c r="P511" s="1">
        <v>200000</v>
      </c>
      <c r="Q511" s="1">
        <v>2019</v>
      </c>
      <c r="R511" s="1" t="s">
        <v>46</v>
      </c>
      <c r="S511" s="1">
        <v>1</v>
      </c>
      <c r="T511" s="1">
        <v>1</v>
      </c>
      <c r="U511" s="1" t="s">
        <v>3201</v>
      </c>
    </row>
    <row r="512" spans="1:36" ht="17.149999999999999" hidden="1" customHeight="1">
      <c r="A512" s="1" t="s">
        <v>3202</v>
      </c>
      <c r="B512" s="1"/>
      <c r="C512" s="1" t="s">
        <v>3203</v>
      </c>
      <c r="D512" s="1"/>
      <c r="E512" s="1"/>
      <c r="F512" s="1"/>
      <c r="G512" s="1"/>
      <c r="H512" s="1" t="s">
        <v>110</v>
      </c>
      <c r="I512" s="1" t="s">
        <v>46</v>
      </c>
      <c r="J512" s="1" t="s">
        <v>3204</v>
      </c>
      <c r="K512" s="1" t="s">
        <v>3205</v>
      </c>
      <c r="L512" s="1" t="s">
        <v>118</v>
      </c>
      <c r="M512" s="1" t="s">
        <v>3206</v>
      </c>
      <c r="N512" s="1">
        <v>216547</v>
      </c>
      <c r="O512" s="1">
        <v>2015</v>
      </c>
      <c r="P512" s="1">
        <v>200000</v>
      </c>
      <c r="Q512" s="1">
        <v>2017</v>
      </c>
      <c r="R512" s="1" t="s">
        <v>46</v>
      </c>
      <c r="S512" s="1">
        <v>1</v>
      </c>
      <c r="T512" s="1">
        <v>1</v>
      </c>
      <c r="U512" s="1" t="s">
        <v>3207</v>
      </c>
    </row>
    <row r="513" spans="1:41" ht="17.149999999999999" hidden="1" customHeight="1">
      <c r="A513" s="1" t="s">
        <v>3208</v>
      </c>
      <c r="B513" s="1"/>
      <c r="C513" s="1" t="s">
        <v>3209</v>
      </c>
      <c r="D513" s="1"/>
      <c r="E513" s="1"/>
      <c r="F513" s="1"/>
      <c r="G513" s="1"/>
      <c r="H513" s="1" t="s">
        <v>110</v>
      </c>
      <c r="I513" s="1" t="s">
        <v>46</v>
      </c>
      <c r="J513" s="1" t="s">
        <v>3210</v>
      </c>
      <c r="K513" s="1" t="s">
        <v>3211</v>
      </c>
      <c r="L513" s="1" t="s">
        <v>45</v>
      </c>
      <c r="M513" s="1" t="s">
        <v>46</v>
      </c>
      <c r="N513" s="1">
        <v>200000</v>
      </c>
      <c r="O513" s="1">
        <v>2019</v>
      </c>
      <c r="P513" s="1">
        <v>200000</v>
      </c>
      <c r="Q513" s="1">
        <v>2015</v>
      </c>
      <c r="R513" s="1" t="s">
        <v>46</v>
      </c>
      <c r="S513" s="1">
        <v>1</v>
      </c>
      <c r="T513" s="1">
        <v>1</v>
      </c>
      <c r="U513" s="1" t="s">
        <v>3212</v>
      </c>
    </row>
    <row r="514" spans="1:41" ht="17.149999999999999" hidden="1" customHeight="1">
      <c r="A514" s="1" t="s">
        <v>3213</v>
      </c>
      <c r="B514" s="1"/>
      <c r="C514" s="1" t="s">
        <v>3214</v>
      </c>
      <c r="D514" s="1"/>
      <c r="E514" s="1"/>
      <c r="F514" s="1"/>
      <c r="G514" s="1"/>
      <c r="H514" s="1" t="s">
        <v>110</v>
      </c>
      <c r="I514" s="1" t="s">
        <v>46</v>
      </c>
      <c r="J514" s="1" t="s">
        <v>3215</v>
      </c>
      <c r="K514" s="1" t="s">
        <v>3216</v>
      </c>
      <c r="L514" s="1" t="s">
        <v>118</v>
      </c>
      <c r="M514" s="1" t="s">
        <v>3217</v>
      </c>
      <c r="N514" s="1">
        <v>200000</v>
      </c>
      <c r="O514" s="1">
        <v>2019</v>
      </c>
      <c r="P514" s="1">
        <v>200000</v>
      </c>
      <c r="Q514" s="1">
        <v>2015</v>
      </c>
      <c r="R514" s="1" t="s">
        <v>46</v>
      </c>
      <c r="S514" s="1">
        <v>1</v>
      </c>
      <c r="T514" s="1">
        <v>1</v>
      </c>
      <c r="U514" s="1" t="s">
        <v>3218</v>
      </c>
    </row>
    <row r="515" spans="1:41" ht="17.149999999999999" hidden="1" customHeight="1">
      <c r="A515" s="1" t="s">
        <v>3219</v>
      </c>
      <c r="B515" s="1"/>
      <c r="C515" s="1" t="s">
        <v>3220</v>
      </c>
      <c r="D515" s="1"/>
      <c r="E515" s="1"/>
      <c r="F515" s="1"/>
      <c r="G515" s="1"/>
      <c r="H515" s="1" t="s">
        <v>110</v>
      </c>
      <c r="I515" s="1" t="s">
        <v>46</v>
      </c>
      <c r="J515" s="1" t="s">
        <v>3221</v>
      </c>
      <c r="K515" s="1" t="s">
        <v>3222</v>
      </c>
      <c r="L515" s="1" t="s">
        <v>118</v>
      </c>
      <c r="M515" s="1" t="s">
        <v>3223</v>
      </c>
      <c r="N515" s="1">
        <v>150000</v>
      </c>
      <c r="O515" s="1">
        <v>2019</v>
      </c>
      <c r="P515" s="1">
        <v>200000</v>
      </c>
      <c r="Q515" s="1">
        <v>2015</v>
      </c>
      <c r="R515" s="1" t="s">
        <v>46</v>
      </c>
      <c r="S515" s="1">
        <v>1</v>
      </c>
      <c r="T515" s="1">
        <v>1</v>
      </c>
      <c r="U515" s="1" t="s">
        <v>3224</v>
      </c>
    </row>
    <row r="516" spans="1:41" ht="17.149999999999999" hidden="1" customHeight="1">
      <c r="A516" s="1" t="s">
        <v>3225</v>
      </c>
      <c r="B516" s="1"/>
      <c r="C516" s="1" t="s">
        <v>3226</v>
      </c>
      <c r="D516" s="1"/>
      <c r="E516" s="1"/>
      <c r="F516" s="1"/>
      <c r="G516" s="1"/>
      <c r="H516" s="1" t="s">
        <v>177</v>
      </c>
      <c r="I516" s="1" t="s">
        <v>1478</v>
      </c>
      <c r="J516" s="1" t="s">
        <v>3227</v>
      </c>
      <c r="K516" s="1" t="s">
        <v>3228</v>
      </c>
      <c r="L516" s="1" t="s">
        <v>118</v>
      </c>
      <c r="M516" s="1" t="s">
        <v>3229</v>
      </c>
      <c r="N516" s="1">
        <v>218210</v>
      </c>
      <c r="O516" s="1">
        <v>2015</v>
      </c>
      <c r="P516" s="1">
        <v>200000</v>
      </c>
      <c r="Q516" s="1">
        <v>2015</v>
      </c>
      <c r="R516" s="1" t="s">
        <v>46</v>
      </c>
      <c r="S516" s="1">
        <v>1</v>
      </c>
      <c r="T516" s="1">
        <v>1</v>
      </c>
      <c r="U516" s="1" t="s">
        <v>3230</v>
      </c>
    </row>
    <row r="517" spans="1:41" ht="17.149999999999999" hidden="1" customHeight="1">
      <c r="A517" s="1" t="s">
        <v>3231</v>
      </c>
      <c r="B517" s="1"/>
      <c r="C517" s="1" t="s">
        <v>3232</v>
      </c>
      <c r="D517" s="1"/>
      <c r="E517" s="1"/>
      <c r="F517" s="1"/>
      <c r="G517" s="1"/>
      <c r="H517" s="1" t="s">
        <v>110</v>
      </c>
      <c r="I517" s="1" t="s">
        <v>46</v>
      </c>
      <c r="J517" s="1" t="s">
        <v>3233</v>
      </c>
      <c r="K517" s="1" t="s">
        <v>3234</v>
      </c>
      <c r="L517" s="1" t="s">
        <v>45</v>
      </c>
      <c r="M517" s="1" t="s">
        <v>46</v>
      </c>
      <c r="N517" s="1">
        <v>104699</v>
      </c>
      <c r="O517" s="1">
        <v>2019</v>
      </c>
      <c r="P517" s="1">
        <v>200000</v>
      </c>
      <c r="Q517" s="1">
        <v>2015</v>
      </c>
      <c r="R517" s="1" t="s">
        <v>46</v>
      </c>
      <c r="S517" s="1">
        <v>1</v>
      </c>
      <c r="T517" s="1">
        <v>1</v>
      </c>
      <c r="U517" s="1" t="s">
        <v>3235</v>
      </c>
    </row>
    <row r="518" spans="1:41" s="131" customFormat="1" ht="17.149999999999999" hidden="1" customHeight="1">
      <c r="A518" s="24" t="s">
        <v>3236</v>
      </c>
      <c r="B518" s="24"/>
      <c r="C518" s="62" t="s">
        <v>3237</v>
      </c>
      <c r="D518" s="61"/>
      <c r="E518" s="61"/>
      <c r="F518" s="61"/>
      <c r="G518" s="61"/>
      <c r="H518" s="24" t="s">
        <v>41</v>
      </c>
      <c r="I518" s="24" t="s">
        <v>2785</v>
      </c>
      <c r="J518" s="24" t="s">
        <v>3238</v>
      </c>
      <c r="K518" s="24" t="s">
        <v>3239</v>
      </c>
      <c r="L518" s="24" t="s">
        <v>151</v>
      </c>
      <c r="M518" s="24" t="s">
        <v>3240</v>
      </c>
      <c r="N518" s="24">
        <v>300000</v>
      </c>
      <c r="O518" s="24">
        <v>2024</v>
      </c>
      <c r="P518" s="24">
        <v>200000</v>
      </c>
      <c r="Q518" s="24">
        <v>2024</v>
      </c>
      <c r="R518" s="24" t="s">
        <v>46</v>
      </c>
      <c r="S518" s="24">
        <v>1</v>
      </c>
      <c r="T518" s="24" t="s">
        <v>46</v>
      </c>
      <c r="U518" s="24" t="s">
        <v>46</v>
      </c>
      <c r="V518" s="25"/>
      <c r="W518" s="25"/>
      <c r="X518" s="25"/>
      <c r="Y518" s="25"/>
      <c r="Z518" s="25"/>
      <c r="AA518" s="25"/>
      <c r="AB518" s="25"/>
      <c r="AC518" s="25" t="s">
        <v>3241</v>
      </c>
      <c r="AD518" s="25"/>
    </row>
    <row r="519" spans="1:41" ht="17.149999999999999" hidden="1" customHeight="1">
      <c r="A519" s="1" t="s">
        <v>3242</v>
      </c>
      <c r="B519" s="1"/>
      <c r="C519" s="1" t="s">
        <v>3243</v>
      </c>
      <c r="D519" s="1"/>
      <c r="E519" s="1"/>
      <c r="F519" s="1"/>
      <c r="G519" s="1"/>
      <c r="H519" s="1" t="s">
        <v>1669</v>
      </c>
      <c r="I519" s="1" t="s">
        <v>46</v>
      </c>
      <c r="J519" s="1" t="s">
        <v>3244</v>
      </c>
      <c r="K519" s="1" t="s">
        <v>3245</v>
      </c>
      <c r="L519" s="1" t="s">
        <v>45</v>
      </c>
      <c r="M519" s="1" t="s">
        <v>46</v>
      </c>
      <c r="N519" s="1">
        <v>200000</v>
      </c>
      <c r="O519" s="1">
        <v>2015</v>
      </c>
      <c r="P519" s="1">
        <v>200000</v>
      </c>
      <c r="Q519" s="1">
        <v>2015</v>
      </c>
      <c r="R519" s="1" t="s">
        <v>46</v>
      </c>
      <c r="S519" s="1">
        <v>1</v>
      </c>
      <c r="T519" s="1" t="s">
        <v>46</v>
      </c>
      <c r="U519" s="1" t="s">
        <v>3246</v>
      </c>
    </row>
    <row r="520" spans="1:41" ht="17.149999999999999" customHeight="1">
      <c r="A520" s="132" t="s">
        <v>3247</v>
      </c>
      <c r="B520" s="132" t="s">
        <v>857</v>
      </c>
      <c r="C520" s="132" t="s">
        <v>3248</v>
      </c>
      <c r="D520" s="147" t="s">
        <v>3248</v>
      </c>
      <c r="E520" s="147" t="s">
        <v>3249</v>
      </c>
      <c r="F520" s="147"/>
      <c r="G520" s="147"/>
      <c r="H520" s="132" t="s">
        <v>1938</v>
      </c>
      <c r="I520" s="132" t="s">
        <v>3250</v>
      </c>
      <c r="J520" s="132" t="s">
        <v>3251</v>
      </c>
      <c r="K520" s="132" t="s">
        <v>3252</v>
      </c>
      <c r="L520" s="132" t="s">
        <v>45</v>
      </c>
      <c r="M520" s="132" t="s">
        <v>46</v>
      </c>
      <c r="N520" s="132" t="s">
        <v>46</v>
      </c>
      <c r="O520" s="132" t="s">
        <v>46</v>
      </c>
      <c r="P520" s="132">
        <v>390500</v>
      </c>
      <c r="Q520" s="132">
        <v>2015</v>
      </c>
      <c r="R520" s="132" t="s">
        <v>46</v>
      </c>
      <c r="S520" s="132">
        <v>1</v>
      </c>
      <c r="T520" s="132">
        <v>1</v>
      </c>
      <c r="U520" s="133" t="s">
        <v>3253</v>
      </c>
      <c r="V520" s="85" t="s">
        <v>40</v>
      </c>
      <c r="W520" s="85" t="s">
        <v>1327</v>
      </c>
      <c r="X520" s="85" t="s">
        <v>40</v>
      </c>
      <c r="Y520" s="85" t="s">
        <v>2640</v>
      </c>
      <c r="Z520" s="85" t="s">
        <v>3254</v>
      </c>
      <c r="AA520" s="134" t="s">
        <v>3255</v>
      </c>
      <c r="AB520" s="85"/>
      <c r="AC520" s="85" t="s">
        <v>3256</v>
      </c>
      <c r="AD520" s="85"/>
      <c r="AE520" s="85">
        <v>5</v>
      </c>
      <c r="AF520" s="85" t="s">
        <v>53</v>
      </c>
      <c r="AG520" s="85"/>
      <c r="AH520" s="85"/>
      <c r="AI520" s="85"/>
      <c r="AJ520" s="2" t="s">
        <v>1318</v>
      </c>
      <c r="AK520" s="85"/>
      <c r="AL520" s="85"/>
      <c r="AM520" s="85"/>
      <c r="AN520" s="85"/>
      <c r="AO520" s="85"/>
    </row>
    <row r="521" spans="1:41" ht="17.149999999999999" hidden="1" customHeight="1">
      <c r="A521" s="1" t="s">
        <v>3257</v>
      </c>
      <c r="B521" s="1"/>
      <c r="C521" s="1" t="s">
        <v>3258</v>
      </c>
      <c r="D521" s="1"/>
      <c r="E521" s="1"/>
      <c r="F521" s="1"/>
      <c r="G521" s="1"/>
      <c r="H521" s="1" t="s">
        <v>1279</v>
      </c>
      <c r="I521" s="1" t="s">
        <v>46</v>
      </c>
      <c r="J521" s="1" t="s">
        <v>3259</v>
      </c>
      <c r="K521" s="1" t="s">
        <v>3260</v>
      </c>
      <c r="L521" s="1" t="s">
        <v>45</v>
      </c>
      <c r="M521" s="1" t="s">
        <v>46</v>
      </c>
      <c r="N521" s="1">
        <v>200000</v>
      </c>
      <c r="O521" s="1">
        <v>2018</v>
      </c>
      <c r="P521" s="1">
        <v>200000</v>
      </c>
      <c r="Q521" s="1">
        <v>2018</v>
      </c>
      <c r="R521" s="1" t="s">
        <v>46</v>
      </c>
      <c r="S521" s="1">
        <v>1</v>
      </c>
      <c r="T521" s="1">
        <v>1</v>
      </c>
      <c r="U521" s="1" t="s">
        <v>3261</v>
      </c>
    </row>
    <row r="522" spans="1:41" ht="17.149999999999999" hidden="1" customHeight="1">
      <c r="A522" s="1" t="s">
        <v>3262</v>
      </c>
      <c r="B522" s="1"/>
      <c r="C522" s="1" t="s">
        <v>3263</v>
      </c>
      <c r="D522" s="1"/>
      <c r="E522" s="1"/>
      <c r="F522" s="1"/>
      <c r="G522" s="1"/>
      <c r="H522" s="1" t="s">
        <v>1203</v>
      </c>
      <c r="I522" s="1" t="s">
        <v>46</v>
      </c>
      <c r="J522" s="1" t="s">
        <v>3264</v>
      </c>
      <c r="K522" s="1" t="s">
        <v>3265</v>
      </c>
      <c r="L522" s="1" t="s">
        <v>45</v>
      </c>
      <c r="M522" s="1" t="s">
        <v>46</v>
      </c>
      <c r="N522" s="1" t="s">
        <v>46</v>
      </c>
      <c r="O522" s="1" t="s">
        <v>46</v>
      </c>
      <c r="P522" s="1">
        <v>200000</v>
      </c>
      <c r="Q522" s="1">
        <v>2015</v>
      </c>
      <c r="R522" s="1" t="s">
        <v>46</v>
      </c>
      <c r="S522" s="1">
        <v>1</v>
      </c>
      <c r="T522" s="1" t="s">
        <v>46</v>
      </c>
      <c r="U522" s="1" t="s">
        <v>3266</v>
      </c>
    </row>
    <row r="523" spans="1:41" ht="17.149999999999999" hidden="1" customHeight="1">
      <c r="A523" s="1" t="s">
        <v>3267</v>
      </c>
      <c r="B523" s="1"/>
      <c r="C523" s="1" t="s">
        <v>3268</v>
      </c>
      <c r="D523" s="1"/>
      <c r="E523" s="1"/>
      <c r="F523" s="1"/>
      <c r="G523" s="1"/>
      <c r="H523" s="1" t="s">
        <v>110</v>
      </c>
      <c r="I523" s="1" t="s">
        <v>46</v>
      </c>
      <c r="J523" s="1" t="s">
        <v>3269</v>
      </c>
      <c r="K523" s="1" t="s">
        <v>3270</v>
      </c>
      <c r="L523" s="1" t="s">
        <v>45</v>
      </c>
      <c r="M523" s="1" t="s">
        <v>46</v>
      </c>
      <c r="N523" s="1">
        <v>199406</v>
      </c>
      <c r="O523" s="1">
        <v>2019</v>
      </c>
      <c r="P523" s="1">
        <v>199406</v>
      </c>
      <c r="Q523" s="1">
        <v>2019</v>
      </c>
      <c r="R523" s="1" t="s">
        <v>46</v>
      </c>
      <c r="S523" s="1">
        <v>1</v>
      </c>
      <c r="T523" s="1">
        <v>1</v>
      </c>
      <c r="U523" s="1" t="s">
        <v>3271</v>
      </c>
    </row>
    <row r="524" spans="1:41" ht="17.149999999999999" hidden="1" customHeight="1">
      <c r="A524" s="1" t="s">
        <v>3272</v>
      </c>
      <c r="B524" s="1"/>
      <c r="C524" s="1" t="s">
        <v>3273</v>
      </c>
      <c r="D524" s="1"/>
      <c r="E524" s="1"/>
      <c r="F524" s="1"/>
      <c r="G524" s="1"/>
      <c r="H524" s="1" t="s">
        <v>1279</v>
      </c>
      <c r="I524" s="1" t="s">
        <v>46</v>
      </c>
      <c r="J524" s="1" t="s">
        <v>3274</v>
      </c>
      <c r="K524" s="1" t="s">
        <v>3275</v>
      </c>
      <c r="L524" s="1" t="s">
        <v>118</v>
      </c>
      <c r="M524" s="1" t="s">
        <v>3276</v>
      </c>
      <c r="N524" s="1">
        <v>174504</v>
      </c>
      <c r="O524" s="1">
        <v>2015</v>
      </c>
      <c r="P524" s="1">
        <v>199391</v>
      </c>
      <c r="Q524" s="1">
        <v>2015</v>
      </c>
      <c r="R524" s="1" t="s">
        <v>46</v>
      </c>
      <c r="S524" s="1">
        <v>1</v>
      </c>
      <c r="T524" s="1" t="s">
        <v>46</v>
      </c>
      <c r="U524" s="1" t="s">
        <v>3277</v>
      </c>
    </row>
    <row r="525" spans="1:41" ht="17.149999999999999" hidden="1" customHeight="1">
      <c r="A525" s="1" t="s">
        <v>3278</v>
      </c>
      <c r="B525" s="1"/>
      <c r="C525" s="1" t="s">
        <v>3279</v>
      </c>
      <c r="D525" s="1"/>
      <c r="E525" s="1"/>
      <c r="F525" s="1"/>
      <c r="G525" s="1"/>
      <c r="H525" s="1" t="s">
        <v>1367</v>
      </c>
      <c r="I525" s="1" t="s">
        <v>46</v>
      </c>
      <c r="J525" s="1" t="s">
        <v>3280</v>
      </c>
      <c r="K525" s="1" t="s">
        <v>3281</v>
      </c>
      <c r="L525" s="1" t="s">
        <v>45</v>
      </c>
      <c r="M525" s="1" t="s">
        <v>46</v>
      </c>
      <c r="N525" s="1">
        <v>240550</v>
      </c>
      <c r="O525" s="1">
        <v>2017</v>
      </c>
      <c r="P525" s="1">
        <v>198240</v>
      </c>
      <c r="Q525" s="1">
        <v>2017</v>
      </c>
      <c r="R525" s="1" t="s">
        <v>46</v>
      </c>
      <c r="S525" s="1">
        <v>1</v>
      </c>
      <c r="T525" s="1">
        <v>1</v>
      </c>
      <c r="U525" s="1" t="s">
        <v>3282</v>
      </c>
    </row>
    <row r="526" spans="1:41" ht="17.149999999999999" hidden="1" customHeight="1">
      <c r="A526" s="17" t="s">
        <v>3283</v>
      </c>
      <c r="B526" s="17"/>
      <c r="C526" s="61" t="s">
        <v>3284</v>
      </c>
      <c r="D526" s="61"/>
      <c r="E526" s="61"/>
      <c r="F526" s="61"/>
      <c r="G526" s="61"/>
      <c r="H526" s="17" t="s">
        <v>41</v>
      </c>
      <c r="I526" s="17" t="s">
        <v>135</v>
      </c>
      <c r="J526" s="17" t="s">
        <v>3285</v>
      </c>
      <c r="K526" s="17" t="s">
        <v>3286</v>
      </c>
      <c r="L526" s="17" t="s">
        <v>45</v>
      </c>
      <c r="M526" s="17" t="s">
        <v>46</v>
      </c>
      <c r="N526" s="17" t="s">
        <v>46</v>
      </c>
      <c r="O526" s="17" t="s">
        <v>46</v>
      </c>
      <c r="P526" s="17">
        <v>197500</v>
      </c>
      <c r="Q526" s="17">
        <v>2016</v>
      </c>
      <c r="R526" s="17" t="s">
        <v>46</v>
      </c>
      <c r="S526" s="17">
        <v>1</v>
      </c>
      <c r="T526" s="17">
        <v>1</v>
      </c>
      <c r="U526" s="17" t="s">
        <v>3287</v>
      </c>
      <c r="V526" s="18"/>
      <c r="W526" s="18"/>
      <c r="X526" s="18"/>
      <c r="Y526" s="18"/>
      <c r="Z526" s="18"/>
      <c r="AA526" s="18"/>
      <c r="AB526" s="18"/>
      <c r="AC526" s="18"/>
      <c r="AD526" s="18"/>
    </row>
    <row r="527" spans="1:41" ht="17.149999999999999" hidden="1" customHeight="1">
      <c r="A527" s="1" t="s">
        <v>3288</v>
      </c>
      <c r="B527" s="1"/>
      <c r="C527" s="1" t="s">
        <v>3289</v>
      </c>
      <c r="D527" s="1"/>
      <c r="E527" s="1"/>
      <c r="F527" s="1"/>
      <c r="G527" s="1"/>
      <c r="H527" s="1" t="s">
        <v>1279</v>
      </c>
      <c r="I527" s="1" t="s">
        <v>46</v>
      </c>
      <c r="J527" s="1" t="s">
        <v>3290</v>
      </c>
      <c r="K527" s="1" t="s">
        <v>3291</v>
      </c>
      <c r="L527" s="1" t="s">
        <v>45</v>
      </c>
      <c r="M527" s="1" t="s">
        <v>46</v>
      </c>
      <c r="N527" s="1">
        <v>197253</v>
      </c>
      <c r="O527" s="1">
        <v>2018</v>
      </c>
      <c r="P527" s="1">
        <v>197253</v>
      </c>
      <c r="Q527" s="1">
        <v>2018</v>
      </c>
      <c r="R527" s="1" t="s">
        <v>46</v>
      </c>
      <c r="S527" s="1">
        <v>1</v>
      </c>
      <c r="T527" s="1">
        <v>1</v>
      </c>
      <c r="U527" s="1" t="s">
        <v>3292</v>
      </c>
    </row>
    <row r="528" spans="1:41" ht="17.149999999999999" hidden="1" customHeight="1">
      <c r="A528" s="1" t="s">
        <v>3293</v>
      </c>
      <c r="B528" s="1"/>
      <c r="C528" s="1" t="s">
        <v>3294</v>
      </c>
      <c r="D528" s="1"/>
      <c r="E528" s="1"/>
      <c r="F528" s="1"/>
      <c r="G528" s="1"/>
      <c r="H528" s="1" t="s">
        <v>177</v>
      </c>
      <c r="I528" s="1" t="s">
        <v>345</v>
      </c>
      <c r="J528" s="1" t="s">
        <v>346</v>
      </c>
      <c r="K528" s="1" t="s">
        <v>3295</v>
      </c>
      <c r="L528" s="1" t="s">
        <v>118</v>
      </c>
      <c r="M528" s="1" t="s">
        <v>3296</v>
      </c>
      <c r="N528" s="1">
        <v>195000</v>
      </c>
      <c r="O528" s="1">
        <v>2019</v>
      </c>
      <c r="P528" s="1">
        <v>195000</v>
      </c>
      <c r="Q528" s="1">
        <v>2019</v>
      </c>
      <c r="R528" s="1" t="s">
        <v>46</v>
      </c>
      <c r="S528" s="1">
        <v>1</v>
      </c>
      <c r="T528" s="1">
        <v>1</v>
      </c>
      <c r="U528" s="1" t="s">
        <v>3297</v>
      </c>
    </row>
    <row r="529" spans="1:30" ht="17.149999999999999" hidden="1" customHeight="1">
      <c r="A529" s="1" t="s">
        <v>3298</v>
      </c>
      <c r="B529" s="1"/>
      <c r="C529" s="1" t="s">
        <v>3299</v>
      </c>
      <c r="D529" s="1"/>
      <c r="E529" s="1"/>
      <c r="F529" s="1"/>
      <c r="G529" s="1"/>
      <c r="H529" s="1" t="s">
        <v>1367</v>
      </c>
      <c r="I529" s="1" t="s">
        <v>46</v>
      </c>
      <c r="J529" s="1" t="s">
        <v>3300</v>
      </c>
      <c r="K529" s="1" t="s">
        <v>3301</v>
      </c>
      <c r="L529" s="1" t="s">
        <v>45</v>
      </c>
      <c r="M529" s="1" t="s">
        <v>46</v>
      </c>
      <c r="N529" s="1">
        <v>280472</v>
      </c>
      <c r="O529" s="1">
        <v>2017</v>
      </c>
      <c r="P529" s="1">
        <v>194310</v>
      </c>
      <c r="Q529" s="1">
        <v>2017</v>
      </c>
      <c r="R529" s="1" t="s">
        <v>46</v>
      </c>
      <c r="S529" s="1">
        <v>1</v>
      </c>
      <c r="T529" s="1">
        <v>1</v>
      </c>
      <c r="U529" s="1" t="s">
        <v>3302</v>
      </c>
    </row>
    <row r="530" spans="1:30" ht="17.149999999999999" hidden="1" customHeight="1">
      <c r="A530" s="1" t="s">
        <v>3303</v>
      </c>
      <c r="B530" s="1"/>
      <c r="C530" s="1" t="s">
        <v>3304</v>
      </c>
      <c r="D530" s="1"/>
      <c r="E530" s="1"/>
      <c r="F530" s="1"/>
      <c r="G530" s="1"/>
      <c r="H530" s="1" t="s">
        <v>249</v>
      </c>
      <c r="I530" s="1" t="s">
        <v>3305</v>
      </c>
      <c r="J530" s="1" t="s">
        <v>3306</v>
      </c>
      <c r="K530" s="1" t="s">
        <v>3307</v>
      </c>
      <c r="L530" s="1" t="s">
        <v>45</v>
      </c>
      <c r="M530" s="1" t="s">
        <v>46</v>
      </c>
      <c r="N530" s="1" t="s">
        <v>46</v>
      </c>
      <c r="O530" s="1" t="s">
        <v>46</v>
      </c>
      <c r="P530" s="1">
        <v>79856</v>
      </c>
      <c r="Q530" s="1">
        <v>2018</v>
      </c>
      <c r="R530" s="1" t="s">
        <v>46</v>
      </c>
      <c r="S530" s="1">
        <v>1</v>
      </c>
      <c r="T530" s="1">
        <v>1</v>
      </c>
      <c r="U530" s="1" t="s">
        <v>3308</v>
      </c>
    </row>
    <row r="531" spans="1:30" ht="17.149999999999999" hidden="1" customHeight="1">
      <c r="A531" s="1" t="s">
        <v>3309</v>
      </c>
      <c r="B531" s="1"/>
      <c r="C531" s="1" t="s">
        <v>3310</v>
      </c>
      <c r="D531" s="1"/>
      <c r="E531" s="1"/>
      <c r="F531" s="1"/>
      <c r="G531" s="1"/>
      <c r="H531" s="1" t="s">
        <v>1171</v>
      </c>
      <c r="I531" s="1" t="s">
        <v>46</v>
      </c>
      <c r="J531" s="1" t="s">
        <v>3311</v>
      </c>
      <c r="K531" s="1" t="s">
        <v>3312</v>
      </c>
      <c r="L531" s="1" t="s">
        <v>118</v>
      </c>
      <c r="M531" s="1" t="s">
        <v>3313</v>
      </c>
      <c r="N531" s="1">
        <v>294525</v>
      </c>
      <c r="O531" s="1">
        <v>2017</v>
      </c>
      <c r="P531" s="1">
        <v>193471</v>
      </c>
      <c r="Q531" s="1">
        <v>2017</v>
      </c>
      <c r="R531" s="1" t="s">
        <v>46</v>
      </c>
      <c r="S531" s="1">
        <v>1</v>
      </c>
      <c r="T531" s="1" t="s">
        <v>46</v>
      </c>
      <c r="U531" s="1" t="s">
        <v>3314</v>
      </c>
    </row>
    <row r="532" spans="1:30" ht="17.149999999999999" hidden="1" customHeight="1">
      <c r="A532" s="1" t="s">
        <v>3315</v>
      </c>
      <c r="B532" s="1"/>
      <c r="C532" s="1" t="s">
        <v>3316</v>
      </c>
      <c r="D532" s="1"/>
      <c r="E532" s="1"/>
      <c r="F532" s="1"/>
      <c r="G532" s="1"/>
      <c r="H532" s="1" t="s">
        <v>249</v>
      </c>
      <c r="I532" s="1" t="s">
        <v>3317</v>
      </c>
      <c r="J532" s="1" t="s">
        <v>3318</v>
      </c>
      <c r="K532" s="1" t="s">
        <v>3319</v>
      </c>
      <c r="L532" s="1" t="s">
        <v>45</v>
      </c>
      <c r="M532" s="1" t="s">
        <v>46</v>
      </c>
      <c r="N532" s="1" t="s">
        <v>46</v>
      </c>
      <c r="O532" s="1" t="s">
        <v>46</v>
      </c>
      <c r="P532" s="1">
        <v>79120</v>
      </c>
      <c r="Q532" s="1">
        <v>2018</v>
      </c>
      <c r="R532" s="1" t="s">
        <v>46</v>
      </c>
      <c r="S532" s="1">
        <v>1</v>
      </c>
      <c r="T532" s="1">
        <v>1</v>
      </c>
      <c r="U532" s="1" t="s">
        <v>3320</v>
      </c>
    </row>
    <row r="533" spans="1:30" ht="17.149999999999999" hidden="1" customHeight="1">
      <c r="A533" s="1" t="s">
        <v>3321</v>
      </c>
      <c r="B533" s="1"/>
      <c r="C533" s="1" t="s">
        <v>3322</v>
      </c>
      <c r="D533" s="1"/>
      <c r="E533" s="1"/>
      <c r="F533" s="1"/>
      <c r="G533" s="1"/>
      <c r="H533" s="1" t="s">
        <v>249</v>
      </c>
      <c r="I533" s="1" t="s">
        <v>1747</v>
      </c>
      <c r="J533" s="1" t="s">
        <v>3323</v>
      </c>
      <c r="K533" s="1" t="s">
        <v>2071</v>
      </c>
      <c r="L533" s="1" t="s">
        <v>45</v>
      </c>
      <c r="M533" s="1" t="s">
        <v>46</v>
      </c>
      <c r="N533" s="1" t="s">
        <v>46</v>
      </c>
      <c r="O533" s="1" t="s">
        <v>46</v>
      </c>
      <c r="P533" s="1">
        <v>78362</v>
      </c>
      <c r="Q533" s="1">
        <v>2018</v>
      </c>
      <c r="R533" s="1" t="s">
        <v>46</v>
      </c>
      <c r="S533" s="1">
        <v>1</v>
      </c>
      <c r="T533" s="1">
        <v>1</v>
      </c>
      <c r="U533" s="1" t="s">
        <v>3324</v>
      </c>
    </row>
    <row r="534" spans="1:30" ht="17.149999999999999" hidden="1" customHeight="1">
      <c r="A534" s="1" t="s">
        <v>3325</v>
      </c>
      <c r="B534" s="1"/>
      <c r="C534" s="1" t="s">
        <v>3326</v>
      </c>
      <c r="D534" s="1"/>
      <c r="E534" s="1"/>
      <c r="F534" s="1"/>
      <c r="G534" s="1"/>
      <c r="H534" s="1" t="s">
        <v>110</v>
      </c>
      <c r="I534" s="1" t="s">
        <v>46</v>
      </c>
      <c r="J534" s="1" t="s">
        <v>3327</v>
      </c>
      <c r="K534" s="1" t="s">
        <v>3328</v>
      </c>
      <c r="L534" s="1" t="s">
        <v>45</v>
      </c>
      <c r="M534" s="1" t="s">
        <v>46</v>
      </c>
      <c r="N534" s="1">
        <v>190573</v>
      </c>
      <c r="O534" s="1">
        <v>2016</v>
      </c>
      <c r="P534" s="1">
        <v>190573</v>
      </c>
      <c r="Q534" s="1">
        <v>2016</v>
      </c>
      <c r="R534" s="1" t="s">
        <v>46</v>
      </c>
      <c r="S534" s="1">
        <v>1</v>
      </c>
      <c r="T534" s="1">
        <v>1</v>
      </c>
      <c r="U534" s="1" t="s">
        <v>3329</v>
      </c>
    </row>
    <row r="535" spans="1:30" ht="17.149999999999999" hidden="1" customHeight="1">
      <c r="A535" s="1" t="s">
        <v>3330</v>
      </c>
      <c r="B535" s="1"/>
      <c r="C535" s="1" t="s">
        <v>3331</v>
      </c>
      <c r="D535" s="1"/>
      <c r="E535" s="1"/>
      <c r="F535" s="1"/>
      <c r="G535" s="1"/>
      <c r="H535" s="1" t="s">
        <v>1279</v>
      </c>
      <c r="I535" s="1" t="s">
        <v>46</v>
      </c>
      <c r="J535" s="1" t="s">
        <v>3332</v>
      </c>
      <c r="K535" s="1" t="s">
        <v>3333</v>
      </c>
      <c r="L535" s="1" t="s">
        <v>45</v>
      </c>
      <c r="M535" s="1" t="s">
        <v>46</v>
      </c>
      <c r="N535" s="1">
        <v>200000</v>
      </c>
      <c r="O535" s="1">
        <v>2019</v>
      </c>
      <c r="P535" s="1">
        <v>190470</v>
      </c>
      <c r="Q535" s="1">
        <v>2015</v>
      </c>
      <c r="R535" s="1" t="s">
        <v>46</v>
      </c>
      <c r="S535" s="1">
        <v>1</v>
      </c>
      <c r="T535" s="1">
        <v>1</v>
      </c>
      <c r="U535" s="1" t="s">
        <v>3334</v>
      </c>
    </row>
    <row r="536" spans="1:30" ht="17.149999999999999" hidden="1" customHeight="1">
      <c r="A536" s="1" t="s">
        <v>3335</v>
      </c>
      <c r="B536" s="1"/>
      <c r="C536" s="1" t="s">
        <v>3336</v>
      </c>
      <c r="D536" s="1"/>
      <c r="E536" s="1"/>
      <c r="F536" s="1"/>
      <c r="G536" s="1"/>
      <c r="H536" s="1" t="s">
        <v>1279</v>
      </c>
      <c r="I536" s="1" t="s">
        <v>46</v>
      </c>
      <c r="J536" s="1" t="s">
        <v>3337</v>
      </c>
      <c r="K536" s="1" t="s">
        <v>3338</v>
      </c>
      <c r="L536" s="1" t="s">
        <v>45</v>
      </c>
      <c r="M536" s="1" t="s">
        <v>46</v>
      </c>
      <c r="N536" s="1">
        <v>190000</v>
      </c>
      <c r="O536" s="1">
        <v>2019</v>
      </c>
      <c r="P536" s="1">
        <v>190000</v>
      </c>
      <c r="Q536" s="1">
        <v>2019</v>
      </c>
      <c r="R536" s="1" t="s">
        <v>46</v>
      </c>
      <c r="S536" s="1">
        <v>1</v>
      </c>
      <c r="T536" s="1">
        <v>1</v>
      </c>
      <c r="U536" s="1" t="s">
        <v>3339</v>
      </c>
    </row>
    <row r="537" spans="1:30" ht="17.149999999999999" hidden="1" customHeight="1">
      <c r="A537" s="21" t="s">
        <v>3340</v>
      </c>
      <c r="B537" s="21"/>
      <c r="C537" s="58" t="s">
        <v>3341</v>
      </c>
      <c r="D537" s="61"/>
      <c r="E537" s="61"/>
      <c r="F537" s="61"/>
      <c r="G537" s="61"/>
      <c r="H537" s="21" t="s">
        <v>41</v>
      </c>
      <c r="I537" s="21" t="s">
        <v>135</v>
      </c>
      <c r="J537" s="21" t="s">
        <v>3342</v>
      </c>
      <c r="K537" s="21" t="s">
        <v>3343</v>
      </c>
      <c r="L537" s="21" t="s">
        <v>45</v>
      </c>
      <c r="M537" s="21" t="s">
        <v>46</v>
      </c>
      <c r="N537" s="21" t="s">
        <v>46</v>
      </c>
      <c r="O537" s="21" t="s">
        <v>46</v>
      </c>
      <c r="P537" s="21">
        <v>189200</v>
      </c>
      <c r="Q537" s="21">
        <v>2016</v>
      </c>
      <c r="R537" s="21" t="s">
        <v>46</v>
      </c>
      <c r="S537" s="21">
        <v>1</v>
      </c>
      <c r="T537" s="21">
        <v>1</v>
      </c>
      <c r="U537" s="21" t="s">
        <v>3344</v>
      </c>
      <c r="V537" s="22" t="s">
        <v>103</v>
      </c>
      <c r="W537" s="22"/>
      <c r="X537" s="22"/>
      <c r="Y537" s="22"/>
      <c r="Z537" s="22"/>
      <c r="AA537" s="22"/>
      <c r="AB537" s="22"/>
      <c r="AC537" s="22"/>
      <c r="AD537" s="22"/>
    </row>
    <row r="538" spans="1:30" ht="17.149999999999999" hidden="1" customHeight="1">
      <c r="A538" s="1" t="s">
        <v>3345</v>
      </c>
      <c r="B538" s="1"/>
      <c r="C538" s="1" t="s">
        <v>3346</v>
      </c>
      <c r="D538" s="1"/>
      <c r="E538" s="1"/>
      <c r="F538" s="1"/>
      <c r="G538" s="1"/>
      <c r="H538" s="1" t="s">
        <v>249</v>
      </c>
      <c r="I538" s="1" t="s">
        <v>3347</v>
      </c>
      <c r="J538" s="1" t="s">
        <v>3348</v>
      </c>
      <c r="K538" s="1" t="s">
        <v>3349</v>
      </c>
      <c r="L538" s="1" t="s">
        <v>45</v>
      </c>
      <c r="M538" s="1" t="s">
        <v>46</v>
      </c>
      <c r="N538" s="1" t="s">
        <v>46</v>
      </c>
      <c r="O538" s="1" t="s">
        <v>46</v>
      </c>
      <c r="P538" s="1">
        <v>78122</v>
      </c>
      <c r="Q538" s="1">
        <v>2018</v>
      </c>
      <c r="R538" s="1" t="s">
        <v>46</v>
      </c>
      <c r="S538" s="1">
        <v>1</v>
      </c>
      <c r="T538" s="1">
        <v>1</v>
      </c>
      <c r="U538" s="1" t="s">
        <v>3350</v>
      </c>
    </row>
    <row r="539" spans="1:30" ht="17.149999999999999" hidden="1" customHeight="1">
      <c r="A539" s="1" t="s">
        <v>3351</v>
      </c>
      <c r="B539" s="1"/>
      <c r="C539" s="1" t="s">
        <v>3352</v>
      </c>
      <c r="D539" s="1"/>
      <c r="E539" s="1"/>
      <c r="F539" s="1"/>
      <c r="G539" s="1"/>
      <c r="H539" s="1" t="s">
        <v>313</v>
      </c>
      <c r="I539" s="1" t="s">
        <v>3353</v>
      </c>
      <c r="J539" s="1" t="s">
        <v>455</v>
      </c>
      <c r="K539" s="1" t="s">
        <v>3354</v>
      </c>
      <c r="L539" s="1" t="s">
        <v>45</v>
      </c>
      <c r="M539" s="1" t="s">
        <v>46</v>
      </c>
      <c r="N539" s="1">
        <v>317000</v>
      </c>
      <c r="O539" s="1">
        <v>2015</v>
      </c>
      <c r="P539" s="1">
        <v>186000</v>
      </c>
      <c r="Q539" s="1">
        <v>2015</v>
      </c>
      <c r="R539" s="1">
        <v>1</v>
      </c>
      <c r="S539" s="1">
        <v>1</v>
      </c>
      <c r="T539" s="1" t="s">
        <v>46</v>
      </c>
      <c r="U539" s="1" t="s">
        <v>3355</v>
      </c>
    </row>
    <row r="540" spans="1:30" ht="17.149999999999999" hidden="1" customHeight="1">
      <c r="A540" s="1" t="s">
        <v>3356</v>
      </c>
      <c r="B540" s="1"/>
      <c r="C540" s="1" t="s">
        <v>3357</v>
      </c>
      <c r="D540" s="1"/>
      <c r="E540" s="1"/>
      <c r="F540" s="1"/>
      <c r="G540" s="1"/>
      <c r="H540" s="1" t="s">
        <v>110</v>
      </c>
      <c r="I540" s="1" t="s">
        <v>46</v>
      </c>
      <c r="J540" s="1" t="s">
        <v>3358</v>
      </c>
      <c r="K540" s="1" t="s">
        <v>3359</v>
      </c>
      <c r="L540" s="1" t="s">
        <v>45</v>
      </c>
      <c r="M540" s="1" t="s">
        <v>46</v>
      </c>
      <c r="N540" s="1">
        <v>209168</v>
      </c>
      <c r="O540" s="1">
        <v>2015</v>
      </c>
      <c r="P540" s="1">
        <v>185000</v>
      </c>
      <c r="Q540" s="1">
        <v>2019</v>
      </c>
      <c r="R540" s="1" t="s">
        <v>46</v>
      </c>
      <c r="S540" s="1">
        <v>1</v>
      </c>
      <c r="T540" s="1">
        <v>1</v>
      </c>
      <c r="U540" s="1" t="s">
        <v>3360</v>
      </c>
    </row>
    <row r="541" spans="1:30" ht="17.149999999999999" hidden="1" customHeight="1">
      <c r="A541" s="1" t="s">
        <v>3361</v>
      </c>
      <c r="B541" s="1"/>
      <c r="C541" s="1" t="s">
        <v>3362</v>
      </c>
      <c r="D541" s="1"/>
      <c r="E541" s="1"/>
      <c r="F541" s="1"/>
      <c r="G541" s="1"/>
      <c r="H541" s="1" t="s">
        <v>249</v>
      </c>
      <c r="I541" s="1" t="s">
        <v>46</v>
      </c>
      <c r="J541" s="1" t="s">
        <v>3363</v>
      </c>
      <c r="K541" s="1" t="s">
        <v>2053</v>
      </c>
      <c r="L541" s="1" t="s">
        <v>46</v>
      </c>
      <c r="M541" s="1" t="s">
        <v>3364</v>
      </c>
      <c r="N541" s="1" t="s">
        <v>46</v>
      </c>
      <c r="O541" s="1" t="s">
        <v>46</v>
      </c>
      <c r="P541" s="1">
        <v>75870</v>
      </c>
      <c r="Q541" s="1">
        <v>2015</v>
      </c>
      <c r="R541" s="1" t="s">
        <v>46</v>
      </c>
      <c r="S541" s="1">
        <v>1</v>
      </c>
      <c r="T541" s="1">
        <v>1</v>
      </c>
      <c r="U541" s="1" t="s">
        <v>1005</v>
      </c>
    </row>
    <row r="542" spans="1:30" ht="17.149999999999999" hidden="1" customHeight="1">
      <c r="A542" s="1" t="s">
        <v>3365</v>
      </c>
      <c r="B542" s="1"/>
      <c r="C542" s="1" t="s">
        <v>3366</v>
      </c>
      <c r="D542" s="1"/>
      <c r="E542" s="1"/>
      <c r="F542" s="1"/>
      <c r="G542" s="1"/>
      <c r="H542" s="1" t="s">
        <v>1391</v>
      </c>
      <c r="I542" s="1" t="s">
        <v>3367</v>
      </c>
      <c r="J542" s="1" t="s">
        <v>85</v>
      </c>
      <c r="K542" s="1" t="s">
        <v>3368</v>
      </c>
      <c r="L542" s="1" t="s">
        <v>45</v>
      </c>
      <c r="M542" s="1" t="s">
        <v>46</v>
      </c>
      <c r="N542" s="1" t="s">
        <v>46</v>
      </c>
      <c r="O542" s="1" t="s">
        <v>46</v>
      </c>
      <c r="P542" s="1">
        <v>183600</v>
      </c>
      <c r="Q542" s="1">
        <v>2015</v>
      </c>
      <c r="R542" s="1">
        <v>1</v>
      </c>
      <c r="S542" s="1" t="s">
        <v>46</v>
      </c>
      <c r="T542" s="1">
        <v>1</v>
      </c>
      <c r="U542" s="1" t="s">
        <v>3369</v>
      </c>
    </row>
    <row r="543" spans="1:30" ht="17.149999999999999" hidden="1" customHeight="1">
      <c r="A543" s="1" t="s">
        <v>3370</v>
      </c>
      <c r="B543" s="1"/>
      <c r="C543" s="1" t="s">
        <v>3371</v>
      </c>
      <c r="D543" s="1"/>
      <c r="E543" s="1"/>
      <c r="F543" s="1"/>
      <c r="G543" s="1"/>
      <c r="H543" s="1" t="s">
        <v>1367</v>
      </c>
      <c r="I543" s="1" t="s">
        <v>46</v>
      </c>
      <c r="J543" s="1" t="s">
        <v>3372</v>
      </c>
      <c r="K543" s="1" t="s">
        <v>3373</v>
      </c>
      <c r="L543" s="1" t="s">
        <v>45</v>
      </c>
      <c r="M543" s="1" t="s">
        <v>46</v>
      </c>
      <c r="N543" s="1">
        <v>241835</v>
      </c>
      <c r="O543" s="1">
        <v>2017</v>
      </c>
      <c r="P543" s="1">
        <v>183032</v>
      </c>
      <c r="Q543" s="1">
        <v>2017</v>
      </c>
      <c r="R543" s="1" t="s">
        <v>46</v>
      </c>
      <c r="S543" s="1">
        <v>1</v>
      </c>
      <c r="T543" s="1">
        <v>1</v>
      </c>
      <c r="U543" s="1" t="s">
        <v>3374</v>
      </c>
    </row>
    <row r="544" spans="1:30" ht="17.149999999999999" hidden="1" customHeight="1">
      <c r="A544" s="1" t="s">
        <v>3375</v>
      </c>
      <c r="B544" s="1"/>
      <c r="C544" s="1" t="s">
        <v>3376</v>
      </c>
      <c r="D544" s="1"/>
      <c r="E544" s="1"/>
      <c r="F544" s="1"/>
      <c r="G544" s="1"/>
      <c r="H544" s="1" t="s">
        <v>110</v>
      </c>
      <c r="I544" s="1" t="s">
        <v>46</v>
      </c>
      <c r="J544" s="1" t="s">
        <v>3377</v>
      </c>
      <c r="K544" s="1" t="s">
        <v>3378</v>
      </c>
      <c r="L544" s="1" t="s">
        <v>45</v>
      </c>
      <c r="M544" s="1" t="s">
        <v>46</v>
      </c>
      <c r="N544" s="1">
        <v>181403</v>
      </c>
      <c r="O544" s="1">
        <v>2018</v>
      </c>
      <c r="P544" s="1">
        <v>181403</v>
      </c>
      <c r="Q544" s="1">
        <v>2018</v>
      </c>
      <c r="R544" s="1" t="s">
        <v>46</v>
      </c>
      <c r="S544" s="1">
        <v>1</v>
      </c>
      <c r="T544" s="1">
        <v>1</v>
      </c>
      <c r="U544" s="1" t="s">
        <v>3379</v>
      </c>
    </row>
    <row r="545" spans="1:32" ht="17.149999999999999" hidden="1" customHeight="1">
      <c r="A545" s="1" t="s">
        <v>3380</v>
      </c>
      <c r="B545" s="1"/>
      <c r="C545" s="1" t="s">
        <v>3381</v>
      </c>
      <c r="D545" s="1"/>
      <c r="E545" s="1"/>
      <c r="F545" s="1"/>
      <c r="G545" s="1"/>
      <c r="H545" s="1" t="s">
        <v>506</v>
      </c>
      <c r="I545" s="1" t="s">
        <v>46</v>
      </c>
      <c r="J545" s="1" t="s">
        <v>3382</v>
      </c>
      <c r="K545" s="1" t="s">
        <v>3383</v>
      </c>
      <c r="L545" s="1" t="s">
        <v>45</v>
      </c>
      <c r="M545" s="1" t="s">
        <v>46</v>
      </c>
      <c r="N545" s="1">
        <v>181000</v>
      </c>
      <c r="O545" s="1">
        <v>2016</v>
      </c>
      <c r="P545" s="1">
        <v>181000</v>
      </c>
      <c r="Q545" s="1">
        <v>2016</v>
      </c>
      <c r="R545" s="1" t="s">
        <v>46</v>
      </c>
      <c r="S545" s="1">
        <v>1</v>
      </c>
      <c r="T545" s="1">
        <v>1</v>
      </c>
      <c r="U545" s="1" t="s">
        <v>3384</v>
      </c>
    </row>
    <row r="546" spans="1:32" ht="17.149999999999999" hidden="1" customHeight="1">
      <c r="A546" s="1" t="s">
        <v>3385</v>
      </c>
      <c r="B546" s="1"/>
      <c r="C546" s="1" t="s">
        <v>3386</v>
      </c>
      <c r="D546" s="1"/>
      <c r="E546" s="1"/>
      <c r="F546" s="1"/>
      <c r="G546" s="1"/>
      <c r="H546" s="1" t="s">
        <v>177</v>
      </c>
      <c r="I546" s="1" t="s">
        <v>345</v>
      </c>
      <c r="J546" s="1" t="s">
        <v>3387</v>
      </c>
      <c r="K546" s="1" t="s">
        <v>3388</v>
      </c>
      <c r="L546" s="1" t="s">
        <v>45</v>
      </c>
      <c r="M546" s="1" t="s">
        <v>46</v>
      </c>
      <c r="N546" s="1">
        <v>300000</v>
      </c>
      <c r="O546" s="1">
        <v>2019</v>
      </c>
      <c r="P546" s="1">
        <v>180900</v>
      </c>
      <c r="Q546" s="1">
        <v>2015</v>
      </c>
      <c r="R546" s="1" t="s">
        <v>46</v>
      </c>
      <c r="S546" s="1">
        <v>1</v>
      </c>
      <c r="T546" s="1">
        <v>1</v>
      </c>
      <c r="U546" s="1" t="s">
        <v>3389</v>
      </c>
    </row>
    <row r="547" spans="1:32" ht="17.149999999999999" hidden="1" customHeight="1">
      <c r="A547" s="1" t="s">
        <v>3390</v>
      </c>
      <c r="B547" s="1"/>
      <c r="C547" s="1" t="s">
        <v>3391</v>
      </c>
      <c r="D547" s="1"/>
      <c r="E547" s="1"/>
      <c r="F547" s="1"/>
      <c r="G547" s="1"/>
      <c r="H547" s="1" t="s">
        <v>1367</v>
      </c>
      <c r="I547" s="1" t="s">
        <v>46</v>
      </c>
      <c r="J547" s="1" t="s">
        <v>3392</v>
      </c>
      <c r="K547" s="1" t="s">
        <v>3393</v>
      </c>
      <c r="L547" s="1" t="s">
        <v>118</v>
      </c>
      <c r="M547" s="1" t="s">
        <v>3394</v>
      </c>
      <c r="N547" s="1">
        <v>207135</v>
      </c>
      <c r="O547" s="1">
        <v>2017</v>
      </c>
      <c r="P547" s="1">
        <v>180262</v>
      </c>
      <c r="Q547" s="1">
        <v>2017</v>
      </c>
      <c r="R547" s="1" t="s">
        <v>46</v>
      </c>
      <c r="S547" s="1">
        <v>1</v>
      </c>
      <c r="T547" s="1">
        <v>1</v>
      </c>
      <c r="U547" s="1" t="s">
        <v>3395</v>
      </c>
    </row>
    <row r="548" spans="1:32" ht="17.149999999999999" hidden="1" customHeight="1">
      <c r="A548" s="1" t="s">
        <v>3396</v>
      </c>
      <c r="B548" s="1"/>
      <c r="C548" s="1" t="s">
        <v>3397</v>
      </c>
      <c r="D548" s="1"/>
      <c r="E548" s="1"/>
      <c r="F548" s="1"/>
      <c r="G548" s="1"/>
      <c r="H548" s="1" t="s">
        <v>1391</v>
      </c>
      <c r="I548" s="1" t="s">
        <v>3398</v>
      </c>
      <c r="J548" s="1" t="s">
        <v>3398</v>
      </c>
      <c r="K548" s="1" t="s">
        <v>3399</v>
      </c>
      <c r="L548" s="1" t="s">
        <v>45</v>
      </c>
      <c r="M548" s="1" t="s">
        <v>46</v>
      </c>
      <c r="N548" s="1" t="s">
        <v>46</v>
      </c>
      <c r="O548" s="1" t="s">
        <v>46</v>
      </c>
      <c r="P548" s="1">
        <v>180000</v>
      </c>
      <c r="Q548" s="1">
        <v>2019</v>
      </c>
      <c r="R548" s="1">
        <v>1</v>
      </c>
      <c r="S548" s="1" t="s">
        <v>46</v>
      </c>
      <c r="T548" s="1">
        <v>1</v>
      </c>
      <c r="U548" s="1" t="s">
        <v>1005</v>
      </c>
    </row>
    <row r="549" spans="1:32" ht="17.149999999999999" hidden="1" customHeight="1">
      <c r="A549" s="1" t="s">
        <v>3400</v>
      </c>
      <c r="B549" s="1"/>
      <c r="C549" s="1" t="s">
        <v>3401</v>
      </c>
      <c r="D549" s="1"/>
      <c r="E549" s="1"/>
      <c r="F549" s="1"/>
      <c r="G549" s="1"/>
      <c r="H549" s="1" t="s">
        <v>177</v>
      </c>
      <c r="I549" s="1" t="s">
        <v>3007</v>
      </c>
      <c r="J549" s="1" t="s">
        <v>3402</v>
      </c>
      <c r="K549" s="1" t="s">
        <v>3403</v>
      </c>
      <c r="L549" s="1" t="s">
        <v>45</v>
      </c>
      <c r="M549" s="1" t="s">
        <v>46</v>
      </c>
      <c r="N549" s="1">
        <v>175623</v>
      </c>
      <c r="O549" s="1">
        <v>2017</v>
      </c>
      <c r="P549" s="1">
        <v>180000</v>
      </c>
      <c r="Q549" s="1">
        <v>2015</v>
      </c>
      <c r="R549" s="1" t="s">
        <v>46</v>
      </c>
      <c r="S549" s="1">
        <v>1</v>
      </c>
      <c r="T549" s="1">
        <v>1</v>
      </c>
      <c r="U549" s="1" t="s">
        <v>3404</v>
      </c>
    </row>
    <row r="550" spans="1:32" ht="17.149999999999999" hidden="1" customHeight="1">
      <c r="A550" s="1" t="s">
        <v>3405</v>
      </c>
      <c r="B550" s="1"/>
      <c r="C550" s="1" t="s">
        <v>3406</v>
      </c>
      <c r="D550" s="1"/>
      <c r="E550" s="1"/>
      <c r="F550" s="1"/>
      <c r="G550" s="1"/>
      <c r="H550" s="1" t="s">
        <v>110</v>
      </c>
      <c r="I550" s="1" t="s">
        <v>46</v>
      </c>
      <c r="J550" s="1" t="s">
        <v>3407</v>
      </c>
      <c r="K550" s="1" t="s">
        <v>3408</v>
      </c>
      <c r="L550" s="1" t="s">
        <v>118</v>
      </c>
      <c r="M550" s="1" t="s">
        <v>3409</v>
      </c>
      <c r="N550" s="1">
        <v>100000</v>
      </c>
      <c r="O550" s="1">
        <v>2015</v>
      </c>
      <c r="P550" s="1">
        <v>180000</v>
      </c>
      <c r="Q550" s="1">
        <v>2015</v>
      </c>
      <c r="R550" s="1" t="s">
        <v>46</v>
      </c>
      <c r="S550" s="1">
        <v>1</v>
      </c>
      <c r="T550" s="1">
        <v>1</v>
      </c>
      <c r="U550" s="1" t="s">
        <v>3410</v>
      </c>
    </row>
    <row r="551" spans="1:32" ht="17.149999999999999" hidden="1" customHeight="1">
      <c r="A551" s="1" t="s">
        <v>3411</v>
      </c>
      <c r="B551" s="1"/>
      <c r="C551" s="1" t="s">
        <v>3412</v>
      </c>
      <c r="D551" s="1"/>
      <c r="E551" s="1"/>
      <c r="F551" s="1"/>
      <c r="G551" s="1"/>
      <c r="H551" s="1" t="s">
        <v>619</v>
      </c>
      <c r="I551" s="1" t="s">
        <v>46</v>
      </c>
      <c r="J551" s="1" t="s">
        <v>3413</v>
      </c>
      <c r="K551" s="1" t="s">
        <v>3414</v>
      </c>
      <c r="L551" s="1" t="s">
        <v>45</v>
      </c>
      <c r="M551" s="1" t="s">
        <v>46</v>
      </c>
      <c r="N551" s="1">
        <v>208500</v>
      </c>
      <c r="O551" s="1">
        <v>2015</v>
      </c>
      <c r="P551" s="1">
        <v>180000</v>
      </c>
      <c r="Q551" s="1">
        <v>2015</v>
      </c>
      <c r="R551" s="1" t="s">
        <v>46</v>
      </c>
      <c r="S551" s="1">
        <v>1</v>
      </c>
      <c r="T551" s="1">
        <v>1</v>
      </c>
      <c r="U551" s="1" t="s">
        <v>3415</v>
      </c>
    </row>
    <row r="552" spans="1:32" ht="17.149999999999999" hidden="1" customHeight="1">
      <c r="A552" s="1" t="s">
        <v>3416</v>
      </c>
      <c r="B552" s="1"/>
      <c r="C552" s="1" t="s">
        <v>3417</v>
      </c>
      <c r="D552" s="1"/>
      <c r="E552" s="1"/>
      <c r="F552" s="1"/>
      <c r="G552" s="1"/>
      <c r="H552" s="1" t="s">
        <v>1938</v>
      </c>
      <c r="I552" s="1" t="s">
        <v>3418</v>
      </c>
      <c r="J552" s="1" t="s">
        <v>3419</v>
      </c>
      <c r="K552" s="1" t="s">
        <v>3420</v>
      </c>
      <c r="L552" s="1" t="s">
        <v>45</v>
      </c>
      <c r="M552" s="1" t="s">
        <v>46</v>
      </c>
      <c r="N552" s="1" t="s">
        <v>46</v>
      </c>
      <c r="O552" s="1" t="s">
        <v>46</v>
      </c>
      <c r="P552" s="1">
        <v>180000</v>
      </c>
      <c r="Q552" s="1">
        <v>2018</v>
      </c>
      <c r="R552" s="1" t="s">
        <v>46</v>
      </c>
      <c r="S552" s="1">
        <v>1</v>
      </c>
      <c r="T552" s="1" t="s">
        <v>46</v>
      </c>
      <c r="U552" s="1" t="s">
        <v>3421</v>
      </c>
    </row>
    <row r="553" spans="1:32" ht="17.149999999999999" hidden="1" customHeight="1">
      <c r="A553" s="1" t="s">
        <v>3422</v>
      </c>
      <c r="B553" s="1"/>
      <c r="C553" s="1" t="s">
        <v>3423</v>
      </c>
      <c r="D553" s="1"/>
      <c r="E553" s="1"/>
      <c r="F553" s="1"/>
      <c r="G553" s="1"/>
      <c r="H553" s="1" t="s">
        <v>1367</v>
      </c>
      <c r="I553" s="1" t="s">
        <v>46</v>
      </c>
      <c r="J553" s="1" t="s">
        <v>3424</v>
      </c>
      <c r="K553" s="1" t="s">
        <v>3425</v>
      </c>
      <c r="L553" s="1" t="s">
        <v>45</v>
      </c>
      <c r="M553" s="1" t="s">
        <v>46</v>
      </c>
      <c r="N553" s="1">
        <v>284350</v>
      </c>
      <c r="O553" s="1">
        <v>2017</v>
      </c>
      <c r="P553" s="1">
        <v>179370</v>
      </c>
      <c r="Q553" s="1">
        <v>2017</v>
      </c>
      <c r="R553" s="1" t="s">
        <v>46</v>
      </c>
      <c r="S553" s="1">
        <v>1</v>
      </c>
      <c r="T553" s="1">
        <v>1</v>
      </c>
      <c r="U553" s="1" t="s">
        <v>3426</v>
      </c>
    </row>
    <row r="554" spans="1:32" ht="17.149999999999999" hidden="1" customHeight="1">
      <c r="A554" s="1" t="s">
        <v>3427</v>
      </c>
      <c r="B554" s="1"/>
      <c r="C554" s="1" t="s">
        <v>3428</v>
      </c>
      <c r="D554" s="1"/>
      <c r="E554" s="1"/>
      <c r="F554" s="1"/>
      <c r="G554" s="1"/>
      <c r="H554" s="1" t="s">
        <v>1171</v>
      </c>
      <c r="I554" s="1" t="s">
        <v>46</v>
      </c>
      <c r="J554" s="1" t="s">
        <v>3429</v>
      </c>
      <c r="K554" s="1" t="s">
        <v>3430</v>
      </c>
      <c r="L554" s="1" t="s">
        <v>118</v>
      </c>
      <c r="M554" s="1" t="s">
        <v>3431</v>
      </c>
      <c r="N554" s="1">
        <v>189927</v>
      </c>
      <c r="O554" s="1">
        <v>2018</v>
      </c>
      <c r="P554" s="1">
        <v>179246</v>
      </c>
      <c r="Q554" s="1">
        <v>2018</v>
      </c>
      <c r="R554" s="1" t="s">
        <v>46</v>
      </c>
      <c r="S554" s="1">
        <v>1</v>
      </c>
      <c r="T554" s="1" t="s">
        <v>46</v>
      </c>
      <c r="U554" s="1" t="s">
        <v>3432</v>
      </c>
    </row>
    <row r="555" spans="1:32" ht="17.149999999999999" hidden="1" customHeight="1">
      <c r="A555" s="1" t="s">
        <v>3433</v>
      </c>
      <c r="B555" s="1"/>
      <c r="C555" s="1" t="s">
        <v>3434</v>
      </c>
      <c r="D555" s="1"/>
      <c r="E555" s="1"/>
      <c r="F555" s="1"/>
      <c r="G555" s="1"/>
      <c r="H555" s="1" t="s">
        <v>249</v>
      </c>
      <c r="I555" s="1" t="s">
        <v>2746</v>
      </c>
      <c r="J555" s="1" t="s">
        <v>3435</v>
      </c>
      <c r="K555" s="1" t="s">
        <v>2124</v>
      </c>
      <c r="L555" s="1" t="s">
        <v>45</v>
      </c>
      <c r="M555" s="1" t="s">
        <v>46</v>
      </c>
      <c r="N555" s="1" t="s">
        <v>46</v>
      </c>
      <c r="O555" s="1" t="s">
        <v>46</v>
      </c>
      <c r="P555" s="1">
        <v>75516</v>
      </c>
      <c r="Q555" s="1">
        <v>2018</v>
      </c>
      <c r="R555" s="1" t="s">
        <v>46</v>
      </c>
      <c r="S555" s="1">
        <v>1</v>
      </c>
      <c r="T555" s="1" t="s">
        <v>46</v>
      </c>
      <c r="U555" s="1" t="s">
        <v>3436</v>
      </c>
    </row>
    <row r="556" spans="1:32" ht="17.149999999999999" hidden="1" customHeight="1">
      <c r="A556" s="1" t="s">
        <v>3437</v>
      </c>
      <c r="B556" s="1"/>
      <c r="C556" s="1" t="s">
        <v>3438</v>
      </c>
      <c r="D556" s="1"/>
      <c r="E556" s="1"/>
      <c r="F556" s="1"/>
      <c r="G556" s="1"/>
      <c r="H556" s="1" t="s">
        <v>128</v>
      </c>
      <c r="I556" s="1" t="s">
        <v>2603</v>
      </c>
      <c r="J556" s="1" t="s">
        <v>2603</v>
      </c>
      <c r="K556" s="1" t="s">
        <v>3439</v>
      </c>
      <c r="L556" s="1" t="s">
        <v>151</v>
      </c>
      <c r="M556" s="1" t="s">
        <v>3440</v>
      </c>
      <c r="N556" s="1">
        <v>181000</v>
      </c>
      <c r="O556" s="1">
        <v>2018</v>
      </c>
      <c r="P556" s="1">
        <v>179000</v>
      </c>
      <c r="Q556" s="1">
        <v>2018</v>
      </c>
      <c r="R556" s="1" t="s">
        <v>46</v>
      </c>
      <c r="S556" s="1">
        <v>1</v>
      </c>
      <c r="T556" s="1">
        <v>1</v>
      </c>
      <c r="U556" s="1" t="s">
        <v>3441</v>
      </c>
    </row>
    <row r="557" spans="1:32" ht="17.149999999999999" hidden="1" customHeight="1">
      <c r="A557" s="1" t="s">
        <v>3442</v>
      </c>
      <c r="B557" s="1"/>
      <c r="C557" s="1" t="s">
        <v>3443</v>
      </c>
      <c r="D557" s="1"/>
      <c r="E557" s="1"/>
      <c r="F557" s="1"/>
      <c r="G557" s="1"/>
      <c r="H557" s="1" t="s">
        <v>110</v>
      </c>
      <c r="I557" s="1" t="s">
        <v>46</v>
      </c>
      <c r="J557" s="1" t="s">
        <v>3444</v>
      </c>
      <c r="K557" s="1" t="s">
        <v>3445</v>
      </c>
      <c r="L557" s="1" t="s">
        <v>118</v>
      </c>
      <c r="M557" s="1" t="s">
        <v>3446</v>
      </c>
      <c r="N557" s="1">
        <v>177200</v>
      </c>
      <c r="O557" s="1">
        <v>2019</v>
      </c>
      <c r="P557" s="1">
        <v>177200</v>
      </c>
      <c r="Q557" s="1">
        <v>2019</v>
      </c>
      <c r="R557" s="1" t="s">
        <v>46</v>
      </c>
      <c r="S557" s="1">
        <v>1</v>
      </c>
      <c r="T557" s="1">
        <v>1</v>
      </c>
      <c r="U557" s="1" t="s">
        <v>3447</v>
      </c>
    </row>
    <row r="558" spans="1:32" ht="17.149999999999999" hidden="1" customHeight="1">
      <c r="A558" s="14" t="s">
        <v>3448</v>
      </c>
      <c r="B558" s="14" t="s">
        <v>37</v>
      </c>
      <c r="C558" s="49" t="s">
        <v>3449</v>
      </c>
      <c r="D558" s="17"/>
      <c r="E558" s="17"/>
      <c r="F558" s="17"/>
      <c r="G558" s="17"/>
      <c r="H558" s="14" t="s">
        <v>41</v>
      </c>
      <c r="I558" s="14" t="s">
        <v>63</v>
      </c>
      <c r="J558" s="14" t="s">
        <v>3450</v>
      </c>
      <c r="K558" s="14" t="s">
        <v>3451</v>
      </c>
      <c r="L558" s="14" t="s">
        <v>45</v>
      </c>
      <c r="M558" s="14" t="s">
        <v>46</v>
      </c>
      <c r="N558" s="14" t="s">
        <v>46</v>
      </c>
      <c r="O558" s="14" t="s">
        <v>46</v>
      </c>
      <c r="P558" s="14">
        <v>177000</v>
      </c>
      <c r="Q558" s="14">
        <v>2016</v>
      </c>
      <c r="R558" s="14" t="s">
        <v>46</v>
      </c>
      <c r="S558" s="14">
        <v>1</v>
      </c>
      <c r="T558" s="14">
        <v>1</v>
      </c>
      <c r="U558" s="14" t="s">
        <v>3452</v>
      </c>
      <c r="V558" s="6" t="s">
        <v>354</v>
      </c>
      <c r="W558" s="6" t="s">
        <v>1216</v>
      </c>
      <c r="X558" s="8" t="s">
        <v>103</v>
      </c>
      <c r="Y558" s="6"/>
      <c r="Z558" s="6" t="s">
        <v>3453</v>
      </c>
      <c r="AA558" s="6" t="s">
        <v>3454</v>
      </c>
      <c r="AB558" s="76" t="s">
        <v>3455</v>
      </c>
      <c r="AC558" s="6" t="s">
        <v>3456</v>
      </c>
      <c r="AD558" s="8" t="s">
        <v>286</v>
      </c>
      <c r="AE558" s="2">
        <v>1</v>
      </c>
      <c r="AF558" s="2" t="s">
        <v>53</v>
      </c>
    </row>
    <row r="559" spans="1:32" ht="17.149999999999999" hidden="1" customHeight="1">
      <c r="A559" s="21" t="s">
        <v>3457</v>
      </c>
      <c r="B559" s="21" t="s">
        <v>37</v>
      </c>
      <c r="C559" s="58" t="s">
        <v>3458</v>
      </c>
      <c r="D559" s="61"/>
      <c r="E559" s="61"/>
      <c r="F559" s="61"/>
      <c r="G559" s="61"/>
      <c r="H559" s="21" t="s">
        <v>41</v>
      </c>
      <c r="I559" s="21" t="s">
        <v>63</v>
      </c>
      <c r="J559" s="21" t="s">
        <v>3459</v>
      </c>
      <c r="K559" s="21" t="s">
        <v>3460</v>
      </c>
      <c r="L559" s="21" t="s">
        <v>45</v>
      </c>
      <c r="M559" s="21" t="s">
        <v>3461</v>
      </c>
      <c r="N559" s="21">
        <v>364460</v>
      </c>
      <c r="O559" s="21">
        <v>2016</v>
      </c>
      <c r="P559" s="21">
        <v>176000</v>
      </c>
      <c r="Q559" s="21">
        <v>2016</v>
      </c>
      <c r="R559" s="21" t="s">
        <v>46</v>
      </c>
      <c r="S559" s="21">
        <v>1</v>
      </c>
      <c r="T559" s="21" t="s">
        <v>46</v>
      </c>
      <c r="U559" s="21" t="s">
        <v>3462</v>
      </c>
      <c r="V559" s="22" t="s">
        <v>103</v>
      </c>
      <c r="W559" s="22"/>
      <c r="X559" s="22"/>
      <c r="Y559" s="22"/>
      <c r="Z559" s="22"/>
      <c r="AA559" s="22"/>
      <c r="AB559" s="22"/>
      <c r="AC559" s="22"/>
      <c r="AD559" s="22"/>
    </row>
    <row r="560" spans="1:32" ht="17.149999999999999" hidden="1" customHeight="1">
      <c r="A560" s="1" t="s">
        <v>3463</v>
      </c>
      <c r="B560" s="1"/>
      <c r="C560" s="1" t="s">
        <v>3464</v>
      </c>
      <c r="D560" s="1"/>
      <c r="E560" s="1"/>
      <c r="F560" s="1"/>
      <c r="G560" s="1"/>
      <c r="H560" s="1" t="s">
        <v>128</v>
      </c>
      <c r="I560" s="1" t="s">
        <v>926</v>
      </c>
      <c r="J560" s="1" t="s">
        <v>3465</v>
      </c>
      <c r="K560" s="1" t="s">
        <v>3466</v>
      </c>
      <c r="L560" s="1" t="s">
        <v>45</v>
      </c>
      <c r="M560" s="1" t="s">
        <v>46</v>
      </c>
      <c r="N560" s="1">
        <v>175631</v>
      </c>
      <c r="O560" s="1">
        <v>2018</v>
      </c>
      <c r="P560" s="1">
        <v>175136</v>
      </c>
      <c r="Q560" s="1">
        <v>2015</v>
      </c>
      <c r="R560" s="1" t="s">
        <v>46</v>
      </c>
      <c r="S560" s="1">
        <v>1</v>
      </c>
      <c r="T560" s="1">
        <v>1</v>
      </c>
      <c r="U560" s="1" t="s">
        <v>3467</v>
      </c>
    </row>
    <row r="561" spans="1:41" ht="17.149999999999999" hidden="1" customHeight="1">
      <c r="A561" s="1" t="s">
        <v>3468</v>
      </c>
      <c r="B561" s="1"/>
      <c r="C561" s="1" t="s">
        <v>3469</v>
      </c>
      <c r="D561" s="1"/>
      <c r="E561" s="1"/>
      <c r="F561" s="1"/>
      <c r="G561" s="1"/>
      <c r="H561" s="1" t="s">
        <v>500</v>
      </c>
      <c r="I561" s="1" t="s">
        <v>46</v>
      </c>
      <c r="J561" s="1" t="s">
        <v>2516</v>
      </c>
      <c r="K561" s="1" t="s">
        <v>3470</v>
      </c>
      <c r="L561" s="1" t="s">
        <v>45</v>
      </c>
      <c r="M561" s="1" t="s">
        <v>46</v>
      </c>
      <c r="N561" s="1">
        <v>178740</v>
      </c>
      <c r="O561" s="1">
        <v>2016</v>
      </c>
      <c r="P561" s="1">
        <v>175130</v>
      </c>
      <c r="Q561" s="1">
        <v>2016</v>
      </c>
      <c r="R561" s="1" t="s">
        <v>46</v>
      </c>
      <c r="S561" s="1">
        <v>1</v>
      </c>
      <c r="T561" s="1">
        <v>1</v>
      </c>
      <c r="U561" s="1" t="s">
        <v>3471</v>
      </c>
    </row>
    <row r="562" spans="1:41" ht="17.149999999999999" hidden="1" customHeight="1">
      <c r="A562" s="1" t="s">
        <v>3472</v>
      </c>
      <c r="B562" s="1"/>
      <c r="C562" s="1" t="s">
        <v>3473</v>
      </c>
      <c r="D562" s="1"/>
      <c r="E562" s="1"/>
      <c r="F562" s="1"/>
      <c r="G562" s="1"/>
      <c r="H562" s="1" t="s">
        <v>177</v>
      </c>
      <c r="I562" s="1" t="s">
        <v>3474</v>
      </c>
      <c r="J562" s="1" t="s">
        <v>3475</v>
      </c>
      <c r="K562" s="1" t="s">
        <v>3476</v>
      </c>
      <c r="L562" s="1" t="s">
        <v>118</v>
      </c>
      <c r="M562" s="1" t="s">
        <v>3477</v>
      </c>
      <c r="N562" s="1">
        <v>175616</v>
      </c>
      <c r="O562" s="1">
        <v>2017</v>
      </c>
      <c r="P562" s="1">
        <v>175000</v>
      </c>
      <c r="Q562" s="1">
        <v>2015</v>
      </c>
      <c r="R562" s="1" t="s">
        <v>46</v>
      </c>
      <c r="S562" s="1">
        <v>1</v>
      </c>
      <c r="T562" s="1">
        <v>1</v>
      </c>
      <c r="U562" s="1" t="s">
        <v>3478</v>
      </c>
    </row>
    <row r="563" spans="1:41" ht="17.149999999999999" hidden="1" customHeight="1">
      <c r="A563" s="1" t="s">
        <v>3479</v>
      </c>
      <c r="B563" s="1"/>
      <c r="C563" s="1" t="s">
        <v>3480</v>
      </c>
      <c r="D563" s="1"/>
      <c r="E563" s="1"/>
      <c r="F563" s="1"/>
      <c r="G563" s="1"/>
      <c r="H563" s="1" t="s">
        <v>177</v>
      </c>
      <c r="I563" s="1" t="s">
        <v>236</v>
      </c>
      <c r="J563" s="1" t="s">
        <v>3481</v>
      </c>
      <c r="K563" s="1" t="s">
        <v>3482</v>
      </c>
      <c r="L563" s="1" t="s">
        <v>118</v>
      </c>
      <c r="M563" s="1" t="s">
        <v>3483</v>
      </c>
      <c r="N563" s="1">
        <v>175000</v>
      </c>
      <c r="O563" s="1">
        <v>2015</v>
      </c>
      <c r="P563" s="1">
        <v>175000</v>
      </c>
      <c r="Q563" s="1">
        <v>2015</v>
      </c>
      <c r="R563" s="1" t="s">
        <v>46</v>
      </c>
      <c r="S563" s="1">
        <v>1</v>
      </c>
      <c r="T563" s="1">
        <v>1</v>
      </c>
      <c r="U563" s="1" t="s">
        <v>3484</v>
      </c>
    </row>
    <row r="564" spans="1:41" ht="17.149999999999999" hidden="1" customHeight="1">
      <c r="A564" s="1" t="s">
        <v>3485</v>
      </c>
      <c r="B564" s="1"/>
      <c r="C564" s="1" t="s">
        <v>3486</v>
      </c>
      <c r="D564" s="1"/>
      <c r="E564" s="1"/>
      <c r="F564" s="1"/>
      <c r="G564" s="1"/>
      <c r="H564" s="1" t="s">
        <v>1279</v>
      </c>
      <c r="I564" s="1" t="s">
        <v>46</v>
      </c>
      <c r="J564" s="1" t="s">
        <v>3487</v>
      </c>
      <c r="K564" s="1" t="s">
        <v>3488</v>
      </c>
      <c r="L564" s="1" t="s">
        <v>45</v>
      </c>
      <c r="M564" s="1" t="s">
        <v>46</v>
      </c>
      <c r="N564" s="1">
        <v>175000</v>
      </c>
      <c r="O564" s="1">
        <v>2018</v>
      </c>
      <c r="P564" s="1">
        <v>175000</v>
      </c>
      <c r="Q564" s="1">
        <v>2018</v>
      </c>
      <c r="R564" s="1" t="s">
        <v>46</v>
      </c>
      <c r="S564" s="1">
        <v>1</v>
      </c>
      <c r="T564" s="1">
        <v>1</v>
      </c>
      <c r="U564" s="1" t="s">
        <v>3489</v>
      </c>
    </row>
    <row r="565" spans="1:41" ht="17.149999999999999" hidden="1" customHeight="1">
      <c r="A565" s="1" t="s">
        <v>3490</v>
      </c>
      <c r="B565" s="1"/>
      <c r="C565" s="1" t="s">
        <v>3491</v>
      </c>
      <c r="D565" s="1"/>
      <c r="E565" s="1"/>
      <c r="F565" s="1"/>
      <c r="G565" s="1"/>
      <c r="H565" s="1" t="s">
        <v>249</v>
      </c>
      <c r="I565" s="1" t="s">
        <v>46</v>
      </c>
      <c r="J565" s="1" t="s">
        <v>3492</v>
      </c>
      <c r="K565" s="1" t="s">
        <v>3493</v>
      </c>
      <c r="L565" s="1" t="s">
        <v>46</v>
      </c>
      <c r="M565" s="1" t="s">
        <v>46</v>
      </c>
      <c r="N565" s="1" t="s">
        <v>46</v>
      </c>
      <c r="O565" s="1" t="s">
        <v>46</v>
      </c>
      <c r="P565" s="1">
        <v>74029</v>
      </c>
      <c r="Q565" s="1">
        <v>2015</v>
      </c>
      <c r="R565" s="1" t="s">
        <v>46</v>
      </c>
      <c r="S565" s="1">
        <v>1</v>
      </c>
      <c r="T565" s="1">
        <v>1</v>
      </c>
      <c r="U565" s="1" t="s">
        <v>1005</v>
      </c>
    </row>
    <row r="566" spans="1:41" ht="17.149999999999999" hidden="1" customHeight="1">
      <c r="A566" s="1" t="s">
        <v>3494</v>
      </c>
      <c r="B566" s="1"/>
      <c r="C566" s="1" t="s">
        <v>3495</v>
      </c>
      <c r="D566" s="1"/>
      <c r="E566" s="1"/>
      <c r="F566" s="1"/>
      <c r="G566" s="1"/>
      <c r="H566" s="1" t="s">
        <v>128</v>
      </c>
      <c r="I566" s="1" t="s">
        <v>926</v>
      </c>
      <c r="J566" s="1" t="s">
        <v>3496</v>
      </c>
      <c r="K566" s="1" t="s">
        <v>3497</v>
      </c>
      <c r="L566" s="1" t="s">
        <v>45</v>
      </c>
      <c r="M566" s="1" t="s">
        <v>46</v>
      </c>
      <c r="N566" s="1">
        <v>348453</v>
      </c>
      <c r="O566" s="1">
        <v>2018</v>
      </c>
      <c r="P566" s="1">
        <v>172120</v>
      </c>
      <c r="Q566" s="1">
        <v>2015</v>
      </c>
      <c r="R566" s="1" t="s">
        <v>46</v>
      </c>
      <c r="S566" s="1">
        <v>1</v>
      </c>
      <c r="T566" s="1">
        <v>1</v>
      </c>
      <c r="U566" s="1" t="s">
        <v>3467</v>
      </c>
    </row>
    <row r="567" spans="1:41" ht="17.149999999999999" hidden="1" customHeight="1">
      <c r="A567" s="1" t="s">
        <v>3498</v>
      </c>
      <c r="B567" s="1"/>
      <c r="C567" s="1" t="s">
        <v>3499</v>
      </c>
      <c r="D567" s="1"/>
      <c r="E567" s="1"/>
      <c r="F567" s="1"/>
      <c r="G567" s="1"/>
      <c r="H567" s="1" t="s">
        <v>177</v>
      </c>
      <c r="I567" s="1" t="s">
        <v>2153</v>
      </c>
      <c r="J567" s="1" t="s">
        <v>3500</v>
      </c>
      <c r="K567" s="1" t="s">
        <v>3501</v>
      </c>
      <c r="L567" s="1" t="s">
        <v>118</v>
      </c>
      <c r="M567" s="1" t="s">
        <v>725</v>
      </c>
      <c r="N567" s="1">
        <v>172000</v>
      </c>
      <c r="O567" s="1">
        <v>2019</v>
      </c>
      <c r="P567" s="1">
        <v>172000</v>
      </c>
      <c r="Q567" s="1">
        <v>2019</v>
      </c>
      <c r="R567" s="1" t="s">
        <v>46</v>
      </c>
      <c r="S567" s="1">
        <v>1</v>
      </c>
      <c r="T567" s="1">
        <v>1</v>
      </c>
      <c r="U567" s="1" t="s">
        <v>3502</v>
      </c>
    </row>
    <row r="568" spans="1:41" ht="17.149999999999999" hidden="1" customHeight="1">
      <c r="A568" s="1" t="s">
        <v>3503</v>
      </c>
      <c r="B568" s="1"/>
      <c r="C568" s="1" t="s">
        <v>3504</v>
      </c>
      <c r="D568" s="1"/>
      <c r="E568" s="1"/>
      <c r="F568" s="1"/>
      <c r="G568" s="1"/>
      <c r="H568" s="1" t="s">
        <v>249</v>
      </c>
      <c r="I568" s="1" t="s">
        <v>46</v>
      </c>
      <c r="J568" s="1" t="s">
        <v>3505</v>
      </c>
      <c r="K568" s="1" t="s">
        <v>3493</v>
      </c>
      <c r="L568" s="1" t="s">
        <v>46</v>
      </c>
      <c r="M568" s="1" t="s">
        <v>46</v>
      </c>
      <c r="N568" s="1" t="s">
        <v>46</v>
      </c>
      <c r="O568" s="1" t="s">
        <v>46</v>
      </c>
      <c r="P568" s="1">
        <v>65822</v>
      </c>
      <c r="Q568" s="1">
        <v>2015</v>
      </c>
      <c r="R568" s="1" t="s">
        <v>46</v>
      </c>
      <c r="S568" s="1">
        <v>1</v>
      </c>
      <c r="T568" s="1">
        <v>1</v>
      </c>
      <c r="U568" s="1" t="s">
        <v>1005</v>
      </c>
      <c r="AK568" s="42"/>
      <c r="AL568" s="42"/>
      <c r="AM568" s="42"/>
      <c r="AN568" s="42"/>
      <c r="AO568" s="42"/>
    </row>
    <row r="569" spans="1:41" ht="17.149999999999999" hidden="1" customHeight="1">
      <c r="A569" s="1" t="s">
        <v>3506</v>
      </c>
      <c r="B569" s="1"/>
      <c r="C569" s="1" t="s">
        <v>3507</v>
      </c>
      <c r="D569" s="1"/>
      <c r="E569" s="1"/>
      <c r="F569" s="1"/>
      <c r="G569" s="1"/>
      <c r="H569" s="1" t="s">
        <v>249</v>
      </c>
      <c r="I569" s="1" t="s">
        <v>1728</v>
      </c>
      <c r="J569" s="1" t="s">
        <v>3508</v>
      </c>
      <c r="K569" s="1" t="s">
        <v>3509</v>
      </c>
      <c r="L569" s="1" t="s">
        <v>45</v>
      </c>
      <c r="M569" s="1" t="s">
        <v>46</v>
      </c>
      <c r="N569" s="1" t="s">
        <v>46</v>
      </c>
      <c r="O569" s="1" t="s">
        <v>46</v>
      </c>
      <c r="P569" s="1">
        <v>64185</v>
      </c>
      <c r="Q569" s="1">
        <v>2018</v>
      </c>
      <c r="R569" s="1" t="s">
        <v>46</v>
      </c>
      <c r="S569" s="1">
        <v>1</v>
      </c>
      <c r="T569" s="1">
        <v>1</v>
      </c>
      <c r="U569" s="1" t="s">
        <v>3510</v>
      </c>
    </row>
    <row r="570" spans="1:41" ht="17.149999999999999" hidden="1" customHeight="1">
      <c r="A570" s="1" t="s">
        <v>3511</v>
      </c>
      <c r="B570" s="1"/>
      <c r="C570" s="1" t="s">
        <v>3512</v>
      </c>
      <c r="D570" s="1"/>
      <c r="E570" s="1"/>
      <c r="F570" s="1"/>
      <c r="G570" s="1"/>
      <c r="H570" s="1" t="s">
        <v>128</v>
      </c>
      <c r="I570" s="1" t="s">
        <v>3513</v>
      </c>
      <c r="J570" s="1" t="s">
        <v>3514</v>
      </c>
      <c r="K570" s="1" t="s">
        <v>3515</v>
      </c>
      <c r="L570" s="1" t="s">
        <v>45</v>
      </c>
      <c r="M570" s="1" t="s">
        <v>46</v>
      </c>
      <c r="N570" s="1">
        <v>174030</v>
      </c>
      <c r="O570" s="1">
        <v>2018</v>
      </c>
      <c r="P570" s="1">
        <v>170550</v>
      </c>
      <c r="Q570" s="1">
        <v>2018</v>
      </c>
      <c r="R570" s="1" t="s">
        <v>46</v>
      </c>
      <c r="S570" s="1">
        <v>1</v>
      </c>
      <c r="T570" s="1">
        <v>1</v>
      </c>
      <c r="U570" s="1" t="s">
        <v>3516</v>
      </c>
    </row>
    <row r="571" spans="1:41" ht="17.149999999999999" hidden="1" customHeight="1">
      <c r="A571" s="1" t="s">
        <v>3517</v>
      </c>
      <c r="B571" s="1"/>
      <c r="C571" s="1" t="s">
        <v>3518</v>
      </c>
      <c r="D571" s="1"/>
      <c r="E571" s="1"/>
      <c r="F571" s="1"/>
      <c r="G571" s="1"/>
      <c r="H571" s="1" t="s">
        <v>249</v>
      </c>
      <c r="I571" s="1" t="s">
        <v>1981</v>
      </c>
      <c r="J571" s="1" t="s">
        <v>3519</v>
      </c>
      <c r="K571" s="1" t="s">
        <v>3520</v>
      </c>
      <c r="L571" s="1" t="s">
        <v>45</v>
      </c>
      <c r="M571" s="1" t="s">
        <v>46</v>
      </c>
      <c r="N571" s="1" t="s">
        <v>46</v>
      </c>
      <c r="O571" s="1" t="s">
        <v>46</v>
      </c>
      <c r="P571" s="1">
        <v>63729</v>
      </c>
      <c r="Q571" s="1">
        <v>2018</v>
      </c>
      <c r="R571" s="1" t="s">
        <v>46</v>
      </c>
      <c r="S571" s="1">
        <v>1</v>
      </c>
      <c r="T571" s="1" t="s">
        <v>46</v>
      </c>
      <c r="U571" s="1" t="s">
        <v>3521</v>
      </c>
    </row>
    <row r="572" spans="1:41" ht="17.149999999999999" hidden="1" customHeight="1">
      <c r="A572" s="1" t="s">
        <v>3522</v>
      </c>
      <c r="B572" s="1"/>
      <c r="C572" s="1" t="s">
        <v>3523</v>
      </c>
      <c r="D572" s="1"/>
      <c r="E572" s="1"/>
      <c r="F572" s="1"/>
      <c r="G572" s="1"/>
      <c r="H572" s="1" t="s">
        <v>1279</v>
      </c>
      <c r="I572" s="1" t="s">
        <v>46</v>
      </c>
      <c r="J572" s="1" t="s">
        <v>3524</v>
      </c>
      <c r="K572" s="1" t="s">
        <v>3525</v>
      </c>
      <c r="L572" s="1" t="s">
        <v>45</v>
      </c>
      <c r="M572" s="1" t="s">
        <v>46</v>
      </c>
      <c r="N572" s="1">
        <v>170000</v>
      </c>
      <c r="O572" s="1">
        <v>2019</v>
      </c>
      <c r="P572" s="1">
        <v>170000</v>
      </c>
      <c r="Q572" s="1">
        <v>2019</v>
      </c>
      <c r="R572" s="1" t="s">
        <v>46</v>
      </c>
      <c r="S572" s="1">
        <v>1</v>
      </c>
      <c r="T572" s="1">
        <v>1</v>
      </c>
      <c r="U572" s="1" t="s">
        <v>3526</v>
      </c>
    </row>
    <row r="573" spans="1:41" ht="17.149999999999999" hidden="1" customHeight="1">
      <c r="A573" s="1" t="s">
        <v>3527</v>
      </c>
      <c r="B573" s="1"/>
      <c r="C573" s="1" t="s">
        <v>3528</v>
      </c>
      <c r="D573" s="1"/>
      <c r="E573" s="1"/>
      <c r="F573" s="1"/>
      <c r="G573" s="1"/>
      <c r="H573" s="1" t="s">
        <v>640</v>
      </c>
      <c r="I573" s="1" t="s">
        <v>46</v>
      </c>
      <c r="J573" s="1" t="s">
        <v>3529</v>
      </c>
      <c r="K573" s="1" t="s">
        <v>3530</v>
      </c>
      <c r="L573" s="1" t="s">
        <v>45</v>
      </c>
      <c r="M573" s="1" t="s">
        <v>46</v>
      </c>
      <c r="N573" s="1">
        <v>170000</v>
      </c>
      <c r="O573" s="1">
        <v>2016</v>
      </c>
      <c r="P573" s="1">
        <v>170000</v>
      </c>
      <c r="Q573" s="1">
        <v>2016</v>
      </c>
      <c r="R573" s="1" t="s">
        <v>46</v>
      </c>
      <c r="S573" s="1">
        <v>1</v>
      </c>
      <c r="T573" s="1">
        <v>1</v>
      </c>
      <c r="U573" s="1" t="s">
        <v>3531</v>
      </c>
      <c r="V573" s="2" t="s">
        <v>40</v>
      </c>
      <c r="W573" s="2" t="s">
        <v>2169</v>
      </c>
    </row>
    <row r="574" spans="1:41" ht="17.149999999999999" hidden="1" customHeight="1">
      <c r="A574" s="21" t="s">
        <v>3532</v>
      </c>
      <c r="B574" s="21" t="s">
        <v>37</v>
      </c>
      <c r="C574" s="58" t="s">
        <v>3533</v>
      </c>
      <c r="D574" s="61"/>
      <c r="E574" s="61"/>
      <c r="F574" s="61"/>
      <c r="G574" s="61"/>
      <c r="H574" s="21" t="s">
        <v>41</v>
      </c>
      <c r="I574" s="21" t="s">
        <v>1179</v>
      </c>
      <c r="J574" s="21" t="s">
        <v>3534</v>
      </c>
      <c r="K574" s="21" t="s">
        <v>3535</v>
      </c>
      <c r="L574" s="21" t="s">
        <v>45</v>
      </c>
      <c r="M574" s="21" t="s">
        <v>46</v>
      </c>
      <c r="N574" s="21">
        <v>200000</v>
      </c>
      <c r="O574" s="21">
        <v>2016</v>
      </c>
      <c r="P574" s="21">
        <v>170000</v>
      </c>
      <c r="Q574" s="21">
        <v>2016</v>
      </c>
      <c r="R574" s="21" t="s">
        <v>46</v>
      </c>
      <c r="S574" s="21">
        <v>1</v>
      </c>
      <c r="T574" s="21">
        <v>1</v>
      </c>
      <c r="U574" s="21" t="s">
        <v>3536</v>
      </c>
      <c r="V574" s="22" t="s">
        <v>103</v>
      </c>
      <c r="W574" s="22"/>
      <c r="X574" s="22"/>
      <c r="Y574" s="22"/>
      <c r="Z574" s="22"/>
      <c r="AA574" s="22"/>
      <c r="AB574" s="22"/>
      <c r="AC574" s="94" t="s">
        <v>3537</v>
      </c>
      <c r="AD574" s="22"/>
    </row>
    <row r="575" spans="1:41" ht="17.149999999999999" customHeight="1">
      <c r="A575" s="1" t="s">
        <v>3538</v>
      </c>
      <c r="B575" s="1" t="s">
        <v>175</v>
      </c>
      <c r="C575" s="1" t="s">
        <v>872</v>
      </c>
      <c r="D575" s="1" t="s">
        <v>872</v>
      </c>
      <c r="E575" s="1" t="s">
        <v>872</v>
      </c>
      <c r="F575" s="1" t="s">
        <v>3539</v>
      </c>
      <c r="G575" s="1"/>
      <c r="H575" s="1" t="s">
        <v>177</v>
      </c>
      <c r="I575" s="1" t="s">
        <v>236</v>
      </c>
      <c r="J575" s="1" t="s">
        <v>236</v>
      </c>
      <c r="K575" s="1" t="s">
        <v>3540</v>
      </c>
      <c r="L575" s="1" t="s">
        <v>45</v>
      </c>
      <c r="M575" s="1" t="s">
        <v>46</v>
      </c>
      <c r="N575" s="1">
        <v>88000</v>
      </c>
      <c r="O575" s="1">
        <v>2015</v>
      </c>
      <c r="P575" s="1">
        <v>169570</v>
      </c>
      <c r="Q575" s="1">
        <v>2015</v>
      </c>
      <c r="R575" s="1">
        <v>1</v>
      </c>
      <c r="S575" s="1" t="s">
        <v>46</v>
      </c>
      <c r="T575" s="1" t="s">
        <v>46</v>
      </c>
      <c r="U575" s="1" t="s">
        <v>3541</v>
      </c>
      <c r="V575" s="2" t="s">
        <v>3542</v>
      </c>
      <c r="W575" s="2" t="s">
        <v>3543</v>
      </c>
      <c r="X575" s="2" t="s">
        <v>40</v>
      </c>
      <c r="Z575" s="79" t="s">
        <v>3544</v>
      </c>
      <c r="AA575" s="78" t="s">
        <v>3545</v>
      </c>
      <c r="AJ575" s="2" t="s">
        <v>57</v>
      </c>
    </row>
    <row r="576" spans="1:41" ht="17.149999999999999" hidden="1" customHeight="1">
      <c r="A576" s="1" t="s">
        <v>3546</v>
      </c>
      <c r="B576" s="1"/>
      <c r="C576" s="1" t="s">
        <v>3547</v>
      </c>
      <c r="D576" s="1"/>
      <c r="E576" s="1"/>
      <c r="F576" s="1"/>
      <c r="G576" s="1"/>
      <c r="H576" s="1" t="s">
        <v>1669</v>
      </c>
      <c r="I576" s="1" t="s">
        <v>46</v>
      </c>
      <c r="J576" s="1" t="s">
        <v>3548</v>
      </c>
      <c r="K576" s="1" t="s">
        <v>3549</v>
      </c>
      <c r="L576" s="1" t="s">
        <v>45</v>
      </c>
      <c r="M576" s="1" t="s">
        <v>46</v>
      </c>
      <c r="N576" s="1">
        <v>118800</v>
      </c>
      <c r="O576" s="1">
        <v>2017</v>
      </c>
      <c r="P576" s="1">
        <v>169238</v>
      </c>
      <c r="Q576" s="1">
        <v>2017</v>
      </c>
      <c r="R576" s="1" t="s">
        <v>46</v>
      </c>
      <c r="S576" s="1">
        <v>1</v>
      </c>
      <c r="T576" s="1" t="s">
        <v>46</v>
      </c>
      <c r="U576" s="1" t="s">
        <v>3550</v>
      </c>
    </row>
    <row r="577" spans="1:41" ht="17.149999999999999" hidden="1" customHeight="1">
      <c r="A577" s="1" t="s">
        <v>3551</v>
      </c>
      <c r="B577" s="1"/>
      <c r="C577" s="1" t="s">
        <v>3552</v>
      </c>
      <c r="D577" s="1"/>
      <c r="E577" s="1"/>
      <c r="F577" s="1"/>
      <c r="G577" s="1"/>
      <c r="H577" s="1" t="s">
        <v>1171</v>
      </c>
      <c r="I577" s="1" t="s">
        <v>46</v>
      </c>
      <c r="J577" s="1" t="s">
        <v>3311</v>
      </c>
      <c r="K577" s="1" t="s">
        <v>3553</v>
      </c>
      <c r="L577" s="1" t="s">
        <v>118</v>
      </c>
      <c r="M577" s="1" t="s">
        <v>3554</v>
      </c>
      <c r="N577" s="1">
        <v>270798</v>
      </c>
      <c r="O577" s="1">
        <v>2018</v>
      </c>
      <c r="P577" s="1">
        <v>168901</v>
      </c>
      <c r="Q577" s="1">
        <v>2018</v>
      </c>
      <c r="R577" s="1" t="s">
        <v>46</v>
      </c>
      <c r="S577" s="1">
        <v>1</v>
      </c>
      <c r="T577" s="1" t="s">
        <v>46</v>
      </c>
      <c r="U577" s="1" t="s">
        <v>3555</v>
      </c>
    </row>
    <row r="578" spans="1:41" ht="17.149999999999999" hidden="1" customHeight="1">
      <c r="A578" s="1" t="s">
        <v>3556</v>
      </c>
      <c r="B578" s="1"/>
      <c r="C578" s="1" t="s">
        <v>3557</v>
      </c>
      <c r="D578" s="1"/>
      <c r="E578" s="1"/>
      <c r="F578" s="1"/>
      <c r="G578" s="1"/>
      <c r="H578" s="1" t="s">
        <v>249</v>
      </c>
      <c r="I578" s="1" t="s">
        <v>46</v>
      </c>
      <c r="J578" s="1" t="s">
        <v>2713</v>
      </c>
      <c r="K578" s="1" t="s">
        <v>3493</v>
      </c>
      <c r="L578" s="1" t="s">
        <v>46</v>
      </c>
      <c r="M578" s="1" t="s">
        <v>3137</v>
      </c>
      <c r="N578" s="1" t="s">
        <v>46</v>
      </c>
      <c r="O578" s="1" t="s">
        <v>46</v>
      </c>
      <c r="P578" s="1">
        <v>59018</v>
      </c>
      <c r="Q578" s="1">
        <v>2015</v>
      </c>
      <c r="R578" s="1" t="s">
        <v>46</v>
      </c>
      <c r="S578" s="1">
        <v>1</v>
      </c>
      <c r="T578" s="1">
        <v>1</v>
      </c>
      <c r="U578" s="1" t="s">
        <v>1005</v>
      </c>
    </row>
    <row r="579" spans="1:41" ht="17.149999999999999" hidden="1" customHeight="1">
      <c r="A579" s="1" t="s">
        <v>3558</v>
      </c>
      <c r="B579" s="1"/>
      <c r="C579" s="1" t="s">
        <v>3559</v>
      </c>
      <c r="D579" s="1"/>
      <c r="E579" s="1"/>
      <c r="F579" s="1"/>
      <c r="G579" s="1"/>
      <c r="H579" s="1" t="s">
        <v>249</v>
      </c>
      <c r="I579" s="1" t="s">
        <v>3560</v>
      </c>
      <c r="J579" s="1" t="s">
        <v>3561</v>
      </c>
      <c r="K579" s="1" t="s">
        <v>2104</v>
      </c>
      <c r="L579" s="1" t="s">
        <v>45</v>
      </c>
      <c r="M579" s="1" t="s">
        <v>1566</v>
      </c>
      <c r="N579" s="1" t="s">
        <v>46</v>
      </c>
      <c r="O579" s="1" t="s">
        <v>46</v>
      </c>
      <c r="P579" s="1">
        <v>58421</v>
      </c>
      <c r="Q579" s="1">
        <v>2018</v>
      </c>
      <c r="R579" s="1" t="s">
        <v>46</v>
      </c>
      <c r="S579" s="1">
        <v>1</v>
      </c>
      <c r="T579" s="1">
        <v>1</v>
      </c>
      <c r="U579" s="1" t="s">
        <v>3562</v>
      </c>
    </row>
    <row r="580" spans="1:41" ht="17.149999999999999" hidden="1" customHeight="1">
      <c r="A580" s="1" t="s">
        <v>3563</v>
      </c>
      <c r="B580" s="1"/>
      <c r="C580" s="1" t="s">
        <v>3564</v>
      </c>
      <c r="D580" s="1"/>
      <c r="E580" s="1"/>
      <c r="F580" s="1"/>
      <c r="G580" s="1"/>
      <c r="H580" s="1" t="s">
        <v>177</v>
      </c>
      <c r="I580" s="1" t="s">
        <v>345</v>
      </c>
      <c r="J580" s="1" t="s">
        <v>346</v>
      </c>
      <c r="K580" s="1" t="s">
        <v>3565</v>
      </c>
      <c r="L580" s="1" t="s">
        <v>45</v>
      </c>
      <c r="M580" s="1" t="s">
        <v>46</v>
      </c>
      <c r="N580" s="1">
        <v>166300</v>
      </c>
      <c r="O580" s="1">
        <v>2019</v>
      </c>
      <c r="P580" s="1">
        <v>166300</v>
      </c>
      <c r="Q580" s="1">
        <v>2019</v>
      </c>
      <c r="R580" s="1">
        <v>1</v>
      </c>
      <c r="S580" s="1" t="s">
        <v>46</v>
      </c>
      <c r="T580" s="1" t="s">
        <v>46</v>
      </c>
      <c r="U580" s="1" t="s">
        <v>3566</v>
      </c>
    </row>
    <row r="581" spans="1:41" ht="17.149999999999999" customHeight="1">
      <c r="A581" s="14" t="s">
        <v>3567</v>
      </c>
      <c r="B581" s="14" t="s">
        <v>37</v>
      </c>
      <c r="C581" s="56" t="s">
        <v>3568</v>
      </c>
      <c r="D581" s="17" t="s">
        <v>3568</v>
      </c>
      <c r="E581" s="17" t="s">
        <v>3568</v>
      </c>
      <c r="F581" s="161" t="s">
        <v>62</v>
      </c>
      <c r="G581" s="17" t="s">
        <v>40</v>
      </c>
      <c r="H581" s="14" t="s">
        <v>41</v>
      </c>
      <c r="I581" s="14" t="s">
        <v>518</v>
      </c>
      <c r="J581" s="14" t="s">
        <v>3569</v>
      </c>
      <c r="K581" s="14" t="s">
        <v>3570</v>
      </c>
      <c r="L581" s="14" t="s">
        <v>45</v>
      </c>
      <c r="M581" s="14" t="s">
        <v>46</v>
      </c>
      <c r="N581" s="14">
        <v>132513</v>
      </c>
      <c r="O581" s="14">
        <v>2016</v>
      </c>
      <c r="P581" s="14">
        <v>166200</v>
      </c>
      <c r="Q581" s="14">
        <v>2016</v>
      </c>
      <c r="R581" s="14" t="s">
        <v>46</v>
      </c>
      <c r="S581" s="14">
        <v>1</v>
      </c>
      <c r="T581" s="14">
        <v>1</v>
      </c>
      <c r="U581" s="14" t="s">
        <v>3571</v>
      </c>
      <c r="V581" s="6" t="s">
        <v>40</v>
      </c>
      <c r="W581" s="6" t="s">
        <v>1042</v>
      </c>
      <c r="X581" s="162" t="s">
        <v>40</v>
      </c>
      <c r="Y581" s="33" t="s">
        <v>140</v>
      </c>
      <c r="Z581" s="32" t="s">
        <v>3572</v>
      </c>
      <c r="AA581" s="6" t="s">
        <v>3573</v>
      </c>
      <c r="AB581" s="6" t="s">
        <v>3574</v>
      </c>
      <c r="AC581" s="6" t="s">
        <v>3575</v>
      </c>
      <c r="AD581" s="162" t="s">
        <v>40</v>
      </c>
      <c r="AE581" s="2" t="s">
        <v>3576</v>
      </c>
      <c r="AF581" t="s">
        <v>53</v>
      </c>
      <c r="AG581" s="2" t="s">
        <v>1183</v>
      </c>
    </row>
    <row r="582" spans="1:41" ht="17.149999999999999" hidden="1" customHeight="1">
      <c r="A582" s="1" t="s">
        <v>3577</v>
      </c>
      <c r="B582" s="1"/>
      <c r="C582" s="1" t="s">
        <v>3578</v>
      </c>
      <c r="D582" s="1"/>
      <c r="E582" s="1"/>
      <c r="F582" s="1"/>
      <c r="G582" s="1"/>
      <c r="H582" s="1" t="s">
        <v>177</v>
      </c>
      <c r="I582" s="1" t="s">
        <v>345</v>
      </c>
      <c r="J582" s="1" t="s">
        <v>3387</v>
      </c>
      <c r="K582" s="1" t="s">
        <v>3579</v>
      </c>
      <c r="L582" s="1" t="s">
        <v>45</v>
      </c>
      <c r="M582" s="1" t="s">
        <v>46</v>
      </c>
      <c r="N582" s="1">
        <v>380000</v>
      </c>
      <c r="O582" s="1">
        <v>2019</v>
      </c>
      <c r="P582" s="1">
        <v>166000</v>
      </c>
      <c r="Q582" s="1">
        <v>2019</v>
      </c>
      <c r="R582" s="1" t="s">
        <v>46</v>
      </c>
      <c r="S582" s="1">
        <v>1</v>
      </c>
      <c r="T582" s="1" t="s">
        <v>46</v>
      </c>
      <c r="U582" s="1" t="s">
        <v>3580</v>
      </c>
    </row>
    <row r="583" spans="1:41" ht="17.149999999999999" hidden="1" customHeight="1">
      <c r="A583" s="14" t="s">
        <v>3581</v>
      </c>
      <c r="B583" s="14" t="s">
        <v>37</v>
      </c>
      <c r="C583" s="63" t="s">
        <v>3582</v>
      </c>
      <c r="D583" s="61"/>
      <c r="E583" s="61"/>
      <c r="F583" s="61"/>
      <c r="G583" s="61"/>
      <c r="H583" s="14" t="s">
        <v>41</v>
      </c>
      <c r="I583" s="14" t="s">
        <v>42</v>
      </c>
      <c r="J583" s="14" t="s">
        <v>3583</v>
      </c>
      <c r="K583" s="14" t="s">
        <v>3584</v>
      </c>
      <c r="L583" s="14" t="s">
        <v>45</v>
      </c>
      <c r="M583" s="14" t="s">
        <v>3585</v>
      </c>
      <c r="N583" s="14" t="s">
        <v>46</v>
      </c>
      <c r="O583" s="14" t="s">
        <v>46</v>
      </c>
      <c r="P583" s="14">
        <v>165000</v>
      </c>
      <c r="Q583" s="14">
        <v>2015</v>
      </c>
      <c r="R583" s="14" t="s">
        <v>46</v>
      </c>
      <c r="S583" s="14">
        <v>1</v>
      </c>
      <c r="T583" s="14">
        <v>1</v>
      </c>
      <c r="U583" s="14" t="s">
        <v>3586</v>
      </c>
      <c r="V583" s="6" t="s">
        <v>354</v>
      </c>
      <c r="W583" s="6" t="s">
        <v>1216</v>
      </c>
      <c r="X583" s="8" t="s">
        <v>103</v>
      </c>
      <c r="Y583" s="8"/>
      <c r="Z583" s="6"/>
      <c r="AA583" s="6"/>
      <c r="AB583" s="6" t="s">
        <v>3587</v>
      </c>
      <c r="AC583" s="6"/>
      <c r="AD583" s="8" t="s">
        <v>286</v>
      </c>
      <c r="AE583" s="2" t="s">
        <v>3588</v>
      </c>
      <c r="AF583" s="2" t="s">
        <v>53</v>
      </c>
    </row>
    <row r="584" spans="1:41" ht="17.149999999999999" hidden="1" customHeight="1">
      <c r="A584" s="1" t="s">
        <v>3589</v>
      </c>
      <c r="B584" s="1"/>
      <c r="C584" s="1" t="s">
        <v>3590</v>
      </c>
      <c r="D584" s="1"/>
      <c r="E584" s="1"/>
      <c r="F584" s="1"/>
      <c r="G584" s="1"/>
      <c r="H584" s="1" t="s">
        <v>1367</v>
      </c>
      <c r="I584" s="1" t="s">
        <v>46</v>
      </c>
      <c r="J584" s="1" t="s">
        <v>3591</v>
      </c>
      <c r="K584" s="1" t="s">
        <v>3592</v>
      </c>
      <c r="L584" s="1" t="s">
        <v>45</v>
      </c>
      <c r="M584" s="1" t="s">
        <v>46</v>
      </c>
      <c r="N584" s="1">
        <v>233921</v>
      </c>
      <c r="O584" s="1">
        <v>2017</v>
      </c>
      <c r="P584" s="1">
        <v>164161</v>
      </c>
      <c r="Q584" s="1">
        <v>2017</v>
      </c>
      <c r="R584" s="1" t="s">
        <v>46</v>
      </c>
      <c r="S584" s="1">
        <v>1</v>
      </c>
      <c r="T584" s="1">
        <v>1</v>
      </c>
      <c r="U584" s="1" t="s">
        <v>3593</v>
      </c>
    </row>
    <row r="585" spans="1:41" ht="17.149999999999999" hidden="1" customHeight="1">
      <c r="A585" s="1" t="s">
        <v>3594</v>
      </c>
      <c r="B585" s="1"/>
      <c r="C585" s="1" t="s">
        <v>3595</v>
      </c>
      <c r="D585" s="1"/>
      <c r="E585" s="1"/>
      <c r="F585" s="1"/>
      <c r="G585" s="1"/>
      <c r="H585" s="1" t="s">
        <v>1938</v>
      </c>
      <c r="I585" s="1" t="s">
        <v>3596</v>
      </c>
      <c r="J585" s="1" t="s">
        <v>3597</v>
      </c>
      <c r="K585" s="1" t="s">
        <v>3598</v>
      </c>
      <c r="L585" s="1" t="s">
        <v>45</v>
      </c>
      <c r="M585" s="1" t="s">
        <v>46</v>
      </c>
      <c r="N585" s="1" t="s">
        <v>46</v>
      </c>
      <c r="O585" s="1" t="s">
        <v>46</v>
      </c>
      <c r="P585" s="1">
        <v>164000</v>
      </c>
      <c r="Q585" s="1">
        <v>2015</v>
      </c>
      <c r="R585" s="1" t="s">
        <v>46</v>
      </c>
      <c r="S585" s="1">
        <v>1</v>
      </c>
      <c r="T585" s="1">
        <v>1</v>
      </c>
      <c r="U585" s="1" t="s">
        <v>3599</v>
      </c>
    </row>
    <row r="586" spans="1:41" ht="17.149999999999999" hidden="1" customHeight="1">
      <c r="A586" s="1" t="s">
        <v>3600</v>
      </c>
      <c r="B586" s="1"/>
      <c r="C586" s="1" t="s">
        <v>3601</v>
      </c>
      <c r="D586" s="1"/>
      <c r="E586" s="1"/>
      <c r="F586" s="1"/>
      <c r="G586" s="1"/>
      <c r="H586" s="1" t="s">
        <v>128</v>
      </c>
      <c r="I586" s="1" t="s">
        <v>2603</v>
      </c>
      <c r="J586" s="1" t="s">
        <v>3602</v>
      </c>
      <c r="K586" s="1" t="s">
        <v>3603</v>
      </c>
      <c r="L586" s="1" t="s">
        <v>45</v>
      </c>
      <c r="M586" s="1" t="s">
        <v>46</v>
      </c>
      <c r="N586" s="1">
        <v>177495</v>
      </c>
      <c r="O586" s="1">
        <v>2015</v>
      </c>
      <c r="P586" s="1">
        <v>162947</v>
      </c>
      <c r="Q586" s="1">
        <v>2015</v>
      </c>
      <c r="R586" s="1" t="s">
        <v>46</v>
      </c>
      <c r="S586" s="1">
        <v>1</v>
      </c>
      <c r="T586" s="1" t="s">
        <v>46</v>
      </c>
      <c r="U586" s="1" t="s">
        <v>3604</v>
      </c>
    </row>
    <row r="587" spans="1:41" ht="17.149999999999999" hidden="1" customHeight="1">
      <c r="A587" s="1" t="s">
        <v>3605</v>
      </c>
      <c r="B587" s="1"/>
      <c r="C587" s="1" t="s">
        <v>3606</v>
      </c>
      <c r="D587" s="1"/>
      <c r="E587" s="1"/>
      <c r="F587" s="1"/>
      <c r="G587" s="1"/>
      <c r="H587" s="1" t="s">
        <v>249</v>
      </c>
      <c r="I587" s="1" t="s">
        <v>1735</v>
      </c>
      <c r="J587" s="1" t="s">
        <v>3607</v>
      </c>
      <c r="K587" s="1" t="s">
        <v>3608</v>
      </c>
      <c r="L587" s="1" t="s">
        <v>45</v>
      </c>
      <c r="M587" s="1" t="s">
        <v>46</v>
      </c>
      <c r="N587" s="1" t="s">
        <v>46</v>
      </c>
      <c r="O587" s="1" t="s">
        <v>46</v>
      </c>
      <c r="P587" s="1">
        <v>58231</v>
      </c>
      <c r="Q587" s="1">
        <v>2018</v>
      </c>
      <c r="R587" s="1" t="s">
        <v>46</v>
      </c>
      <c r="S587" s="1">
        <v>1</v>
      </c>
      <c r="T587" s="1" t="s">
        <v>46</v>
      </c>
      <c r="U587" s="1" t="s">
        <v>3609</v>
      </c>
    </row>
    <row r="588" spans="1:41" ht="17.149999999999999" hidden="1" customHeight="1">
      <c r="A588" s="1" t="s">
        <v>3610</v>
      </c>
      <c r="B588" s="1"/>
      <c r="C588" s="1" t="s">
        <v>3611</v>
      </c>
      <c r="D588" s="1"/>
      <c r="E588" s="1"/>
      <c r="F588" s="1"/>
      <c r="G588" s="1"/>
      <c r="H588" s="1" t="s">
        <v>249</v>
      </c>
      <c r="I588" s="1" t="s">
        <v>46</v>
      </c>
      <c r="J588" s="1" t="s">
        <v>3612</v>
      </c>
      <c r="K588" s="1" t="s">
        <v>3613</v>
      </c>
      <c r="L588" s="1" t="s">
        <v>46</v>
      </c>
      <c r="M588" s="1" t="s">
        <v>1566</v>
      </c>
      <c r="N588" s="1" t="s">
        <v>46</v>
      </c>
      <c r="O588" s="1" t="s">
        <v>46</v>
      </c>
      <c r="P588" s="1">
        <v>57740</v>
      </c>
      <c r="Q588" s="1">
        <v>2015</v>
      </c>
      <c r="R588" s="1" t="s">
        <v>46</v>
      </c>
      <c r="S588" s="1">
        <v>1</v>
      </c>
      <c r="T588" s="1">
        <v>1</v>
      </c>
      <c r="U588" s="1" t="s">
        <v>1005</v>
      </c>
    </row>
    <row r="589" spans="1:41" ht="17.149999999999999" hidden="1" customHeight="1">
      <c r="A589" s="1" t="s">
        <v>3614</v>
      </c>
      <c r="B589" s="1"/>
      <c r="C589" s="1" t="s">
        <v>3615</v>
      </c>
      <c r="D589" s="1"/>
      <c r="E589" s="1"/>
      <c r="F589" s="1"/>
      <c r="G589" s="1"/>
      <c r="H589" s="1" t="s">
        <v>249</v>
      </c>
      <c r="I589" s="1" t="s">
        <v>46</v>
      </c>
      <c r="J589" s="1" t="s">
        <v>3616</v>
      </c>
      <c r="K589" s="1" t="s">
        <v>3617</v>
      </c>
      <c r="L589" s="1" t="s">
        <v>46</v>
      </c>
      <c r="M589" s="1" t="s">
        <v>3618</v>
      </c>
      <c r="N589" s="1" t="s">
        <v>46</v>
      </c>
      <c r="O589" s="1" t="s">
        <v>46</v>
      </c>
      <c r="P589" s="1">
        <v>57447</v>
      </c>
      <c r="Q589" s="1">
        <v>2015</v>
      </c>
      <c r="R589" s="1" t="s">
        <v>46</v>
      </c>
      <c r="S589" s="1">
        <v>1</v>
      </c>
      <c r="T589" s="1">
        <v>1</v>
      </c>
      <c r="U589" s="1" t="s">
        <v>1005</v>
      </c>
    </row>
    <row r="590" spans="1:41" ht="17.149999999999999" customHeight="1">
      <c r="A590" s="14" t="s">
        <v>3619</v>
      </c>
      <c r="B590" s="17" t="s">
        <v>37</v>
      </c>
      <c r="C590" s="90" t="s">
        <v>3620</v>
      </c>
      <c r="D590" s="154" t="s">
        <v>3621</v>
      </c>
      <c r="E590" s="154" t="s">
        <v>3621</v>
      </c>
      <c r="F590" s="17" t="s">
        <v>62</v>
      </c>
      <c r="G590" s="61"/>
      <c r="H590" s="14" t="s">
        <v>41</v>
      </c>
      <c r="I590" s="14" t="s">
        <v>63</v>
      </c>
      <c r="J590" s="14" t="s">
        <v>3622</v>
      </c>
      <c r="K590" s="14" t="s">
        <v>3623</v>
      </c>
      <c r="L590" s="14" t="s">
        <v>45</v>
      </c>
      <c r="M590" s="14" t="s">
        <v>46</v>
      </c>
      <c r="N590" s="14" t="s">
        <v>46</v>
      </c>
      <c r="O590" s="14" t="s">
        <v>46</v>
      </c>
      <c r="P590" s="14" t="s">
        <v>46</v>
      </c>
      <c r="Q590" s="14" t="s">
        <v>46</v>
      </c>
      <c r="R590" s="14" t="s">
        <v>46</v>
      </c>
      <c r="S590" s="14">
        <v>1</v>
      </c>
      <c r="T590" s="14">
        <v>1</v>
      </c>
      <c r="U590" s="14" t="s">
        <v>3624</v>
      </c>
      <c r="V590" s="6" t="s">
        <v>40</v>
      </c>
      <c r="W590" s="6" t="s">
        <v>3625</v>
      </c>
      <c r="X590" s="6" t="s">
        <v>40</v>
      </c>
      <c r="Y590" s="6" t="s">
        <v>2640</v>
      </c>
      <c r="Z590" s="6" t="s">
        <v>2818</v>
      </c>
      <c r="AA590" s="6" t="s">
        <v>3626</v>
      </c>
      <c r="AB590" s="6"/>
      <c r="AC590" s="6" t="s">
        <v>3627</v>
      </c>
      <c r="AD590" s="6" t="s">
        <v>40</v>
      </c>
      <c r="AE590" s="42">
        <v>1</v>
      </c>
      <c r="AF590" s="42" t="s">
        <v>404</v>
      </c>
      <c r="AG590" s="42" t="s">
        <v>3628</v>
      </c>
      <c r="AH590" s="42"/>
      <c r="AI590" s="42"/>
      <c r="AJ590" s="2" t="s">
        <v>1318</v>
      </c>
      <c r="AK590" s="42"/>
      <c r="AL590" s="42"/>
      <c r="AM590" s="42"/>
      <c r="AN590" s="42"/>
      <c r="AO590" s="42"/>
    </row>
    <row r="591" spans="1:41" ht="17.149999999999999" hidden="1" customHeight="1">
      <c r="A591" s="1" t="s">
        <v>3629</v>
      </c>
      <c r="B591" s="1"/>
      <c r="C591" s="1" t="s">
        <v>3630</v>
      </c>
      <c r="D591" s="1"/>
      <c r="E591" s="1"/>
      <c r="F591" s="1"/>
      <c r="G591" s="1"/>
      <c r="H591" s="1" t="s">
        <v>1367</v>
      </c>
      <c r="I591" s="1" t="s">
        <v>46</v>
      </c>
      <c r="J591" s="1" t="s">
        <v>3631</v>
      </c>
      <c r="K591" s="1" t="s">
        <v>3632</v>
      </c>
      <c r="L591" s="1" t="s">
        <v>45</v>
      </c>
      <c r="M591" s="1" t="s">
        <v>46</v>
      </c>
      <c r="N591" s="1">
        <v>194960</v>
      </c>
      <c r="O591" s="1">
        <v>2017</v>
      </c>
      <c r="P591" s="1">
        <v>160235</v>
      </c>
      <c r="Q591" s="1">
        <v>2017</v>
      </c>
      <c r="R591" s="1" t="s">
        <v>46</v>
      </c>
      <c r="S591" s="1">
        <v>1</v>
      </c>
      <c r="T591" s="1">
        <v>1</v>
      </c>
      <c r="U591" s="1" t="s">
        <v>3633</v>
      </c>
    </row>
    <row r="592" spans="1:41" ht="17.149999999999999" hidden="1" customHeight="1">
      <c r="A592" s="21" t="s">
        <v>3634</v>
      </c>
      <c r="B592" s="21" t="s">
        <v>37</v>
      </c>
      <c r="C592" s="58" t="s">
        <v>3635</v>
      </c>
      <c r="D592" s="61"/>
      <c r="E592" s="61"/>
      <c r="F592" s="61"/>
      <c r="G592" s="61"/>
      <c r="H592" s="21" t="s">
        <v>41</v>
      </c>
      <c r="I592" s="21" t="s">
        <v>63</v>
      </c>
      <c r="J592" s="21" t="s">
        <v>3636</v>
      </c>
      <c r="K592" s="21" t="s">
        <v>3637</v>
      </c>
      <c r="L592" s="21" t="s">
        <v>151</v>
      </c>
      <c r="M592" s="21" t="s">
        <v>3638</v>
      </c>
      <c r="N592" s="21" t="s">
        <v>46</v>
      </c>
      <c r="O592" s="21" t="s">
        <v>46</v>
      </c>
      <c r="P592" s="21">
        <v>160181</v>
      </c>
      <c r="Q592" s="21">
        <v>2016</v>
      </c>
      <c r="R592" s="21" t="s">
        <v>46</v>
      </c>
      <c r="S592" s="21">
        <v>1</v>
      </c>
      <c r="T592" s="21">
        <v>1</v>
      </c>
      <c r="U592" s="21" t="s">
        <v>3639</v>
      </c>
      <c r="V592" s="22" t="s">
        <v>103</v>
      </c>
      <c r="W592" s="22"/>
      <c r="X592" s="22"/>
      <c r="Y592" s="22"/>
      <c r="Z592" s="22"/>
      <c r="AA592" s="22"/>
      <c r="AB592" s="22"/>
      <c r="AC592" s="22"/>
      <c r="AD592" s="22"/>
    </row>
    <row r="593" spans="1:41" ht="17.149999999999999" hidden="1" customHeight="1">
      <c r="A593" s="1" t="s">
        <v>3640</v>
      </c>
      <c r="B593" s="1"/>
      <c r="C593" s="1" t="s">
        <v>3641</v>
      </c>
      <c r="D593" s="1"/>
      <c r="E593" s="1"/>
      <c r="F593" s="1"/>
      <c r="G593" s="1"/>
      <c r="H593" s="1" t="s">
        <v>1669</v>
      </c>
      <c r="I593" s="1" t="s">
        <v>46</v>
      </c>
      <c r="J593" s="1" t="s">
        <v>3642</v>
      </c>
      <c r="K593" s="1" t="s">
        <v>3643</v>
      </c>
      <c r="L593" s="1" t="s">
        <v>45</v>
      </c>
      <c r="M593" s="1" t="s">
        <v>46</v>
      </c>
      <c r="N593" s="1">
        <v>34312</v>
      </c>
      <c r="O593" s="1">
        <v>2023</v>
      </c>
      <c r="P593" s="1">
        <v>158072</v>
      </c>
      <c r="Q593" s="1">
        <v>2023</v>
      </c>
      <c r="R593" s="1" t="s">
        <v>46</v>
      </c>
      <c r="S593" s="1">
        <v>1</v>
      </c>
      <c r="T593" s="1" t="s">
        <v>46</v>
      </c>
      <c r="U593" s="1" t="s">
        <v>3644</v>
      </c>
    </row>
    <row r="594" spans="1:41" ht="17.149999999999999" customHeight="1">
      <c r="A594" s="14" t="s">
        <v>3645</v>
      </c>
      <c r="B594" s="14" t="s">
        <v>37</v>
      </c>
      <c r="C594" s="90" t="s">
        <v>3646</v>
      </c>
      <c r="D594" s="17" t="s">
        <v>3646</v>
      </c>
      <c r="E594" s="17" t="s">
        <v>3646</v>
      </c>
      <c r="F594" s="17" t="s">
        <v>3647</v>
      </c>
      <c r="G594" s="61"/>
      <c r="H594" s="14" t="s">
        <v>41</v>
      </c>
      <c r="I594" s="14" t="s">
        <v>63</v>
      </c>
      <c r="J594" s="14" t="s">
        <v>3648</v>
      </c>
      <c r="K594" s="14" t="s">
        <v>3649</v>
      </c>
      <c r="L594" s="14" t="s">
        <v>45</v>
      </c>
      <c r="M594" s="14" t="s">
        <v>46</v>
      </c>
      <c r="N594" s="14" t="s">
        <v>46</v>
      </c>
      <c r="O594" s="14" t="s">
        <v>46</v>
      </c>
      <c r="P594" s="14">
        <v>50810</v>
      </c>
      <c r="Q594" s="14">
        <v>2024</v>
      </c>
      <c r="R594" s="14" t="s">
        <v>46</v>
      </c>
      <c r="S594" s="14">
        <v>1</v>
      </c>
      <c r="T594" s="14">
        <v>1</v>
      </c>
      <c r="U594" s="14" t="s">
        <v>3650</v>
      </c>
      <c r="V594" s="6" t="s">
        <v>40</v>
      </c>
      <c r="W594" s="6"/>
      <c r="X594" s="6" t="s">
        <v>40</v>
      </c>
      <c r="Y594" s="6" t="s">
        <v>2914</v>
      </c>
      <c r="Z594" s="6" t="s">
        <v>3651</v>
      </c>
      <c r="AA594" s="6" t="s">
        <v>3652</v>
      </c>
      <c r="AB594" s="32"/>
      <c r="AC594" s="6" t="s">
        <v>3653</v>
      </c>
      <c r="AD594" s="6" t="s">
        <v>40</v>
      </c>
      <c r="AE594" s="42"/>
      <c r="AF594" s="42"/>
      <c r="AG594" s="42"/>
      <c r="AH594" s="42"/>
      <c r="AI594" s="42"/>
      <c r="AJ594" s="2" t="s">
        <v>1318</v>
      </c>
      <c r="AK594" s="42"/>
      <c r="AL594" s="42"/>
      <c r="AM594" s="42"/>
      <c r="AN594" s="42"/>
      <c r="AO594" s="42"/>
    </row>
    <row r="595" spans="1:41" ht="17.149999999999999" hidden="1" customHeight="1">
      <c r="A595" s="1" t="s">
        <v>3654</v>
      </c>
      <c r="B595" s="1"/>
      <c r="C595" s="1" t="s">
        <v>3655</v>
      </c>
      <c r="D595" s="1"/>
      <c r="E595" s="1"/>
      <c r="F595" s="1"/>
      <c r="G595" s="1"/>
      <c r="H595" s="1" t="s">
        <v>1367</v>
      </c>
      <c r="I595" s="1" t="s">
        <v>46</v>
      </c>
      <c r="J595" s="1" t="s">
        <v>3656</v>
      </c>
      <c r="K595" s="1" t="s">
        <v>3657</v>
      </c>
      <c r="L595" s="1" t="s">
        <v>45</v>
      </c>
      <c r="M595" s="1" t="s">
        <v>46</v>
      </c>
      <c r="N595" s="1">
        <v>177244</v>
      </c>
      <c r="O595" s="1">
        <v>2017</v>
      </c>
      <c r="P595" s="1">
        <v>156975</v>
      </c>
      <c r="Q595" s="1">
        <v>2017</v>
      </c>
      <c r="R595" s="1" t="s">
        <v>46</v>
      </c>
      <c r="S595" s="1">
        <v>1</v>
      </c>
      <c r="T595" s="1">
        <v>1</v>
      </c>
      <c r="U595" s="1" t="s">
        <v>3658</v>
      </c>
    </row>
    <row r="596" spans="1:41" ht="17.149999999999999" hidden="1" customHeight="1">
      <c r="A596" s="1" t="s">
        <v>3659</v>
      </c>
      <c r="B596" s="1"/>
      <c r="C596" s="1" t="s">
        <v>3660</v>
      </c>
      <c r="D596" s="1"/>
      <c r="E596" s="1"/>
      <c r="F596" s="1"/>
      <c r="G596" s="1"/>
      <c r="H596" s="1" t="s">
        <v>1367</v>
      </c>
      <c r="I596" s="1" t="s">
        <v>46</v>
      </c>
      <c r="J596" s="1" t="s">
        <v>3661</v>
      </c>
      <c r="K596" s="1" t="s">
        <v>3662</v>
      </c>
      <c r="L596" s="1" t="s">
        <v>45</v>
      </c>
      <c r="M596" s="1" t="s">
        <v>46</v>
      </c>
      <c r="N596" s="1">
        <v>239079</v>
      </c>
      <c r="O596" s="1">
        <v>2017</v>
      </c>
      <c r="P596" s="1">
        <v>156565</v>
      </c>
      <c r="Q596" s="1">
        <v>2017</v>
      </c>
      <c r="R596" s="1" t="s">
        <v>46</v>
      </c>
      <c r="S596" s="1">
        <v>1</v>
      </c>
      <c r="T596" s="1">
        <v>1</v>
      </c>
      <c r="U596" s="1" t="s">
        <v>3663</v>
      </c>
    </row>
    <row r="597" spans="1:41" ht="17.149999999999999" hidden="1" customHeight="1">
      <c r="A597" s="21" t="s">
        <v>3664</v>
      </c>
      <c r="B597" s="21" t="s">
        <v>37</v>
      </c>
      <c r="C597" s="58" t="s">
        <v>3665</v>
      </c>
      <c r="D597" s="61"/>
      <c r="E597" s="61"/>
      <c r="F597" s="61"/>
      <c r="G597" s="61"/>
      <c r="H597" s="21" t="s">
        <v>41</v>
      </c>
      <c r="I597" s="21" t="s">
        <v>148</v>
      </c>
      <c r="J597" s="21" t="s">
        <v>3666</v>
      </c>
      <c r="K597" s="21" t="s">
        <v>3667</v>
      </c>
      <c r="L597" s="21" t="s">
        <v>45</v>
      </c>
      <c r="M597" s="21" t="s">
        <v>3668</v>
      </c>
      <c r="N597" s="21">
        <v>156237</v>
      </c>
      <c r="O597" s="21">
        <v>2016</v>
      </c>
      <c r="P597" s="21">
        <v>156100</v>
      </c>
      <c r="Q597" s="21">
        <v>2016</v>
      </c>
      <c r="R597" s="21" t="s">
        <v>46</v>
      </c>
      <c r="S597" s="21">
        <v>1</v>
      </c>
      <c r="T597" s="21">
        <v>1</v>
      </c>
      <c r="U597" s="21" t="s">
        <v>3669</v>
      </c>
      <c r="V597" s="22" t="s">
        <v>103</v>
      </c>
      <c r="W597" s="22"/>
      <c r="X597" s="22"/>
      <c r="Y597" s="22"/>
      <c r="Z597" s="22"/>
      <c r="AA597" s="22"/>
      <c r="AB597" s="22"/>
      <c r="AC597" s="22"/>
      <c r="AD597" s="22"/>
    </row>
    <row r="598" spans="1:41" ht="17.149999999999999" hidden="1" customHeight="1">
      <c r="A598" s="1" t="s">
        <v>3670</v>
      </c>
      <c r="B598" s="1"/>
      <c r="C598" s="1" t="s">
        <v>3671</v>
      </c>
      <c r="D598" s="1"/>
      <c r="E598" s="1"/>
      <c r="F598" s="1"/>
      <c r="G598" s="1"/>
      <c r="H598" s="1" t="s">
        <v>249</v>
      </c>
      <c r="I598" s="1" t="s">
        <v>3317</v>
      </c>
      <c r="J598" s="1" t="s">
        <v>3672</v>
      </c>
      <c r="K598" s="1" t="s">
        <v>2161</v>
      </c>
      <c r="L598" s="1" t="s">
        <v>45</v>
      </c>
      <c r="M598" s="1" t="s">
        <v>46</v>
      </c>
      <c r="N598" s="1" t="s">
        <v>46</v>
      </c>
      <c r="O598" s="1" t="s">
        <v>46</v>
      </c>
      <c r="P598" s="1">
        <v>56794</v>
      </c>
      <c r="Q598" s="1">
        <v>2018</v>
      </c>
      <c r="R598" s="1" t="s">
        <v>46</v>
      </c>
      <c r="S598" s="1">
        <v>1</v>
      </c>
      <c r="T598" s="1">
        <v>1</v>
      </c>
      <c r="U598" s="1" t="s">
        <v>3673</v>
      </c>
    </row>
    <row r="599" spans="1:41" ht="17.149999999999999" hidden="1" customHeight="1">
      <c r="A599" s="1" t="s">
        <v>3674</v>
      </c>
      <c r="B599" s="1"/>
      <c r="C599" s="1" t="s">
        <v>3675</v>
      </c>
      <c r="D599" s="1"/>
      <c r="E599" s="1"/>
      <c r="F599" s="1"/>
      <c r="G599" s="1"/>
      <c r="H599" s="1" t="s">
        <v>1753</v>
      </c>
      <c r="I599" s="1" t="s">
        <v>46</v>
      </c>
      <c r="J599" s="1" t="s">
        <v>3676</v>
      </c>
      <c r="K599" s="1" t="s">
        <v>3677</v>
      </c>
      <c r="L599" s="1" t="s">
        <v>118</v>
      </c>
      <c r="M599" s="1" t="s">
        <v>46</v>
      </c>
      <c r="N599" s="1">
        <v>180263</v>
      </c>
      <c r="O599" s="1">
        <v>2023</v>
      </c>
      <c r="P599" s="1">
        <v>155036</v>
      </c>
      <c r="Q599" s="1">
        <v>2023</v>
      </c>
      <c r="R599" s="1" t="s">
        <v>46</v>
      </c>
      <c r="S599" s="1">
        <v>1</v>
      </c>
      <c r="T599" s="1" t="s">
        <v>46</v>
      </c>
      <c r="U599" s="1" t="s">
        <v>3678</v>
      </c>
    </row>
    <row r="600" spans="1:41" ht="17.149999999999999" hidden="1" customHeight="1">
      <c r="A600" s="1" t="s">
        <v>3679</v>
      </c>
      <c r="B600" s="1"/>
      <c r="C600" s="1" t="s">
        <v>3680</v>
      </c>
      <c r="D600" s="1"/>
      <c r="E600" s="1"/>
      <c r="F600" s="1"/>
      <c r="G600" s="1"/>
      <c r="H600" s="1" t="s">
        <v>500</v>
      </c>
      <c r="I600" s="1" t="s">
        <v>46</v>
      </c>
      <c r="J600" s="1" t="s">
        <v>3681</v>
      </c>
      <c r="K600" s="1" t="s">
        <v>3682</v>
      </c>
      <c r="L600" s="1" t="s">
        <v>45</v>
      </c>
      <c r="M600" s="1" t="s">
        <v>46</v>
      </c>
      <c r="N600" s="1">
        <v>120000</v>
      </c>
      <c r="O600" s="1">
        <v>2016</v>
      </c>
      <c r="P600" s="1">
        <v>155000</v>
      </c>
      <c r="Q600" s="1">
        <v>2017</v>
      </c>
      <c r="R600" s="1" t="s">
        <v>46</v>
      </c>
      <c r="S600" s="1">
        <v>1</v>
      </c>
      <c r="T600" s="1">
        <v>1</v>
      </c>
      <c r="U600" s="1" t="s">
        <v>3683</v>
      </c>
    </row>
    <row r="601" spans="1:41" ht="17.149999999999999" hidden="1" customHeight="1">
      <c r="A601" s="1" t="s">
        <v>3684</v>
      </c>
      <c r="B601" s="1"/>
      <c r="C601" s="1" t="s">
        <v>3685</v>
      </c>
      <c r="D601" s="1"/>
      <c r="E601" s="1"/>
      <c r="F601" s="1"/>
      <c r="G601" s="1"/>
      <c r="H601" s="1" t="s">
        <v>110</v>
      </c>
      <c r="I601" s="1" t="s">
        <v>46</v>
      </c>
      <c r="J601" s="1" t="s">
        <v>3686</v>
      </c>
      <c r="K601" s="1" t="s">
        <v>3687</v>
      </c>
      <c r="L601" s="1" t="s">
        <v>45</v>
      </c>
      <c r="M601" s="1" t="s">
        <v>46</v>
      </c>
      <c r="N601" s="1">
        <v>150000</v>
      </c>
      <c r="O601" s="1">
        <v>2019</v>
      </c>
      <c r="P601" s="1">
        <v>153012</v>
      </c>
      <c r="Q601" s="1">
        <v>2015</v>
      </c>
      <c r="R601" s="1" t="s">
        <v>46</v>
      </c>
      <c r="S601" s="1">
        <v>1</v>
      </c>
      <c r="T601" s="1">
        <v>1</v>
      </c>
      <c r="U601" s="1" t="s">
        <v>3688</v>
      </c>
    </row>
    <row r="602" spans="1:41" ht="17.149999999999999" hidden="1" customHeight="1">
      <c r="A602" s="1" t="s">
        <v>3689</v>
      </c>
      <c r="B602" s="1"/>
      <c r="C602" s="1" t="s">
        <v>3690</v>
      </c>
      <c r="D602" s="1"/>
      <c r="E602" s="1"/>
      <c r="F602" s="1"/>
      <c r="G602" s="1"/>
      <c r="H602" s="1" t="s">
        <v>177</v>
      </c>
      <c r="I602" s="1" t="s">
        <v>3691</v>
      </c>
      <c r="J602" s="1" t="s">
        <v>3692</v>
      </c>
      <c r="K602" s="1" t="s">
        <v>3693</v>
      </c>
      <c r="L602" s="1" t="s">
        <v>45</v>
      </c>
      <c r="M602" s="1" t="s">
        <v>46</v>
      </c>
      <c r="N602" s="1">
        <v>153000</v>
      </c>
      <c r="O602" s="1">
        <v>2019</v>
      </c>
      <c r="P602" s="1">
        <v>153000</v>
      </c>
      <c r="Q602" s="1">
        <v>2019</v>
      </c>
      <c r="R602" s="1" t="s">
        <v>46</v>
      </c>
      <c r="S602" s="1">
        <v>1</v>
      </c>
      <c r="T602" s="1">
        <v>1</v>
      </c>
      <c r="U602" s="1" t="s">
        <v>1005</v>
      </c>
    </row>
    <row r="603" spans="1:41" ht="17.149999999999999" hidden="1" customHeight="1">
      <c r="A603" s="1" t="s">
        <v>3694</v>
      </c>
      <c r="B603" s="1"/>
      <c r="C603" s="1" t="s">
        <v>3695</v>
      </c>
      <c r="D603" s="1"/>
      <c r="E603" s="1"/>
      <c r="F603" s="1"/>
      <c r="G603" s="1"/>
      <c r="H603" s="1" t="s">
        <v>128</v>
      </c>
      <c r="I603" s="1" t="s">
        <v>908</v>
      </c>
      <c r="J603" s="1" t="s">
        <v>3696</v>
      </c>
      <c r="K603" s="1" t="s">
        <v>3697</v>
      </c>
      <c r="L603" s="1" t="s">
        <v>118</v>
      </c>
      <c r="M603" s="1" t="s">
        <v>3698</v>
      </c>
      <c r="N603" s="1">
        <v>175478</v>
      </c>
      <c r="O603" s="1">
        <v>2015</v>
      </c>
      <c r="P603" s="1">
        <v>152447</v>
      </c>
      <c r="Q603" s="1">
        <v>2015</v>
      </c>
      <c r="R603" s="1" t="s">
        <v>46</v>
      </c>
      <c r="S603" s="1">
        <v>1</v>
      </c>
      <c r="T603" s="1" t="s">
        <v>46</v>
      </c>
      <c r="U603" s="1" t="s">
        <v>3699</v>
      </c>
    </row>
    <row r="604" spans="1:41" ht="17.149999999999999" hidden="1" customHeight="1">
      <c r="A604" s="1" t="s">
        <v>3700</v>
      </c>
      <c r="B604" s="1"/>
      <c r="C604" s="1" t="s">
        <v>3701</v>
      </c>
      <c r="D604" s="1"/>
      <c r="E604" s="1"/>
      <c r="F604" s="1"/>
      <c r="G604" s="1"/>
      <c r="H604" s="1" t="s">
        <v>110</v>
      </c>
      <c r="I604" s="1" t="s">
        <v>46</v>
      </c>
      <c r="J604" s="1" t="s">
        <v>3702</v>
      </c>
      <c r="K604" s="1" t="s">
        <v>3703</v>
      </c>
      <c r="L604" s="1" t="s">
        <v>45</v>
      </c>
      <c r="M604" s="1" t="s">
        <v>46</v>
      </c>
      <c r="N604" s="1">
        <v>152311</v>
      </c>
      <c r="O604" s="1">
        <v>2019</v>
      </c>
      <c r="P604" s="1">
        <v>152311</v>
      </c>
      <c r="Q604" s="1">
        <v>2019</v>
      </c>
      <c r="R604" s="1" t="s">
        <v>46</v>
      </c>
      <c r="S604" s="1">
        <v>1</v>
      </c>
      <c r="T604" s="1">
        <v>1</v>
      </c>
      <c r="U604" s="1" t="s">
        <v>3704</v>
      </c>
    </row>
    <row r="605" spans="1:41" ht="17.149999999999999" hidden="1" customHeight="1">
      <c r="A605" s="1" t="s">
        <v>3705</v>
      </c>
      <c r="B605" s="1"/>
      <c r="C605" s="1" t="s">
        <v>3706</v>
      </c>
      <c r="D605" s="1"/>
      <c r="E605" s="1"/>
      <c r="F605" s="1"/>
      <c r="G605" s="1"/>
      <c r="H605" s="1" t="s">
        <v>1367</v>
      </c>
      <c r="I605" s="1" t="s">
        <v>46</v>
      </c>
      <c r="J605" s="1" t="s">
        <v>3707</v>
      </c>
      <c r="K605" s="1" t="s">
        <v>3708</v>
      </c>
      <c r="L605" s="1" t="s">
        <v>45</v>
      </c>
      <c r="M605" s="1" t="s">
        <v>46</v>
      </c>
      <c r="N605" s="1">
        <v>247982</v>
      </c>
      <c r="O605" s="1">
        <v>2017</v>
      </c>
      <c r="P605" s="1">
        <v>150737</v>
      </c>
      <c r="Q605" s="1">
        <v>2017</v>
      </c>
      <c r="R605" s="1" t="s">
        <v>46</v>
      </c>
      <c r="S605" s="1">
        <v>1</v>
      </c>
      <c r="T605" s="1">
        <v>1</v>
      </c>
      <c r="U605" s="1" t="s">
        <v>3709</v>
      </c>
    </row>
    <row r="606" spans="1:41" ht="17.149999999999999" hidden="1" customHeight="1">
      <c r="A606" s="1" t="s">
        <v>3710</v>
      </c>
      <c r="B606" s="1"/>
      <c r="C606" s="1" t="s">
        <v>3711</v>
      </c>
      <c r="D606" s="1"/>
      <c r="E606" s="1"/>
      <c r="F606" s="1"/>
      <c r="G606" s="1"/>
      <c r="H606" s="1" t="s">
        <v>177</v>
      </c>
      <c r="I606" s="1" t="s">
        <v>345</v>
      </c>
      <c r="J606" s="1" t="s">
        <v>3712</v>
      </c>
      <c r="K606" s="1" t="s">
        <v>3713</v>
      </c>
      <c r="L606" s="1" t="s">
        <v>118</v>
      </c>
      <c r="M606" s="1" t="s">
        <v>3714</v>
      </c>
      <c r="N606" s="1">
        <v>147115</v>
      </c>
      <c r="O606" s="1">
        <v>2017</v>
      </c>
      <c r="P606" s="1">
        <v>150000</v>
      </c>
      <c r="Q606" s="1">
        <v>2017</v>
      </c>
      <c r="R606" s="1" t="s">
        <v>46</v>
      </c>
      <c r="S606" s="1">
        <v>1</v>
      </c>
      <c r="T606" s="1">
        <v>1</v>
      </c>
      <c r="U606" s="1" t="s">
        <v>3715</v>
      </c>
    </row>
    <row r="607" spans="1:41" ht="17.149999999999999" hidden="1" customHeight="1">
      <c r="A607" s="1" t="s">
        <v>3716</v>
      </c>
      <c r="B607" s="1"/>
      <c r="C607" s="1" t="s">
        <v>3717</v>
      </c>
      <c r="D607" s="1"/>
      <c r="E607" s="1"/>
      <c r="F607" s="1"/>
      <c r="G607" s="1"/>
      <c r="H607" s="1" t="s">
        <v>500</v>
      </c>
      <c r="I607" s="1" t="s">
        <v>46</v>
      </c>
      <c r="J607" s="1" t="s">
        <v>3681</v>
      </c>
      <c r="K607" s="1" t="s">
        <v>3718</v>
      </c>
      <c r="L607" s="1" t="s">
        <v>45</v>
      </c>
      <c r="M607" s="1" t="s">
        <v>46</v>
      </c>
      <c r="N607" s="1" t="s">
        <v>46</v>
      </c>
      <c r="O607" s="1" t="s">
        <v>46</v>
      </c>
      <c r="P607" s="1">
        <v>150000</v>
      </c>
      <c r="Q607" s="1">
        <v>2016</v>
      </c>
      <c r="R607" s="1" t="s">
        <v>46</v>
      </c>
      <c r="S607" s="1">
        <v>1</v>
      </c>
      <c r="T607" s="1" t="s">
        <v>46</v>
      </c>
      <c r="U607" s="1" t="s">
        <v>3719</v>
      </c>
    </row>
    <row r="608" spans="1:41" ht="17.149999999999999" hidden="1" customHeight="1">
      <c r="A608" s="1" t="s">
        <v>3720</v>
      </c>
      <c r="B608" s="1"/>
      <c r="C608" s="1" t="s">
        <v>3721</v>
      </c>
      <c r="D608" s="1"/>
      <c r="E608" s="1"/>
      <c r="F608" s="1"/>
      <c r="G608" s="1"/>
      <c r="H608" s="1" t="s">
        <v>177</v>
      </c>
      <c r="I608" s="1" t="s">
        <v>3722</v>
      </c>
      <c r="J608" s="1" t="s">
        <v>3723</v>
      </c>
      <c r="K608" s="1" t="s">
        <v>3724</v>
      </c>
      <c r="L608" s="1" t="s">
        <v>118</v>
      </c>
      <c r="M608" s="1" t="s">
        <v>3296</v>
      </c>
      <c r="N608" s="1">
        <v>150000</v>
      </c>
      <c r="O608" s="1">
        <v>2019</v>
      </c>
      <c r="P608" s="1">
        <v>150000</v>
      </c>
      <c r="Q608" s="1">
        <v>2019</v>
      </c>
      <c r="R608" s="1" t="s">
        <v>46</v>
      </c>
      <c r="S608" s="1">
        <v>1</v>
      </c>
      <c r="T608" s="1">
        <v>1</v>
      </c>
      <c r="U608" s="1" t="s">
        <v>3725</v>
      </c>
    </row>
    <row r="609" spans="1:30" ht="17.149999999999999" hidden="1" customHeight="1">
      <c r="A609" s="1" t="s">
        <v>3726</v>
      </c>
      <c r="B609" s="1"/>
      <c r="C609" s="1" t="s">
        <v>3727</v>
      </c>
      <c r="D609" s="1"/>
      <c r="E609" s="1"/>
      <c r="F609" s="1"/>
      <c r="G609" s="1"/>
      <c r="H609" s="1" t="s">
        <v>249</v>
      </c>
      <c r="I609" s="1" t="s">
        <v>1747</v>
      </c>
      <c r="J609" s="1" t="s">
        <v>3728</v>
      </c>
      <c r="K609" s="1" t="s">
        <v>3729</v>
      </c>
      <c r="L609" s="1" t="s">
        <v>118</v>
      </c>
      <c r="M609" s="1" t="s">
        <v>3730</v>
      </c>
      <c r="N609" s="1" t="s">
        <v>46</v>
      </c>
      <c r="O609" s="1" t="s">
        <v>46</v>
      </c>
      <c r="P609" s="1">
        <v>55982</v>
      </c>
      <c r="Q609" s="1">
        <v>2018</v>
      </c>
      <c r="R609" s="1" t="s">
        <v>46</v>
      </c>
      <c r="S609" s="1">
        <v>1</v>
      </c>
      <c r="T609" s="1" t="s">
        <v>46</v>
      </c>
      <c r="U609" s="1" t="s">
        <v>3731</v>
      </c>
    </row>
    <row r="610" spans="1:30" ht="17.149999999999999" hidden="1" customHeight="1">
      <c r="A610" s="1" t="s">
        <v>3732</v>
      </c>
      <c r="B610" s="1"/>
      <c r="C610" s="1" t="s">
        <v>3733</v>
      </c>
      <c r="D610" s="1"/>
      <c r="E610" s="1"/>
      <c r="F610" s="1"/>
      <c r="G610" s="1"/>
      <c r="H610" s="1" t="s">
        <v>128</v>
      </c>
      <c r="I610" s="1" t="s">
        <v>3513</v>
      </c>
      <c r="J610" s="1" t="s">
        <v>3734</v>
      </c>
      <c r="K610" s="1" t="s">
        <v>3735</v>
      </c>
      <c r="L610" s="1" t="s">
        <v>45</v>
      </c>
      <c r="M610" s="1" t="s">
        <v>46</v>
      </c>
      <c r="N610" s="1">
        <v>158269</v>
      </c>
      <c r="O610" s="1">
        <v>2015</v>
      </c>
      <c r="P610" s="1">
        <v>148773</v>
      </c>
      <c r="Q610" s="1">
        <v>2015</v>
      </c>
      <c r="R610" s="1" t="s">
        <v>46</v>
      </c>
      <c r="S610" s="1">
        <v>1</v>
      </c>
      <c r="T610" s="1">
        <v>1</v>
      </c>
      <c r="U610" s="1" t="s">
        <v>3736</v>
      </c>
    </row>
    <row r="611" spans="1:30" ht="17.149999999999999" hidden="1" customHeight="1">
      <c r="A611" s="1" t="s">
        <v>3737</v>
      </c>
      <c r="B611" s="1"/>
      <c r="C611" s="1" t="s">
        <v>3738</v>
      </c>
      <c r="D611" s="1"/>
      <c r="E611" s="1"/>
      <c r="F611" s="1"/>
      <c r="G611" s="1"/>
      <c r="H611" s="1" t="s">
        <v>313</v>
      </c>
      <c r="I611" s="1" t="s">
        <v>3739</v>
      </c>
      <c r="J611" s="1" t="s">
        <v>314</v>
      </c>
      <c r="K611" s="1" t="s">
        <v>3740</v>
      </c>
      <c r="L611" s="1" t="s">
        <v>45</v>
      </c>
      <c r="M611" s="1" t="s">
        <v>46</v>
      </c>
      <c r="N611" s="1">
        <v>160840</v>
      </c>
      <c r="O611" s="1">
        <v>2023</v>
      </c>
      <c r="P611" s="1">
        <v>146308</v>
      </c>
      <c r="Q611" s="1">
        <v>2023</v>
      </c>
      <c r="R611" s="1" t="s">
        <v>46</v>
      </c>
      <c r="S611" s="1">
        <v>1</v>
      </c>
      <c r="T611" s="1" t="s">
        <v>46</v>
      </c>
      <c r="U611" s="1" t="s">
        <v>3741</v>
      </c>
    </row>
    <row r="612" spans="1:30" ht="17.149999999999999" hidden="1" customHeight="1">
      <c r="A612" s="1" t="s">
        <v>3742</v>
      </c>
      <c r="B612" s="1"/>
      <c r="C612" s="1" t="s">
        <v>3743</v>
      </c>
      <c r="D612" s="1"/>
      <c r="E612" s="1"/>
      <c r="F612" s="1"/>
      <c r="G612" s="1"/>
      <c r="H612" s="1" t="s">
        <v>249</v>
      </c>
      <c r="I612" s="1" t="s">
        <v>2316</v>
      </c>
      <c r="J612" s="1" t="s">
        <v>3744</v>
      </c>
      <c r="K612" s="1" t="s">
        <v>2071</v>
      </c>
      <c r="L612" s="1" t="s">
        <v>45</v>
      </c>
      <c r="M612" s="1" t="s">
        <v>1311</v>
      </c>
      <c r="N612" s="1" t="s">
        <v>46</v>
      </c>
      <c r="O612" s="1" t="s">
        <v>46</v>
      </c>
      <c r="P612" s="1">
        <v>55104</v>
      </c>
      <c r="Q612" s="1">
        <v>2018</v>
      </c>
      <c r="R612" s="1" t="s">
        <v>46</v>
      </c>
      <c r="S612" s="1">
        <v>1</v>
      </c>
      <c r="T612" s="1">
        <v>1</v>
      </c>
      <c r="U612" s="1" t="s">
        <v>3745</v>
      </c>
    </row>
    <row r="613" spans="1:30" ht="17.149999999999999" hidden="1" customHeight="1">
      <c r="A613" s="1" t="s">
        <v>3746</v>
      </c>
      <c r="B613" s="1"/>
      <c r="C613" s="1" t="s">
        <v>3747</v>
      </c>
      <c r="D613" s="1"/>
      <c r="E613" s="1"/>
      <c r="F613" s="1"/>
      <c r="G613" s="1"/>
      <c r="H613" s="1" t="s">
        <v>249</v>
      </c>
      <c r="I613" s="1" t="s">
        <v>2378</v>
      </c>
      <c r="J613" s="1" t="s">
        <v>3748</v>
      </c>
      <c r="K613" s="1" t="s">
        <v>3749</v>
      </c>
      <c r="L613" s="1" t="s">
        <v>45</v>
      </c>
      <c r="M613" s="1" t="s">
        <v>46</v>
      </c>
      <c r="N613" s="1" t="s">
        <v>46</v>
      </c>
      <c r="O613" s="1" t="s">
        <v>46</v>
      </c>
      <c r="P613" s="1">
        <v>54087</v>
      </c>
      <c r="Q613" s="1">
        <v>2018</v>
      </c>
      <c r="R613" s="1" t="s">
        <v>46</v>
      </c>
      <c r="S613" s="1">
        <v>1</v>
      </c>
      <c r="T613" s="1" t="s">
        <v>46</v>
      </c>
      <c r="U613" s="1" t="s">
        <v>3750</v>
      </c>
    </row>
    <row r="614" spans="1:30" ht="17.149999999999999" hidden="1" customHeight="1">
      <c r="A614" s="1" t="s">
        <v>3751</v>
      </c>
      <c r="B614" s="1"/>
      <c r="C614" s="1" t="s">
        <v>3752</v>
      </c>
      <c r="D614" s="1"/>
      <c r="E614" s="1"/>
      <c r="F614" s="1"/>
      <c r="G614" s="1"/>
      <c r="H614" s="1" t="s">
        <v>249</v>
      </c>
      <c r="I614" s="1" t="s">
        <v>46</v>
      </c>
      <c r="J614" s="1" t="s">
        <v>3753</v>
      </c>
      <c r="K614" s="1" t="s">
        <v>3754</v>
      </c>
      <c r="L614" s="1" t="s">
        <v>46</v>
      </c>
      <c r="M614" s="1" t="s">
        <v>1311</v>
      </c>
      <c r="N614" s="1" t="s">
        <v>46</v>
      </c>
      <c r="O614" s="1" t="s">
        <v>46</v>
      </c>
      <c r="P614" s="1">
        <v>53708</v>
      </c>
      <c r="Q614" s="1">
        <v>2015</v>
      </c>
      <c r="R614" s="1" t="s">
        <v>46</v>
      </c>
      <c r="S614" s="1">
        <v>1</v>
      </c>
      <c r="T614" s="1">
        <v>1</v>
      </c>
      <c r="U614" s="1" t="s">
        <v>1005</v>
      </c>
    </row>
    <row r="615" spans="1:30" ht="17.149999999999999" hidden="1" customHeight="1">
      <c r="A615" s="1" t="s">
        <v>3755</v>
      </c>
      <c r="B615" s="1"/>
      <c r="C615" s="1" t="s">
        <v>3756</v>
      </c>
      <c r="D615" s="1"/>
      <c r="E615" s="1"/>
      <c r="F615" s="1"/>
      <c r="G615" s="1"/>
      <c r="H615" s="1" t="s">
        <v>177</v>
      </c>
      <c r="I615" s="1" t="s">
        <v>178</v>
      </c>
      <c r="J615" s="1" t="s">
        <v>3757</v>
      </c>
      <c r="K615" s="1" t="s">
        <v>3758</v>
      </c>
      <c r="L615" s="1" t="s">
        <v>118</v>
      </c>
      <c r="M615" s="1" t="s">
        <v>3759</v>
      </c>
      <c r="N615" s="1">
        <v>145000</v>
      </c>
      <c r="O615" s="1">
        <v>2019</v>
      </c>
      <c r="P615" s="1">
        <v>145000</v>
      </c>
      <c r="Q615" s="1">
        <v>2019</v>
      </c>
      <c r="R615" s="1" t="s">
        <v>46</v>
      </c>
      <c r="S615" s="1">
        <v>1</v>
      </c>
      <c r="T615" s="1">
        <v>1</v>
      </c>
      <c r="U615" s="1" t="s">
        <v>3760</v>
      </c>
    </row>
    <row r="616" spans="1:30" ht="17.149999999999999" hidden="1" customHeight="1">
      <c r="A616" s="1" t="s">
        <v>3761</v>
      </c>
      <c r="B616" s="1"/>
      <c r="C616" s="1" t="s">
        <v>3762</v>
      </c>
      <c r="D616" s="1"/>
      <c r="E616" s="1"/>
      <c r="F616" s="1"/>
      <c r="G616" s="1"/>
      <c r="H616" s="1" t="s">
        <v>177</v>
      </c>
      <c r="I616" s="1" t="s">
        <v>1412</v>
      </c>
      <c r="J616" s="1" t="s">
        <v>3763</v>
      </c>
      <c r="K616" s="1" t="s">
        <v>3764</v>
      </c>
      <c r="L616" s="1" t="s">
        <v>118</v>
      </c>
      <c r="M616" s="1" t="s">
        <v>3765</v>
      </c>
      <c r="N616" s="1">
        <v>177467</v>
      </c>
      <c r="O616" s="1">
        <v>2017</v>
      </c>
      <c r="P616" s="1">
        <v>144606</v>
      </c>
      <c r="Q616" s="1">
        <v>2015</v>
      </c>
      <c r="R616" s="1" t="s">
        <v>46</v>
      </c>
      <c r="S616" s="1">
        <v>1</v>
      </c>
      <c r="T616" s="1">
        <v>1</v>
      </c>
      <c r="U616" s="1" t="s">
        <v>3766</v>
      </c>
    </row>
    <row r="617" spans="1:30" ht="17.149999999999999" hidden="1" customHeight="1">
      <c r="A617" s="1" t="s">
        <v>3767</v>
      </c>
      <c r="B617" s="1"/>
      <c r="C617" s="1" t="s">
        <v>3768</v>
      </c>
      <c r="D617" s="1"/>
      <c r="E617" s="1"/>
      <c r="F617" s="1"/>
      <c r="G617" s="1"/>
      <c r="H617" s="1" t="s">
        <v>674</v>
      </c>
      <c r="I617" s="1" t="s">
        <v>46</v>
      </c>
      <c r="J617" s="1" t="s">
        <v>3769</v>
      </c>
      <c r="K617" s="1" t="s">
        <v>3770</v>
      </c>
      <c r="L617" s="1" t="s">
        <v>45</v>
      </c>
      <c r="M617" s="1" t="s">
        <v>46</v>
      </c>
      <c r="N617" s="1">
        <v>223866</v>
      </c>
      <c r="O617" s="1">
        <v>2016</v>
      </c>
      <c r="P617" s="1">
        <v>143991</v>
      </c>
      <c r="Q617" s="1">
        <v>2016</v>
      </c>
      <c r="R617" s="1" t="s">
        <v>46</v>
      </c>
      <c r="S617" s="1">
        <v>1</v>
      </c>
      <c r="T617" s="1">
        <v>1</v>
      </c>
      <c r="U617" s="1" t="s">
        <v>3771</v>
      </c>
    </row>
    <row r="618" spans="1:30" ht="17.149999999999999" hidden="1" customHeight="1">
      <c r="A618" s="21" t="s">
        <v>3772</v>
      </c>
      <c r="B618" s="21" t="s">
        <v>37</v>
      </c>
      <c r="C618" s="58" t="s">
        <v>3773</v>
      </c>
      <c r="D618" s="61"/>
      <c r="E618" s="61"/>
      <c r="F618" s="61"/>
      <c r="G618" s="61"/>
      <c r="H618" s="21" t="s">
        <v>41</v>
      </c>
      <c r="I618" s="21" t="s">
        <v>1784</v>
      </c>
      <c r="J618" s="21" t="s">
        <v>3774</v>
      </c>
      <c r="K618" s="21" t="s">
        <v>3775</v>
      </c>
      <c r="L618" s="21" t="s">
        <v>151</v>
      </c>
      <c r="M618" s="21" t="s">
        <v>3776</v>
      </c>
      <c r="N618" s="21" t="s">
        <v>46</v>
      </c>
      <c r="O618" s="21" t="s">
        <v>46</v>
      </c>
      <c r="P618" s="21">
        <v>143600</v>
      </c>
      <c r="Q618" s="21">
        <v>2016</v>
      </c>
      <c r="R618" s="21" t="s">
        <v>46</v>
      </c>
      <c r="S618" s="21">
        <v>1</v>
      </c>
      <c r="T618" s="21">
        <v>1</v>
      </c>
      <c r="U618" s="21" t="s">
        <v>3777</v>
      </c>
      <c r="V618" s="22"/>
      <c r="W618" s="22"/>
      <c r="X618" s="22"/>
      <c r="Y618" s="22"/>
      <c r="Z618" s="22"/>
      <c r="AA618" s="22" t="s">
        <v>3778</v>
      </c>
      <c r="AB618" s="22"/>
      <c r="AC618" s="22"/>
      <c r="AD618" s="22"/>
    </row>
    <row r="619" spans="1:30" ht="17.149999999999999" hidden="1" customHeight="1">
      <c r="A619" s="1" t="s">
        <v>3779</v>
      </c>
      <c r="B619" s="1"/>
      <c r="C619" s="1" t="s">
        <v>3780</v>
      </c>
      <c r="D619" s="1"/>
      <c r="E619" s="1"/>
      <c r="F619" s="1"/>
      <c r="G619" s="1"/>
      <c r="H619" s="1" t="s">
        <v>1367</v>
      </c>
      <c r="I619" s="1" t="s">
        <v>46</v>
      </c>
      <c r="J619" s="1" t="s">
        <v>3781</v>
      </c>
      <c r="K619" s="1" t="s">
        <v>3782</v>
      </c>
      <c r="L619" s="1" t="s">
        <v>45</v>
      </c>
      <c r="M619" s="1" t="s">
        <v>46</v>
      </c>
      <c r="N619" s="1">
        <v>220965</v>
      </c>
      <c r="O619" s="1">
        <v>2017</v>
      </c>
      <c r="P619" s="1">
        <v>143369</v>
      </c>
      <c r="Q619" s="1">
        <v>2017</v>
      </c>
      <c r="R619" s="1" t="s">
        <v>46</v>
      </c>
      <c r="S619" s="1">
        <v>1</v>
      </c>
      <c r="T619" s="1">
        <v>1</v>
      </c>
      <c r="U619" s="1" t="s">
        <v>3783</v>
      </c>
    </row>
    <row r="620" spans="1:30" ht="17.149999999999999" hidden="1" customHeight="1">
      <c r="A620" s="1" t="s">
        <v>3784</v>
      </c>
      <c r="B620" s="1"/>
      <c r="C620" s="1" t="s">
        <v>3785</v>
      </c>
      <c r="D620" s="1"/>
      <c r="E620" s="1"/>
      <c r="F620" s="1"/>
      <c r="G620" s="1"/>
      <c r="H620" s="1" t="s">
        <v>249</v>
      </c>
      <c r="I620" s="1" t="s">
        <v>2987</v>
      </c>
      <c r="J620" s="1" t="s">
        <v>3786</v>
      </c>
      <c r="K620" s="1" t="s">
        <v>3787</v>
      </c>
      <c r="L620" s="1" t="s">
        <v>45</v>
      </c>
      <c r="M620" s="1" t="s">
        <v>46</v>
      </c>
      <c r="N620" s="1" t="s">
        <v>46</v>
      </c>
      <c r="O620" s="1" t="s">
        <v>46</v>
      </c>
      <c r="P620" s="1">
        <v>53227</v>
      </c>
      <c r="Q620" s="1">
        <v>2018</v>
      </c>
      <c r="R620" s="1" t="s">
        <v>46</v>
      </c>
      <c r="S620" s="1">
        <v>1</v>
      </c>
      <c r="T620" s="1" t="s">
        <v>46</v>
      </c>
      <c r="U620" s="1" t="s">
        <v>3788</v>
      </c>
    </row>
    <row r="621" spans="1:30" ht="17.149999999999999" hidden="1" customHeight="1">
      <c r="A621" s="1" t="s">
        <v>3789</v>
      </c>
      <c r="B621" s="1"/>
      <c r="C621" s="1" t="s">
        <v>3790</v>
      </c>
      <c r="D621" s="1"/>
      <c r="E621" s="1"/>
      <c r="F621" s="1"/>
      <c r="G621" s="1"/>
      <c r="H621" s="1" t="s">
        <v>249</v>
      </c>
      <c r="I621" s="1" t="s">
        <v>3791</v>
      </c>
      <c r="J621" s="1" t="s">
        <v>3792</v>
      </c>
      <c r="K621" s="1" t="s">
        <v>3793</v>
      </c>
      <c r="L621" s="1" t="s">
        <v>45</v>
      </c>
      <c r="M621" s="1" t="s">
        <v>46</v>
      </c>
      <c r="N621" s="1" t="s">
        <v>46</v>
      </c>
      <c r="O621" s="1" t="s">
        <v>46</v>
      </c>
      <c r="P621" s="1">
        <v>52394</v>
      </c>
      <c r="Q621" s="1">
        <v>2018</v>
      </c>
      <c r="R621" s="1" t="s">
        <v>46</v>
      </c>
      <c r="S621" s="1">
        <v>1</v>
      </c>
      <c r="T621" s="1">
        <v>1</v>
      </c>
      <c r="U621" s="1" t="s">
        <v>3794</v>
      </c>
    </row>
    <row r="622" spans="1:30" ht="17.149999999999999" hidden="1" customHeight="1">
      <c r="A622" s="1" t="s">
        <v>3795</v>
      </c>
      <c r="B622" s="1"/>
      <c r="C622" s="1" t="s">
        <v>3796</v>
      </c>
      <c r="D622" s="1"/>
      <c r="E622" s="1"/>
      <c r="F622" s="1"/>
      <c r="G622" s="1"/>
      <c r="H622" s="1" t="s">
        <v>110</v>
      </c>
      <c r="I622" s="1" t="s">
        <v>46</v>
      </c>
      <c r="J622" s="1" t="s">
        <v>3797</v>
      </c>
      <c r="K622" s="1" t="s">
        <v>3798</v>
      </c>
      <c r="L622" s="1" t="s">
        <v>45</v>
      </c>
      <c r="M622" s="1" t="s">
        <v>46</v>
      </c>
      <c r="N622" s="1">
        <v>150000</v>
      </c>
      <c r="O622" s="1">
        <v>2019</v>
      </c>
      <c r="P622" s="1">
        <v>142752</v>
      </c>
      <c r="Q622" s="1">
        <v>2015</v>
      </c>
      <c r="R622" s="1" t="s">
        <v>46</v>
      </c>
      <c r="S622" s="1">
        <v>1</v>
      </c>
      <c r="T622" s="1">
        <v>1</v>
      </c>
      <c r="U622" s="1" t="s">
        <v>3799</v>
      </c>
    </row>
    <row r="623" spans="1:30" ht="17.149999999999999" hidden="1" customHeight="1">
      <c r="A623" s="1" t="s">
        <v>3800</v>
      </c>
      <c r="B623" s="1"/>
      <c r="C623" s="1" t="s">
        <v>3801</v>
      </c>
      <c r="D623" s="1"/>
      <c r="E623" s="1"/>
      <c r="F623" s="1"/>
      <c r="G623" s="1"/>
      <c r="H623" s="1" t="s">
        <v>110</v>
      </c>
      <c r="I623" s="1" t="s">
        <v>46</v>
      </c>
      <c r="J623" s="1" t="s">
        <v>3802</v>
      </c>
      <c r="K623" s="1" t="s">
        <v>3803</v>
      </c>
      <c r="L623" s="1" t="s">
        <v>45</v>
      </c>
      <c r="M623" s="1" t="s">
        <v>46</v>
      </c>
      <c r="N623" s="1">
        <v>142407</v>
      </c>
      <c r="O623" s="1">
        <v>2019</v>
      </c>
      <c r="P623" s="1">
        <v>142407</v>
      </c>
      <c r="Q623" s="1">
        <v>2015</v>
      </c>
      <c r="R623" s="1" t="s">
        <v>46</v>
      </c>
      <c r="S623" s="1">
        <v>1</v>
      </c>
      <c r="T623" s="1">
        <v>1</v>
      </c>
      <c r="U623" s="1" t="s">
        <v>3804</v>
      </c>
    </row>
    <row r="624" spans="1:30" ht="17.149999999999999" hidden="1" customHeight="1">
      <c r="A624" s="1" t="s">
        <v>3805</v>
      </c>
      <c r="B624" s="1"/>
      <c r="C624" s="1" t="s">
        <v>3806</v>
      </c>
      <c r="D624" s="1"/>
      <c r="E624" s="1"/>
      <c r="F624" s="1"/>
      <c r="G624" s="1"/>
      <c r="H624" s="1" t="s">
        <v>128</v>
      </c>
      <c r="I624" s="1" t="s">
        <v>926</v>
      </c>
      <c r="J624" s="1" t="s">
        <v>3807</v>
      </c>
      <c r="K624" s="1" t="s">
        <v>3194</v>
      </c>
      <c r="L624" s="1" t="s">
        <v>45</v>
      </c>
      <c r="M624" s="1" t="s">
        <v>46</v>
      </c>
      <c r="N624" s="1">
        <v>144404</v>
      </c>
      <c r="O624" s="1">
        <v>2015</v>
      </c>
      <c r="P624" s="1">
        <v>141659</v>
      </c>
      <c r="Q624" s="1">
        <v>2015</v>
      </c>
      <c r="R624" s="1" t="s">
        <v>46</v>
      </c>
      <c r="S624" s="1">
        <v>1</v>
      </c>
      <c r="T624" s="1">
        <v>1</v>
      </c>
      <c r="U624" s="1" t="s">
        <v>3195</v>
      </c>
    </row>
    <row r="625" spans="1:36" ht="17.149999999999999" hidden="1" customHeight="1">
      <c r="A625" s="1" t="s">
        <v>3808</v>
      </c>
      <c r="B625" s="1"/>
      <c r="C625" s="1" t="s">
        <v>3809</v>
      </c>
      <c r="D625" s="1"/>
      <c r="E625" s="1"/>
      <c r="F625" s="1"/>
      <c r="G625" s="1"/>
      <c r="H625" s="1" t="s">
        <v>249</v>
      </c>
      <c r="I625" s="1" t="s">
        <v>3810</v>
      </c>
      <c r="J625" s="1" t="s">
        <v>3811</v>
      </c>
      <c r="K625" s="1" t="s">
        <v>3812</v>
      </c>
      <c r="L625" s="1" t="s">
        <v>45</v>
      </c>
      <c r="M625" s="1" t="s">
        <v>46</v>
      </c>
      <c r="N625" s="1" t="s">
        <v>46</v>
      </c>
      <c r="O625" s="1" t="s">
        <v>46</v>
      </c>
      <c r="P625" s="1">
        <v>51975</v>
      </c>
      <c r="Q625" s="1">
        <v>2018</v>
      </c>
      <c r="R625" s="1" t="s">
        <v>46</v>
      </c>
      <c r="S625" s="1">
        <v>1</v>
      </c>
      <c r="T625" s="1" t="s">
        <v>46</v>
      </c>
      <c r="U625" s="1" t="s">
        <v>3813</v>
      </c>
    </row>
    <row r="626" spans="1:36" ht="17.149999999999999" hidden="1" customHeight="1">
      <c r="A626" s="1" t="s">
        <v>3814</v>
      </c>
      <c r="B626" s="1"/>
      <c r="C626" s="1" t="s">
        <v>3815</v>
      </c>
      <c r="D626" s="1"/>
      <c r="E626" s="1"/>
      <c r="F626" s="1"/>
      <c r="G626" s="1"/>
      <c r="H626" s="1" t="s">
        <v>1367</v>
      </c>
      <c r="I626" s="1" t="s">
        <v>46</v>
      </c>
      <c r="J626" s="1" t="s">
        <v>3816</v>
      </c>
      <c r="K626" s="1" t="s">
        <v>3817</v>
      </c>
      <c r="L626" s="1" t="s">
        <v>45</v>
      </c>
      <c r="M626" s="1" t="s">
        <v>46</v>
      </c>
      <c r="N626" s="1">
        <v>208656</v>
      </c>
      <c r="O626" s="1">
        <v>2017</v>
      </c>
      <c r="P626" s="1">
        <v>141244</v>
      </c>
      <c r="Q626" s="1">
        <v>2017</v>
      </c>
      <c r="R626" s="1" t="s">
        <v>46</v>
      </c>
      <c r="S626" s="1">
        <v>1</v>
      </c>
      <c r="T626" s="1">
        <v>1</v>
      </c>
      <c r="U626" s="1" t="s">
        <v>3818</v>
      </c>
    </row>
    <row r="627" spans="1:36" ht="17.149999999999999" hidden="1" customHeight="1">
      <c r="A627" s="1" t="s">
        <v>3819</v>
      </c>
      <c r="B627" s="1"/>
      <c r="C627" s="1" t="s">
        <v>3820</v>
      </c>
      <c r="D627" s="1"/>
      <c r="E627" s="1"/>
      <c r="F627" s="1"/>
      <c r="G627" s="1"/>
      <c r="H627" s="1" t="s">
        <v>128</v>
      </c>
      <c r="I627" s="1" t="s">
        <v>908</v>
      </c>
      <c r="J627" s="1" t="s">
        <v>3821</v>
      </c>
      <c r="K627" s="1" t="s">
        <v>3822</v>
      </c>
      <c r="L627" s="1" t="s">
        <v>118</v>
      </c>
      <c r="M627" s="1" t="s">
        <v>3823</v>
      </c>
      <c r="N627" s="1">
        <v>168027</v>
      </c>
      <c r="O627" s="1">
        <v>2015</v>
      </c>
      <c r="P627" s="1">
        <v>141143</v>
      </c>
      <c r="Q627" s="1">
        <v>2015</v>
      </c>
      <c r="R627" s="1" t="s">
        <v>46</v>
      </c>
      <c r="S627" s="1">
        <v>1</v>
      </c>
      <c r="T627" s="1" t="s">
        <v>46</v>
      </c>
      <c r="U627" s="1" t="s">
        <v>3824</v>
      </c>
    </row>
    <row r="628" spans="1:36" ht="17.149999999999999" hidden="1" customHeight="1">
      <c r="A628" s="1" t="s">
        <v>3825</v>
      </c>
      <c r="B628" s="1"/>
      <c r="C628" s="1" t="s">
        <v>3826</v>
      </c>
      <c r="D628" s="1"/>
      <c r="E628" s="1"/>
      <c r="F628" s="1"/>
      <c r="G628" s="1"/>
      <c r="H628" s="1" t="s">
        <v>110</v>
      </c>
      <c r="I628" s="1" t="s">
        <v>46</v>
      </c>
      <c r="J628" s="1" t="s">
        <v>3827</v>
      </c>
      <c r="K628" s="1" t="s">
        <v>3828</v>
      </c>
      <c r="L628" s="1" t="s">
        <v>45</v>
      </c>
      <c r="M628" s="1" t="s">
        <v>46</v>
      </c>
      <c r="N628" s="1">
        <v>140077</v>
      </c>
      <c r="O628" s="1">
        <v>2015</v>
      </c>
      <c r="P628" s="1">
        <v>140077</v>
      </c>
      <c r="Q628" s="1">
        <v>2015</v>
      </c>
      <c r="R628" s="1" t="s">
        <v>46</v>
      </c>
      <c r="S628" s="1">
        <v>1</v>
      </c>
      <c r="T628" s="1">
        <v>1</v>
      </c>
      <c r="U628" s="1" t="s">
        <v>3829</v>
      </c>
    </row>
    <row r="629" spans="1:36" ht="17.149999999999999" hidden="1" customHeight="1">
      <c r="A629" s="21" t="s">
        <v>3830</v>
      </c>
      <c r="B629" s="21" t="s">
        <v>37</v>
      </c>
      <c r="C629" s="58" t="s">
        <v>3831</v>
      </c>
      <c r="D629" s="61"/>
      <c r="E629" s="61"/>
      <c r="F629" s="61"/>
      <c r="G629" s="61"/>
      <c r="H629" s="21" t="s">
        <v>41</v>
      </c>
      <c r="I629" s="21" t="s">
        <v>63</v>
      </c>
      <c r="J629" s="21" t="s">
        <v>3832</v>
      </c>
      <c r="K629" s="21" t="s">
        <v>3833</v>
      </c>
      <c r="L629" s="21" t="s">
        <v>151</v>
      </c>
      <c r="M629" s="21" t="s">
        <v>3834</v>
      </c>
      <c r="N629" s="21">
        <v>140000</v>
      </c>
      <c r="O629" s="21">
        <v>2015</v>
      </c>
      <c r="P629" s="21">
        <v>140000</v>
      </c>
      <c r="Q629" s="21">
        <v>2015</v>
      </c>
      <c r="R629" s="21" t="s">
        <v>46</v>
      </c>
      <c r="S629" s="21">
        <v>1</v>
      </c>
      <c r="T629" s="21">
        <v>1</v>
      </c>
      <c r="U629" s="21" t="s">
        <v>3835</v>
      </c>
      <c r="V629" s="22" t="s">
        <v>103</v>
      </c>
      <c r="W629" s="22"/>
      <c r="X629" s="22"/>
      <c r="Y629" s="22"/>
      <c r="Z629" s="22"/>
      <c r="AA629" s="22" t="s">
        <v>3836</v>
      </c>
      <c r="AB629" s="22"/>
      <c r="AC629" s="22"/>
      <c r="AD629" s="22"/>
    </row>
    <row r="630" spans="1:36" ht="17.149999999999999" hidden="1" customHeight="1">
      <c r="A630" s="1" t="s">
        <v>3837</v>
      </c>
      <c r="B630" s="1"/>
      <c r="C630" s="1" t="s">
        <v>3838</v>
      </c>
      <c r="D630" s="1"/>
      <c r="E630" s="1"/>
      <c r="F630" s="1"/>
      <c r="G630" s="1"/>
      <c r="H630" s="1" t="s">
        <v>567</v>
      </c>
      <c r="I630" s="1" t="s">
        <v>46</v>
      </c>
      <c r="J630" s="1" t="s">
        <v>3839</v>
      </c>
      <c r="K630" s="1" t="s">
        <v>3840</v>
      </c>
      <c r="L630" s="1" t="s">
        <v>45</v>
      </c>
      <c r="M630" s="1" t="s">
        <v>46</v>
      </c>
      <c r="N630" s="1" t="s">
        <v>46</v>
      </c>
      <c r="O630" s="1" t="s">
        <v>46</v>
      </c>
      <c r="P630" s="1">
        <v>140000</v>
      </c>
      <c r="Q630" s="1">
        <v>2015</v>
      </c>
      <c r="R630" s="1" t="s">
        <v>46</v>
      </c>
      <c r="S630" s="1">
        <v>1</v>
      </c>
      <c r="T630" s="1">
        <v>1</v>
      </c>
      <c r="U630" s="1" t="s">
        <v>3841</v>
      </c>
    </row>
    <row r="631" spans="1:36" ht="17.149999999999999" hidden="1" customHeight="1">
      <c r="A631" s="1" t="s">
        <v>3842</v>
      </c>
      <c r="B631" s="1"/>
      <c r="C631" s="1" t="s">
        <v>3843</v>
      </c>
      <c r="D631" s="1"/>
      <c r="E631" s="1"/>
      <c r="F631" s="1"/>
      <c r="G631" s="1"/>
      <c r="H631" s="1" t="s">
        <v>506</v>
      </c>
      <c r="I631" s="1" t="s">
        <v>46</v>
      </c>
      <c r="J631" s="1" t="s">
        <v>3844</v>
      </c>
      <c r="K631" s="1" t="s">
        <v>3845</v>
      </c>
      <c r="L631" s="1" t="s">
        <v>45</v>
      </c>
      <c r="M631" s="1" t="s">
        <v>46</v>
      </c>
      <c r="N631" s="1">
        <v>115000</v>
      </c>
      <c r="O631" s="1">
        <v>2016</v>
      </c>
      <c r="P631" s="1">
        <v>140000</v>
      </c>
      <c r="Q631" s="1">
        <v>2016</v>
      </c>
      <c r="R631" s="1" t="s">
        <v>46</v>
      </c>
      <c r="S631" s="1">
        <v>1</v>
      </c>
      <c r="T631" s="1">
        <v>1</v>
      </c>
      <c r="U631" s="1" t="s">
        <v>3846</v>
      </c>
    </row>
    <row r="632" spans="1:36" ht="17.149999999999999" hidden="1" customHeight="1">
      <c r="A632" s="1" t="s">
        <v>3847</v>
      </c>
      <c r="B632" s="1"/>
      <c r="C632" s="1" t="s">
        <v>3848</v>
      </c>
      <c r="D632" s="1"/>
      <c r="E632" s="1"/>
      <c r="F632" s="1"/>
      <c r="G632" s="1"/>
      <c r="H632" s="1" t="s">
        <v>506</v>
      </c>
      <c r="I632" s="1" t="s">
        <v>46</v>
      </c>
      <c r="J632" s="1" t="s">
        <v>3849</v>
      </c>
      <c r="K632" s="1" t="s">
        <v>3850</v>
      </c>
      <c r="L632" s="1" t="s">
        <v>45</v>
      </c>
      <c r="M632" s="1" t="s">
        <v>46</v>
      </c>
      <c r="N632" s="1">
        <v>150000</v>
      </c>
      <c r="O632" s="1">
        <v>2018</v>
      </c>
      <c r="P632" s="1">
        <v>140000</v>
      </c>
      <c r="Q632" s="1">
        <v>2016</v>
      </c>
      <c r="R632" s="1" t="s">
        <v>46</v>
      </c>
      <c r="S632" s="1">
        <v>1</v>
      </c>
      <c r="T632" s="1">
        <v>1</v>
      </c>
      <c r="U632" s="1" t="s">
        <v>3851</v>
      </c>
    </row>
    <row r="633" spans="1:36" ht="17.149999999999999" customHeight="1">
      <c r="A633" s="14" t="s">
        <v>3852</v>
      </c>
      <c r="B633" s="14" t="s">
        <v>37</v>
      </c>
      <c r="C633" s="56" t="s">
        <v>3853</v>
      </c>
      <c r="D633" s="144" t="s">
        <v>3853</v>
      </c>
      <c r="E633" s="17" t="s">
        <v>3854</v>
      </c>
      <c r="F633" s="17" t="s">
        <v>62</v>
      </c>
      <c r="G633" s="61" t="s">
        <v>40</v>
      </c>
      <c r="H633" s="14" t="s">
        <v>41</v>
      </c>
      <c r="I633" s="14" t="s">
        <v>592</v>
      </c>
      <c r="J633" s="14" t="s">
        <v>3855</v>
      </c>
      <c r="K633" s="14" t="s">
        <v>3856</v>
      </c>
      <c r="L633" s="14" t="s">
        <v>45</v>
      </c>
      <c r="M633" s="14" t="s">
        <v>46</v>
      </c>
      <c r="N633" s="14" t="s">
        <v>46</v>
      </c>
      <c r="O633" s="14" t="s">
        <v>46</v>
      </c>
      <c r="P633" s="16">
        <v>125429</v>
      </c>
      <c r="Q633" s="16">
        <v>2025</v>
      </c>
      <c r="R633" s="14" t="s">
        <v>46</v>
      </c>
      <c r="S633" s="14">
        <v>1</v>
      </c>
      <c r="T633" s="14">
        <v>1</v>
      </c>
      <c r="U633" s="14" t="s">
        <v>3857</v>
      </c>
      <c r="V633" s="6" t="s">
        <v>40</v>
      </c>
      <c r="W633" s="6" t="s">
        <v>78</v>
      </c>
      <c r="X633" s="6" t="s">
        <v>40</v>
      </c>
      <c r="Y633" s="6"/>
      <c r="Z633" s="6" t="s">
        <v>3858</v>
      </c>
      <c r="AA633" s="6" t="s">
        <v>3859</v>
      </c>
      <c r="AB633" s="6"/>
      <c r="AC633" s="6" t="s">
        <v>3860</v>
      </c>
      <c r="AD633" s="6" t="s">
        <v>40</v>
      </c>
      <c r="AE633" s="2">
        <v>1</v>
      </c>
      <c r="AF633" s="2" t="s">
        <v>53</v>
      </c>
      <c r="AH633" s="2" t="s">
        <v>55</v>
      </c>
      <c r="AJ633" s="2" t="s">
        <v>57</v>
      </c>
    </row>
    <row r="634" spans="1:36" ht="17.149999999999999" hidden="1" customHeight="1">
      <c r="A634" s="1" t="s">
        <v>3861</v>
      </c>
      <c r="B634" s="1"/>
      <c r="C634" s="1" t="s">
        <v>3862</v>
      </c>
      <c r="D634" s="1"/>
      <c r="E634" s="1"/>
      <c r="F634" s="1"/>
      <c r="G634" s="1"/>
      <c r="H634" s="1" t="s">
        <v>249</v>
      </c>
      <c r="I634" s="1" t="s">
        <v>3863</v>
      </c>
      <c r="J634" s="1" t="s">
        <v>3864</v>
      </c>
      <c r="K634" s="1" t="s">
        <v>3865</v>
      </c>
      <c r="L634" s="1" t="s">
        <v>45</v>
      </c>
      <c r="M634" s="1" t="s">
        <v>46</v>
      </c>
      <c r="N634" s="1" t="s">
        <v>46</v>
      </c>
      <c r="O634" s="1" t="s">
        <v>46</v>
      </c>
      <c r="P634" s="1">
        <v>51068</v>
      </c>
      <c r="Q634" s="1">
        <v>2018</v>
      </c>
      <c r="R634" s="1" t="s">
        <v>46</v>
      </c>
      <c r="S634" s="1">
        <v>1</v>
      </c>
      <c r="T634" s="1" t="s">
        <v>46</v>
      </c>
      <c r="U634" s="1" t="s">
        <v>3866</v>
      </c>
    </row>
    <row r="635" spans="1:36" ht="17.149999999999999" hidden="1" customHeight="1">
      <c r="A635" s="1" t="s">
        <v>3867</v>
      </c>
      <c r="B635" s="1"/>
      <c r="C635" s="1" t="s">
        <v>3868</v>
      </c>
      <c r="D635" s="1"/>
      <c r="E635" s="1"/>
      <c r="F635" s="1"/>
      <c r="G635" s="1"/>
      <c r="H635" s="1" t="s">
        <v>1279</v>
      </c>
      <c r="I635" s="1" t="s">
        <v>46</v>
      </c>
      <c r="J635" s="1" t="s">
        <v>3869</v>
      </c>
      <c r="K635" s="1" t="s">
        <v>3870</v>
      </c>
      <c r="L635" s="1" t="s">
        <v>45</v>
      </c>
      <c r="M635" s="1" t="s">
        <v>46</v>
      </c>
      <c r="N635" s="1">
        <v>139000</v>
      </c>
      <c r="O635" s="1">
        <v>2019</v>
      </c>
      <c r="P635" s="1">
        <v>139000</v>
      </c>
      <c r="Q635" s="1">
        <v>2019</v>
      </c>
      <c r="R635" s="1" t="s">
        <v>46</v>
      </c>
      <c r="S635" s="1">
        <v>1</v>
      </c>
      <c r="T635" s="1">
        <v>1</v>
      </c>
      <c r="U635" s="1" t="s">
        <v>3871</v>
      </c>
    </row>
    <row r="636" spans="1:36" s="42" customFormat="1" ht="17.149999999999999" hidden="1" customHeight="1">
      <c r="A636" s="1" t="s">
        <v>3872</v>
      </c>
      <c r="B636" s="1"/>
      <c r="C636" s="1" t="s">
        <v>3873</v>
      </c>
      <c r="D636" s="1"/>
      <c r="E636" s="1"/>
      <c r="F636" s="1"/>
      <c r="G636" s="1"/>
      <c r="H636" s="1" t="s">
        <v>500</v>
      </c>
      <c r="I636" s="1" t="s">
        <v>46</v>
      </c>
      <c r="J636" s="1" t="s">
        <v>3874</v>
      </c>
      <c r="K636" s="1" t="s">
        <v>3875</v>
      </c>
      <c r="L636" s="1" t="s">
        <v>45</v>
      </c>
      <c r="M636" s="1" t="s">
        <v>46</v>
      </c>
      <c r="N636" s="1">
        <v>141520</v>
      </c>
      <c r="O636" s="1">
        <v>2016</v>
      </c>
      <c r="P636" s="1">
        <v>138920</v>
      </c>
      <c r="Q636" s="1">
        <v>2016</v>
      </c>
      <c r="R636" s="1" t="s">
        <v>46</v>
      </c>
      <c r="S636" s="1">
        <v>1</v>
      </c>
      <c r="T636" s="1">
        <v>1</v>
      </c>
      <c r="U636" s="1" t="s">
        <v>3876</v>
      </c>
      <c r="V636" s="2"/>
      <c r="W636" s="2"/>
      <c r="X636" s="2"/>
      <c r="Y636" s="2"/>
      <c r="Z636" s="2"/>
      <c r="AA636" s="2"/>
      <c r="AB636" s="2"/>
      <c r="AC636" s="2"/>
      <c r="AD636" s="2"/>
      <c r="AE636" s="2"/>
      <c r="AF636" s="2"/>
      <c r="AG636" s="2"/>
      <c r="AH636" s="2"/>
      <c r="AI636" s="2"/>
      <c r="AJ636" s="2"/>
    </row>
    <row r="637" spans="1:36" ht="17.149999999999999" hidden="1" customHeight="1">
      <c r="A637" s="1" t="s">
        <v>3877</v>
      </c>
      <c r="B637" s="1"/>
      <c r="C637" s="1" t="s">
        <v>3878</v>
      </c>
      <c r="D637" s="1"/>
      <c r="E637" s="1"/>
      <c r="F637" s="1"/>
      <c r="G637" s="1"/>
      <c r="H637" s="1" t="s">
        <v>249</v>
      </c>
      <c r="I637" s="1" t="s">
        <v>46</v>
      </c>
      <c r="J637" s="1" t="s">
        <v>3879</v>
      </c>
      <c r="K637" s="1" t="s">
        <v>3880</v>
      </c>
      <c r="L637" s="1" t="s">
        <v>46</v>
      </c>
      <c r="M637" s="1" t="s">
        <v>1566</v>
      </c>
      <c r="N637" s="1" t="s">
        <v>46</v>
      </c>
      <c r="O637" s="1" t="s">
        <v>46</v>
      </c>
      <c r="P637" s="1">
        <v>50681</v>
      </c>
      <c r="Q637" s="1">
        <v>2015</v>
      </c>
      <c r="R637" s="1" t="s">
        <v>46</v>
      </c>
      <c r="S637" s="1">
        <v>1</v>
      </c>
      <c r="T637" s="1">
        <v>1</v>
      </c>
      <c r="U637" s="1" t="s">
        <v>1005</v>
      </c>
    </row>
    <row r="638" spans="1:36" ht="17.149999999999999" hidden="1" customHeight="1">
      <c r="A638" s="1" t="s">
        <v>3881</v>
      </c>
      <c r="B638" s="1"/>
      <c r="C638" s="1" t="s">
        <v>3882</v>
      </c>
      <c r="D638" s="1"/>
      <c r="E638" s="1"/>
      <c r="F638" s="1"/>
      <c r="G638" s="1"/>
      <c r="H638" s="1" t="s">
        <v>249</v>
      </c>
      <c r="I638" s="1" t="s">
        <v>46</v>
      </c>
      <c r="J638" s="1" t="s">
        <v>3883</v>
      </c>
      <c r="K638" s="1" t="s">
        <v>3884</v>
      </c>
      <c r="L638" s="1" t="s">
        <v>46</v>
      </c>
      <c r="M638" s="1" t="s">
        <v>1566</v>
      </c>
      <c r="N638" s="1" t="s">
        <v>46</v>
      </c>
      <c r="O638" s="1" t="s">
        <v>46</v>
      </c>
      <c r="P638" s="1">
        <v>50206</v>
      </c>
      <c r="Q638" s="1">
        <v>2015</v>
      </c>
      <c r="R638" s="1" t="s">
        <v>46</v>
      </c>
      <c r="S638" s="1">
        <v>1</v>
      </c>
      <c r="T638" s="1">
        <v>1</v>
      </c>
      <c r="U638" s="1" t="s">
        <v>1005</v>
      </c>
    </row>
    <row r="639" spans="1:36" ht="17.149999999999999" hidden="1" customHeight="1">
      <c r="A639" s="1" t="s">
        <v>3885</v>
      </c>
      <c r="B639" s="1"/>
      <c r="C639" s="1" t="s">
        <v>3886</v>
      </c>
      <c r="D639" s="1"/>
      <c r="E639" s="1"/>
      <c r="F639" s="1"/>
      <c r="G639" s="1"/>
      <c r="H639" s="1" t="s">
        <v>1279</v>
      </c>
      <c r="I639" s="1" t="s">
        <v>46</v>
      </c>
      <c r="J639" s="1" t="s">
        <v>3887</v>
      </c>
      <c r="K639" s="1" t="s">
        <v>3888</v>
      </c>
      <c r="L639" s="1" t="s">
        <v>45</v>
      </c>
      <c r="M639" s="1" t="s">
        <v>46</v>
      </c>
      <c r="N639" s="1">
        <v>144915</v>
      </c>
      <c r="O639" s="1">
        <v>2015</v>
      </c>
      <c r="P639" s="1">
        <v>137059</v>
      </c>
      <c r="Q639" s="1">
        <v>2015</v>
      </c>
      <c r="R639" s="1" t="s">
        <v>46</v>
      </c>
      <c r="S639" s="1">
        <v>1</v>
      </c>
      <c r="T639" s="1">
        <v>1</v>
      </c>
      <c r="U639" s="1" t="s">
        <v>3889</v>
      </c>
    </row>
    <row r="640" spans="1:36" ht="17.149999999999999" hidden="1" customHeight="1">
      <c r="A640" s="1" t="s">
        <v>3890</v>
      </c>
      <c r="B640" s="1"/>
      <c r="C640" s="1" t="s">
        <v>3891</v>
      </c>
      <c r="D640" s="1"/>
      <c r="E640" s="1"/>
      <c r="F640" s="1"/>
      <c r="G640" s="1"/>
      <c r="H640" s="1" t="s">
        <v>110</v>
      </c>
      <c r="I640" s="1" t="s">
        <v>46</v>
      </c>
      <c r="J640" s="1" t="s">
        <v>3892</v>
      </c>
      <c r="K640" s="1" t="s">
        <v>3893</v>
      </c>
      <c r="L640" s="1" t="s">
        <v>45</v>
      </c>
      <c r="M640" s="1" t="s">
        <v>46</v>
      </c>
      <c r="N640" s="1">
        <v>137000</v>
      </c>
      <c r="O640" s="1">
        <v>2019</v>
      </c>
      <c r="P640" s="1">
        <v>137000</v>
      </c>
      <c r="Q640" s="1">
        <v>2019</v>
      </c>
      <c r="R640" s="1" t="s">
        <v>46</v>
      </c>
      <c r="S640" s="1">
        <v>1</v>
      </c>
      <c r="T640" s="1">
        <v>1</v>
      </c>
      <c r="U640" s="1" t="s">
        <v>3894</v>
      </c>
    </row>
    <row r="641" spans="1:41" ht="17.149999999999999" hidden="1" customHeight="1">
      <c r="A641" s="1" t="s">
        <v>3895</v>
      </c>
      <c r="B641" s="1" t="s">
        <v>772</v>
      </c>
      <c r="C641" s="1" t="s">
        <v>3896</v>
      </c>
      <c r="D641" s="1"/>
      <c r="E641" s="1"/>
      <c r="F641" s="1"/>
      <c r="G641" s="1"/>
      <c r="H641" s="1" t="s">
        <v>249</v>
      </c>
      <c r="I641" s="1" t="s">
        <v>3897</v>
      </c>
      <c r="J641" s="1" t="s">
        <v>3898</v>
      </c>
      <c r="K641" s="1" t="s">
        <v>3899</v>
      </c>
      <c r="L641" s="1" t="s">
        <v>45</v>
      </c>
      <c r="M641" s="1" t="s">
        <v>46</v>
      </c>
      <c r="N641" s="53">
        <v>1816017</v>
      </c>
      <c r="O641" s="1">
        <v>2025</v>
      </c>
      <c r="P641" s="1">
        <v>193305</v>
      </c>
      <c r="Q641" s="1">
        <v>2018</v>
      </c>
      <c r="R641" s="1" t="s">
        <v>46</v>
      </c>
      <c r="S641" s="1">
        <v>1</v>
      </c>
      <c r="T641" s="1" t="s">
        <v>46</v>
      </c>
      <c r="U641" s="1" t="s">
        <v>1005</v>
      </c>
      <c r="V641" s="2" t="s">
        <v>3900</v>
      </c>
      <c r="W641" s="2">
        <v>2025</v>
      </c>
      <c r="AA641" s="54" t="s">
        <v>3901</v>
      </c>
      <c r="AG641" s="2" t="s">
        <v>1255</v>
      </c>
    </row>
    <row r="642" spans="1:41" ht="17.149999999999999" hidden="1" customHeight="1">
      <c r="A642" s="1" t="s">
        <v>3902</v>
      </c>
      <c r="B642" s="1"/>
      <c r="C642" s="1" t="s">
        <v>3903</v>
      </c>
      <c r="D642" s="1"/>
      <c r="E642" s="1"/>
      <c r="F642" s="1"/>
      <c r="G642" s="1"/>
      <c r="H642" s="1" t="s">
        <v>249</v>
      </c>
      <c r="I642" s="1" t="s">
        <v>3810</v>
      </c>
      <c r="J642" s="1" t="s">
        <v>3904</v>
      </c>
      <c r="K642" s="1" t="s">
        <v>3905</v>
      </c>
      <c r="L642" s="1" t="s">
        <v>45</v>
      </c>
      <c r="M642" s="1" t="s">
        <v>46</v>
      </c>
      <c r="N642" s="1">
        <v>1351829</v>
      </c>
      <c r="O642" s="1">
        <v>2018</v>
      </c>
      <c r="P642" s="1">
        <v>1361565</v>
      </c>
      <c r="Q642" s="1">
        <v>2018</v>
      </c>
      <c r="R642" s="1" t="s">
        <v>46</v>
      </c>
      <c r="S642" s="1">
        <v>1</v>
      </c>
      <c r="T642" s="1">
        <v>1</v>
      </c>
      <c r="U642" s="1" t="s">
        <v>3906</v>
      </c>
      <c r="V642" s="2" t="s">
        <v>3907</v>
      </c>
      <c r="AA642" s="2" t="s">
        <v>3908</v>
      </c>
    </row>
    <row r="643" spans="1:41" ht="17.149999999999999" hidden="1" customHeight="1">
      <c r="A643" s="1" t="s">
        <v>3909</v>
      </c>
      <c r="B643" s="1"/>
      <c r="C643" s="1" t="s">
        <v>3910</v>
      </c>
      <c r="D643" s="1"/>
      <c r="E643" s="1"/>
      <c r="F643" s="1"/>
      <c r="G643" s="1"/>
      <c r="H643" s="1" t="s">
        <v>1367</v>
      </c>
      <c r="I643" s="1" t="s">
        <v>46</v>
      </c>
      <c r="J643" s="1" t="s">
        <v>3911</v>
      </c>
      <c r="K643" s="1" t="s">
        <v>3912</v>
      </c>
      <c r="L643" s="1" t="s">
        <v>45</v>
      </c>
      <c r="M643" s="1" t="s">
        <v>46</v>
      </c>
      <c r="N643" s="1">
        <v>263143</v>
      </c>
      <c r="O643" s="1">
        <v>2017</v>
      </c>
      <c r="P643" s="1">
        <v>136668</v>
      </c>
      <c r="Q643" s="1">
        <v>2017</v>
      </c>
      <c r="R643" s="1" t="s">
        <v>46</v>
      </c>
      <c r="S643" s="1">
        <v>1</v>
      </c>
      <c r="T643" s="1">
        <v>1</v>
      </c>
      <c r="U643" s="1" t="s">
        <v>3913</v>
      </c>
    </row>
    <row r="644" spans="1:41" ht="17.149999999999999" hidden="1" customHeight="1">
      <c r="A644" s="1" t="s">
        <v>3914</v>
      </c>
      <c r="B644" s="1"/>
      <c r="C644" s="1" t="s">
        <v>3915</v>
      </c>
      <c r="D644" s="1"/>
      <c r="E644" s="1"/>
      <c r="F644" s="1"/>
      <c r="G644" s="1"/>
      <c r="H644" s="1" t="s">
        <v>249</v>
      </c>
      <c r="I644" s="1" t="s">
        <v>1960</v>
      </c>
      <c r="J644" s="1" t="s">
        <v>3916</v>
      </c>
      <c r="K644" s="1" t="s">
        <v>3917</v>
      </c>
      <c r="L644" s="1" t="s">
        <v>45</v>
      </c>
      <c r="M644" s="1" t="s">
        <v>46</v>
      </c>
      <c r="N644" s="1">
        <v>1099314</v>
      </c>
      <c r="O644" s="1">
        <v>2018</v>
      </c>
      <c r="P644" s="1">
        <v>1148004</v>
      </c>
      <c r="Q644" s="1">
        <v>2018</v>
      </c>
      <c r="R644" s="1" t="s">
        <v>46</v>
      </c>
      <c r="S644" s="1">
        <v>1</v>
      </c>
      <c r="T644" s="1">
        <v>1</v>
      </c>
      <c r="U644" s="1" t="s">
        <v>3918</v>
      </c>
    </row>
    <row r="645" spans="1:41" ht="17.149999999999999" hidden="1" customHeight="1">
      <c r="A645" s="1" t="s">
        <v>3919</v>
      </c>
      <c r="B645" s="1"/>
      <c r="C645" s="1" t="s">
        <v>3920</v>
      </c>
      <c r="D645" s="1"/>
      <c r="E645" s="1"/>
      <c r="F645" s="1"/>
      <c r="G645" s="1"/>
      <c r="H645" s="1" t="s">
        <v>500</v>
      </c>
      <c r="I645" s="1" t="s">
        <v>46</v>
      </c>
      <c r="J645" s="1" t="s">
        <v>3921</v>
      </c>
      <c r="K645" s="1" t="s">
        <v>508</v>
      </c>
      <c r="L645" s="1" t="s">
        <v>45</v>
      </c>
      <c r="M645" s="1" t="s">
        <v>46</v>
      </c>
      <c r="N645" s="1">
        <v>60000</v>
      </c>
      <c r="O645" s="1">
        <v>2018</v>
      </c>
      <c r="P645" s="1">
        <v>135000</v>
      </c>
      <c r="Q645" s="1">
        <v>2017</v>
      </c>
      <c r="R645" s="1" t="s">
        <v>46</v>
      </c>
      <c r="S645" s="1">
        <v>1</v>
      </c>
      <c r="T645" s="1" t="s">
        <v>46</v>
      </c>
      <c r="U645" s="1" t="s">
        <v>3922</v>
      </c>
    </row>
    <row r="646" spans="1:41" ht="17.149999999999999" hidden="1" customHeight="1">
      <c r="A646" s="1" t="s">
        <v>3923</v>
      </c>
      <c r="B646" s="1"/>
      <c r="C646" s="1" t="s">
        <v>3924</v>
      </c>
      <c r="D646" s="1"/>
      <c r="E646" s="1"/>
      <c r="F646" s="1"/>
      <c r="G646" s="1"/>
      <c r="H646" s="1" t="s">
        <v>128</v>
      </c>
      <c r="I646" s="1" t="s">
        <v>3925</v>
      </c>
      <c r="J646" s="1" t="s">
        <v>3925</v>
      </c>
      <c r="K646" s="1" t="s">
        <v>3926</v>
      </c>
      <c r="L646" s="1" t="s">
        <v>45</v>
      </c>
      <c r="M646" s="1" t="s">
        <v>46</v>
      </c>
      <c r="N646" s="1">
        <v>143394</v>
      </c>
      <c r="O646" s="1">
        <v>2015</v>
      </c>
      <c r="P646" s="1">
        <v>134791</v>
      </c>
      <c r="Q646" s="1">
        <v>2015</v>
      </c>
      <c r="R646" s="1" t="s">
        <v>46</v>
      </c>
      <c r="S646" s="1">
        <v>1</v>
      </c>
      <c r="T646" s="1">
        <v>1</v>
      </c>
      <c r="U646" s="1" t="s">
        <v>3927</v>
      </c>
    </row>
    <row r="647" spans="1:41" ht="17.149999999999999" hidden="1" customHeight="1">
      <c r="A647" s="1" t="s">
        <v>3928</v>
      </c>
      <c r="B647" s="1"/>
      <c r="C647" s="1" t="s">
        <v>3929</v>
      </c>
      <c r="D647" s="1"/>
      <c r="E647" s="1"/>
      <c r="F647" s="1"/>
      <c r="G647" s="1"/>
      <c r="H647" s="1" t="s">
        <v>110</v>
      </c>
      <c r="I647" s="1" t="s">
        <v>46</v>
      </c>
      <c r="J647" s="1" t="s">
        <v>2179</v>
      </c>
      <c r="K647" s="1" t="s">
        <v>3930</v>
      </c>
      <c r="L647" s="1" t="s">
        <v>118</v>
      </c>
      <c r="M647" s="1" t="s">
        <v>3931</v>
      </c>
      <c r="N647" s="1">
        <v>89447</v>
      </c>
      <c r="O647" s="1">
        <v>2019</v>
      </c>
      <c r="P647" s="1">
        <v>134170</v>
      </c>
      <c r="Q647" s="1">
        <v>2015</v>
      </c>
      <c r="R647" s="1" t="s">
        <v>46</v>
      </c>
      <c r="S647" s="1">
        <v>1</v>
      </c>
      <c r="T647" s="1">
        <v>1</v>
      </c>
      <c r="U647" s="1" t="s">
        <v>3932</v>
      </c>
      <c r="AH647" s="42"/>
      <c r="AI647" s="42"/>
      <c r="AJ647" s="42"/>
    </row>
    <row r="648" spans="1:41" ht="17.149999999999999" hidden="1" customHeight="1">
      <c r="A648" s="1" t="s">
        <v>3933</v>
      </c>
      <c r="B648" s="1"/>
      <c r="C648" s="1" t="s">
        <v>3934</v>
      </c>
      <c r="D648" s="1"/>
      <c r="E648" s="1"/>
      <c r="F648" s="1"/>
      <c r="G648" s="1"/>
      <c r="H648" s="1" t="s">
        <v>128</v>
      </c>
      <c r="I648" s="1" t="s">
        <v>926</v>
      </c>
      <c r="J648" s="1" t="s">
        <v>3935</v>
      </c>
      <c r="K648" s="1" t="s">
        <v>3936</v>
      </c>
      <c r="L648" s="1" t="s">
        <v>45</v>
      </c>
      <c r="M648" s="1" t="s">
        <v>46</v>
      </c>
      <c r="N648" s="1">
        <v>136886</v>
      </c>
      <c r="O648" s="1">
        <v>2019</v>
      </c>
      <c r="P648" s="1">
        <v>134149</v>
      </c>
      <c r="Q648" s="1">
        <v>2019</v>
      </c>
      <c r="R648" s="1" t="s">
        <v>46</v>
      </c>
      <c r="S648" s="1">
        <v>1</v>
      </c>
      <c r="T648" s="1">
        <v>1</v>
      </c>
      <c r="U648" s="1" t="s">
        <v>3937</v>
      </c>
    </row>
    <row r="649" spans="1:41" ht="17.149999999999999" hidden="1" customHeight="1">
      <c r="A649" s="1" t="s">
        <v>3938</v>
      </c>
      <c r="B649" s="1"/>
      <c r="C649" s="1" t="s">
        <v>3939</v>
      </c>
      <c r="D649" s="1"/>
      <c r="E649" s="1"/>
      <c r="F649" s="1"/>
      <c r="G649" s="1"/>
      <c r="H649" s="1" t="s">
        <v>110</v>
      </c>
      <c r="I649" s="1" t="s">
        <v>46</v>
      </c>
      <c r="J649" s="1" t="s">
        <v>3940</v>
      </c>
      <c r="K649" s="1" t="s">
        <v>3941</v>
      </c>
      <c r="L649" s="1" t="s">
        <v>118</v>
      </c>
      <c r="M649" s="1" t="s">
        <v>3942</v>
      </c>
      <c r="N649" s="1">
        <v>65022</v>
      </c>
      <c r="O649" s="1">
        <v>2015</v>
      </c>
      <c r="P649" s="1">
        <v>132757</v>
      </c>
      <c r="Q649" s="1">
        <v>2015</v>
      </c>
      <c r="R649" s="1" t="s">
        <v>46</v>
      </c>
      <c r="S649" s="1">
        <v>1</v>
      </c>
      <c r="T649" s="1">
        <v>1</v>
      </c>
      <c r="U649" s="1" t="s">
        <v>3943</v>
      </c>
    </row>
    <row r="650" spans="1:41" ht="17.149999999999999" hidden="1" customHeight="1">
      <c r="A650" s="1" t="s">
        <v>3944</v>
      </c>
      <c r="B650" s="1"/>
      <c r="C650" s="1" t="s">
        <v>3945</v>
      </c>
      <c r="D650" s="1"/>
      <c r="E650" s="1"/>
      <c r="F650" s="1"/>
      <c r="G650" s="1"/>
      <c r="H650" s="1" t="s">
        <v>128</v>
      </c>
      <c r="I650" s="1" t="s">
        <v>2603</v>
      </c>
      <c r="J650" s="1" t="s">
        <v>3946</v>
      </c>
      <c r="K650" s="1" t="s">
        <v>3947</v>
      </c>
      <c r="L650" s="1" t="s">
        <v>45</v>
      </c>
      <c r="M650" s="1" t="s">
        <v>46</v>
      </c>
      <c r="N650" s="1">
        <v>132000</v>
      </c>
      <c r="O650" s="1">
        <v>2019</v>
      </c>
      <c r="P650" s="1">
        <v>132000</v>
      </c>
      <c r="Q650" s="1">
        <v>2019</v>
      </c>
      <c r="R650" s="1" t="s">
        <v>46</v>
      </c>
      <c r="S650" s="1">
        <v>1</v>
      </c>
      <c r="T650" s="1">
        <v>1</v>
      </c>
      <c r="U650" s="1" t="s">
        <v>3948</v>
      </c>
    </row>
    <row r="651" spans="1:41" ht="17.149999999999999" hidden="1" customHeight="1">
      <c r="A651" s="1" t="s">
        <v>3949</v>
      </c>
      <c r="B651" s="1"/>
      <c r="C651" s="1" t="s">
        <v>3950</v>
      </c>
      <c r="D651" s="1"/>
      <c r="E651" s="1"/>
      <c r="F651" s="1"/>
      <c r="G651" s="1"/>
      <c r="H651" s="1" t="s">
        <v>1171</v>
      </c>
      <c r="I651" s="1" t="s">
        <v>46</v>
      </c>
      <c r="J651" s="1" t="s">
        <v>3951</v>
      </c>
      <c r="K651" s="1" t="s">
        <v>3952</v>
      </c>
      <c r="L651" s="1" t="s">
        <v>118</v>
      </c>
      <c r="M651" s="1" t="s">
        <v>3953</v>
      </c>
      <c r="N651" s="1">
        <v>164308</v>
      </c>
      <c r="O651" s="1">
        <v>2018</v>
      </c>
      <c r="P651" s="1">
        <v>131596</v>
      </c>
      <c r="Q651" s="1">
        <v>2018</v>
      </c>
      <c r="R651" s="1" t="s">
        <v>46</v>
      </c>
      <c r="S651" s="1">
        <v>1</v>
      </c>
      <c r="T651" s="1" t="s">
        <v>46</v>
      </c>
      <c r="U651" s="1" t="s">
        <v>3954</v>
      </c>
    </row>
    <row r="652" spans="1:41" ht="17.149999999999999" hidden="1" customHeight="1">
      <c r="A652" s="1" t="s">
        <v>3955</v>
      </c>
      <c r="B652" s="1"/>
      <c r="C652" s="1" t="s">
        <v>3956</v>
      </c>
      <c r="D652" s="1"/>
      <c r="E652" s="1"/>
      <c r="F652" s="1"/>
      <c r="G652" s="1"/>
      <c r="H652" s="1" t="s">
        <v>249</v>
      </c>
      <c r="I652" s="1" t="s">
        <v>3897</v>
      </c>
      <c r="J652" s="1" t="s">
        <v>3957</v>
      </c>
      <c r="K652" s="1" t="s">
        <v>3958</v>
      </c>
      <c r="L652" s="1" t="s">
        <v>118</v>
      </c>
      <c r="M652" s="1" t="s">
        <v>3959</v>
      </c>
      <c r="N652" s="1">
        <v>1064919</v>
      </c>
      <c r="O652" s="1">
        <v>2018</v>
      </c>
      <c r="P652" s="1">
        <v>1064919</v>
      </c>
      <c r="Q652" s="1">
        <v>2018</v>
      </c>
      <c r="R652" s="1" t="s">
        <v>46</v>
      </c>
      <c r="S652" s="1">
        <v>1</v>
      </c>
      <c r="T652" s="1">
        <v>1</v>
      </c>
      <c r="U652" s="1" t="s">
        <v>3960</v>
      </c>
    </row>
    <row r="653" spans="1:41" ht="17.149999999999999" hidden="1" customHeight="1">
      <c r="A653" s="1" t="s">
        <v>3961</v>
      </c>
      <c r="B653" s="1"/>
      <c r="C653" s="1" t="s">
        <v>3962</v>
      </c>
      <c r="D653" s="1"/>
      <c r="E653" s="1"/>
      <c r="F653" s="1"/>
      <c r="G653" s="1"/>
      <c r="H653" s="1" t="s">
        <v>249</v>
      </c>
      <c r="I653" s="1" t="s">
        <v>1960</v>
      </c>
      <c r="J653" s="1" t="s">
        <v>2864</v>
      </c>
      <c r="K653" s="1" t="s">
        <v>3963</v>
      </c>
      <c r="L653" s="1" t="s">
        <v>45</v>
      </c>
      <c r="M653" s="1" t="s">
        <v>46</v>
      </c>
      <c r="N653" s="1">
        <v>876281</v>
      </c>
      <c r="O653" s="1">
        <v>2018</v>
      </c>
      <c r="P653" s="1">
        <v>736638</v>
      </c>
      <c r="Q653" s="1">
        <v>2018</v>
      </c>
      <c r="R653" s="1" t="s">
        <v>46</v>
      </c>
      <c r="S653" s="1">
        <v>1</v>
      </c>
      <c r="T653" s="1">
        <v>1</v>
      </c>
      <c r="U653" s="1" t="s">
        <v>3964</v>
      </c>
    </row>
    <row r="654" spans="1:41" s="42" customFormat="1" ht="17.149999999999999" customHeight="1">
      <c r="A654" s="14" t="s">
        <v>3965</v>
      </c>
      <c r="B654" s="14" t="s">
        <v>37</v>
      </c>
      <c r="C654" s="56" t="s">
        <v>3966</v>
      </c>
      <c r="D654" s="144" t="s">
        <v>3966</v>
      </c>
      <c r="E654" s="17" t="s">
        <v>3967</v>
      </c>
      <c r="F654" s="17" t="s">
        <v>62</v>
      </c>
      <c r="G654" s="61" t="s">
        <v>40</v>
      </c>
      <c r="H654" s="14" t="s">
        <v>41</v>
      </c>
      <c r="I654" s="14" t="s">
        <v>63</v>
      </c>
      <c r="J654" s="14" t="s">
        <v>3968</v>
      </c>
      <c r="K654" s="14" t="s">
        <v>3969</v>
      </c>
      <c r="L654" s="14" t="s">
        <v>45</v>
      </c>
      <c r="M654" s="14" t="s">
        <v>3970</v>
      </c>
      <c r="N654" s="14" t="s">
        <v>46</v>
      </c>
      <c r="O654" s="14" t="s">
        <v>46</v>
      </c>
      <c r="P654" s="14">
        <v>432700</v>
      </c>
      <c r="Q654" s="14">
        <v>2016</v>
      </c>
      <c r="R654" s="14" t="s">
        <v>46</v>
      </c>
      <c r="S654" s="14">
        <v>1</v>
      </c>
      <c r="T654" s="14">
        <v>1</v>
      </c>
      <c r="U654" s="14" t="s">
        <v>3971</v>
      </c>
      <c r="V654" s="6" t="s">
        <v>40</v>
      </c>
      <c r="W654" s="6" t="s">
        <v>3972</v>
      </c>
      <c r="X654" s="6" t="s">
        <v>40</v>
      </c>
      <c r="Y654" s="6"/>
      <c r="Z654" s="6" t="s">
        <v>3973</v>
      </c>
      <c r="AA654" s="28" t="s">
        <v>3974</v>
      </c>
      <c r="AB654" s="77" t="s">
        <v>3975</v>
      </c>
      <c r="AC654" s="6" t="s">
        <v>3976</v>
      </c>
      <c r="AD654" s="6" t="s">
        <v>40</v>
      </c>
      <c r="AE654" s="2">
        <v>1</v>
      </c>
      <c r="AF654" s="2" t="s">
        <v>53</v>
      </c>
      <c r="AG654" s="2"/>
      <c r="AH654" s="2"/>
      <c r="AI654" s="2"/>
      <c r="AJ654" s="2" t="s">
        <v>57</v>
      </c>
      <c r="AK654" s="2"/>
      <c r="AL654" s="2"/>
      <c r="AM654" s="2"/>
      <c r="AN654" s="2"/>
      <c r="AO654" s="2"/>
    </row>
    <row r="655" spans="1:41" ht="17.149999999999999" hidden="1" customHeight="1">
      <c r="A655" s="1" t="s">
        <v>3977</v>
      </c>
      <c r="B655" s="1"/>
      <c r="C655" s="1" t="s">
        <v>3978</v>
      </c>
      <c r="D655" s="1"/>
      <c r="E655" s="1"/>
      <c r="F655" s="1"/>
      <c r="G655" s="1"/>
      <c r="H655" s="1" t="s">
        <v>177</v>
      </c>
      <c r="I655" s="1" t="s">
        <v>3007</v>
      </c>
      <c r="J655" s="1" t="s">
        <v>3979</v>
      </c>
      <c r="K655" s="1" t="s">
        <v>3980</v>
      </c>
      <c r="L655" s="1" t="s">
        <v>118</v>
      </c>
      <c r="M655" s="1" t="s">
        <v>3981</v>
      </c>
      <c r="N655" s="1">
        <v>130000</v>
      </c>
      <c r="O655" s="1">
        <v>2017</v>
      </c>
      <c r="P655" s="1">
        <v>130000</v>
      </c>
      <c r="Q655" s="1">
        <v>2017</v>
      </c>
      <c r="R655" s="1" t="s">
        <v>46</v>
      </c>
      <c r="S655" s="1">
        <v>1</v>
      </c>
      <c r="T655" s="1">
        <v>1</v>
      </c>
      <c r="U655" s="1" t="s">
        <v>3982</v>
      </c>
    </row>
    <row r="656" spans="1:41" ht="17.149999999999999" hidden="1" customHeight="1">
      <c r="A656" s="1" t="s">
        <v>3983</v>
      </c>
      <c r="B656" s="1"/>
      <c r="C656" s="1" t="s">
        <v>3984</v>
      </c>
      <c r="D656" s="1"/>
      <c r="E656" s="1"/>
      <c r="F656" s="1"/>
      <c r="G656" s="1"/>
      <c r="H656" s="1" t="s">
        <v>177</v>
      </c>
      <c r="I656" s="1" t="s">
        <v>178</v>
      </c>
      <c r="J656" s="1" t="s">
        <v>3985</v>
      </c>
      <c r="K656" s="1" t="s">
        <v>3986</v>
      </c>
      <c r="L656" s="1" t="s">
        <v>118</v>
      </c>
      <c r="M656" s="1" t="s">
        <v>725</v>
      </c>
      <c r="N656" s="1">
        <v>130000</v>
      </c>
      <c r="O656" s="1">
        <v>2015</v>
      </c>
      <c r="P656" s="1">
        <v>130000</v>
      </c>
      <c r="Q656" s="1">
        <v>2015</v>
      </c>
      <c r="R656" s="1" t="s">
        <v>46</v>
      </c>
      <c r="S656" s="1">
        <v>1</v>
      </c>
      <c r="T656" s="1">
        <v>1</v>
      </c>
      <c r="U656" s="1" t="s">
        <v>3987</v>
      </c>
    </row>
    <row r="657" spans="1:36" ht="17.149999999999999" hidden="1" customHeight="1">
      <c r="A657" s="14" t="s">
        <v>3988</v>
      </c>
      <c r="B657" s="14" t="s">
        <v>37</v>
      </c>
      <c r="C657" s="70" t="s">
        <v>3989</v>
      </c>
      <c r="D657" s="61"/>
      <c r="E657" s="61"/>
      <c r="F657" s="61"/>
      <c r="G657" s="61"/>
      <c r="H657" s="14" t="s">
        <v>41</v>
      </c>
      <c r="I657" s="14" t="s">
        <v>42</v>
      </c>
      <c r="J657" s="14" t="s">
        <v>688</v>
      </c>
      <c r="K657" s="14" t="s">
        <v>3990</v>
      </c>
      <c r="L657" s="14" t="s">
        <v>151</v>
      </c>
      <c r="M657" s="14" t="s">
        <v>3991</v>
      </c>
      <c r="N657" s="14">
        <v>485000</v>
      </c>
      <c r="O657" s="14">
        <v>2016</v>
      </c>
      <c r="P657" s="14">
        <v>130000</v>
      </c>
      <c r="Q657" s="14">
        <v>2016</v>
      </c>
      <c r="R657" s="14" t="s">
        <v>46</v>
      </c>
      <c r="S657" s="14">
        <v>1</v>
      </c>
      <c r="T657" s="14">
        <v>1</v>
      </c>
      <c r="U657" s="14" t="s">
        <v>3992</v>
      </c>
      <c r="V657" s="6" t="s">
        <v>354</v>
      </c>
      <c r="W657" s="6" t="s">
        <v>323</v>
      </c>
      <c r="X657" s="8" t="s">
        <v>103</v>
      </c>
      <c r="Y657" s="8"/>
      <c r="Z657" s="6" t="s">
        <v>3993</v>
      </c>
      <c r="AA657" s="6" t="s">
        <v>693</v>
      </c>
      <c r="AB657" s="76" t="s">
        <v>3994</v>
      </c>
      <c r="AC657" s="6" t="s">
        <v>3995</v>
      </c>
      <c r="AD657" s="8" t="s">
        <v>286</v>
      </c>
      <c r="AE657" s="2">
        <v>1</v>
      </c>
      <c r="AF657" s="2" t="s">
        <v>53</v>
      </c>
      <c r="AG657" s="2" t="s">
        <v>71</v>
      </c>
    </row>
    <row r="658" spans="1:36" ht="17.149999999999999" hidden="1" customHeight="1">
      <c r="A658" s="14" t="s">
        <v>3996</v>
      </c>
      <c r="B658" s="14" t="s">
        <v>37</v>
      </c>
      <c r="C658" s="56" t="s">
        <v>3997</v>
      </c>
      <c r="D658" s="61"/>
      <c r="E658" s="61"/>
      <c r="F658" s="61"/>
      <c r="G658" s="61"/>
      <c r="H658" s="14" t="s">
        <v>41</v>
      </c>
      <c r="I658" s="14" t="s">
        <v>135</v>
      </c>
      <c r="J658" s="14" t="s">
        <v>3998</v>
      </c>
      <c r="K658" s="14" t="s">
        <v>3999</v>
      </c>
      <c r="L658" s="14" t="s">
        <v>45</v>
      </c>
      <c r="M658" s="14" t="s">
        <v>46</v>
      </c>
      <c r="N658" s="14" t="s">
        <v>46</v>
      </c>
      <c r="O658" s="14" t="s">
        <v>46</v>
      </c>
      <c r="P658" s="51">
        <v>129882</v>
      </c>
      <c r="Q658" s="51">
        <v>2025</v>
      </c>
      <c r="R658" s="14" t="s">
        <v>46</v>
      </c>
      <c r="S658" s="14">
        <v>1</v>
      </c>
      <c r="T658" s="14">
        <v>1</v>
      </c>
      <c r="U658" s="14" t="s">
        <v>4000</v>
      </c>
      <c r="V658" s="6" t="s">
        <v>40</v>
      </c>
      <c r="W658" s="6" t="s">
        <v>1042</v>
      </c>
      <c r="X658" s="8" t="s">
        <v>103</v>
      </c>
      <c r="Y658" s="8"/>
      <c r="Z658" s="6" t="s">
        <v>4001</v>
      </c>
      <c r="AA658" s="6" t="s">
        <v>4002</v>
      </c>
      <c r="AB658" s="76" t="s">
        <v>4003</v>
      </c>
      <c r="AC658" s="6" t="s">
        <v>4004</v>
      </c>
      <c r="AD658" s="8" t="s">
        <v>286</v>
      </c>
      <c r="AE658" s="2">
        <v>1</v>
      </c>
      <c r="AF658" t="s">
        <v>53</v>
      </c>
      <c r="AG658" s="2" t="s">
        <v>71</v>
      </c>
    </row>
    <row r="659" spans="1:36" ht="17.149999999999999" customHeight="1">
      <c r="A659" s="14" t="s">
        <v>4005</v>
      </c>
      <c r="B659" s="14" t="s">
        <v>37</v>
      </c>
      <c r="C659" s="56" t="s">
        <v>4006</v>
      </c>
      <c r="D659" s="144" t="s">
        <v>4006</v>
      </c>
      <c r="E659" s="144" t="s">
        <v>4007</v>
      </c>
      <c r="F659" s="17" t="s">
        <v>62</v>
      </c>
      <c r="G659" s="61" t="s">
        <v>40</v>
      </c>
      <c r="H659" s="14" t="s">
        <v>41</v>
      </c>
      <c r="I659" s="14" t="s">
        <v>1179</v>
      </c>
      <c r="J659" s="14" t="s">
        <v>4008</v>
      </c>
      <c r="K659" s="14" t="s">
        <v>4009</v>
      </c>
      <c r="L659" s="14" t="s">
        <v>151</v>
      </c>
      <c r="M659" s="14" t="s">
        <v>4010</v>
      </c>
      <c r="N659" s="14" t="s">
        <v>46</v>
      </c>
      <c r="O659" s="14" t="s">
        <v>46</v>
      </c>
      <c r="P659" s="14">
        <v>650000</v>
      </c>
      <c r="Q659" s="14">
        <v>2017</v>
      </c>
      <c r="R659" s="14" t="s">
        <v>46</v>
      </c>
      <c r="S659" s="14">
        <v>1</v>
      </c>
      <c r="T659" s="14">
        <v>1</v>
      </c>
      <c r="U659" s="14" t="s">
        <v>4011</v>
      </c>
      <c r="V659" s="6" t="s">
        <v>40</v>
      </c>
      <c r="W659" s="6" t="s">
        <v>4012</v>
      </c>
      <c r="X659" s="6" t="s">
        <v>40</v>
      </c>
      <c r="Y659" s="6"/>
      <c r="Z659" s="6" t="s">
        <v>4013</v>
      </c>
      <c r="AA659" s="6" t="s">
        <v>4014</v>
      </c>
      <c r="AB659" s="6" t="s">
        <v>4015</v>
      </c>
      <c r="AC659" s="5" t="s">
        <v>4016</v>
      </c>
      <c r="AD659" s="6" t="s">
        <v>40</v>
      </c>
      <c r="AE659" s="2">
        <v>3</v>
      </c>
      <c r="AF659" s="2" t="s">
        <v>53</v>
      </c>
      <c r="AH659" s="2" t="s">
        <v>55</v>
      </c>
      <c r="AJ659" s="2" t="s">
        <v>57</v>
      </c>
    </row>
    <row r="660" spans="1:36" ht="17.149999999999999" customHeight="1">
      <c r="A660" s="14" t="s">
        <v>4017</v>
      </c>
      <c r="B660" s="14" t="s">
        <v>37</v>
      </c>
      <c r="C660" s="56" t="s">
        <v>4018</v>
      </c>
      <c r="D660" s="148" t="s">
        <v>4019</v>
      </c>
      <c r="E660" s="17" t="s">
        <v>4020</v>
      </c>
      <c r="F660" s="17" t="s">
        <v>62</v>
      </c>
      <c r="G660" s="61" t="s">
        <v>40</v>
      </c>
      <c r="H660" s="14" t="s">
        <v>41</v>
      </c>
      <c r="I660" s="14" t="s">
        <v>4021</v>
      </c>
      <c r="J660" s="14" t="s">
        <v>4022</v>
      </c>
      <c r="K660" s="14" t="s">
        <v>4023</v>
      </c>
      <c r="L660" s="14" t="s">
        <v>45</v>
      </c>
      <c r="M660" s="14" t="s">
        <v>46</v>
      </c>
      <c r="N660" s="14" t="s">
        <v>46</v>
      </c>
      <c r="O660" s="14" t="s">
        <v>46</v>
      </c>
      <c r="P660" s="14">
        <v>965000</v>
      </c>
      <c r="Q660" s="14">
        <v>2016</v>
      </c>
      <c r="R660" s="14" t="s">
        <v>46</v>
      </c>
      <c r="S660" s="14">
        <v>1</v>
      </c>
      <c r="T660" s="14">
        <v>1</v>
      </c>
      <c r="U660" s="14" t="s">
        <v>4024</v>
      </c>
      <c r="V660" s="6" t="s">
        <v>40</v>
      </c>
      <c r="W660" s="6" t="s">
        <v>67</v>
      </c>
      <c r="X660" s="6" t="s">
        <v>40</v>
      </c>
      <c r="Y660" s="6"/>
      <c r="Z660" s="6" t="s">
        <v>4025</v>
      </c>
      <c r="AA660" s="5" t="s">
        <v>4026</v>
      </c>
      <c r="AB660" s="7" t="s">
        <v>4027</v>
      </c>
      <c r="AC660" s="6" t="s">
        <v>4028</v>
      </c>
      <c r="AD660" s="6" t="s">
        <v>40</v>
      </c>
      <c r="AE660" s="2">
        <v>3</v>
      </c>
      <c r="AF660" s="2" t="s">
        <v>53</v>
      </c>
      <c r="AH660" s="2" t="s">
        <v>55</v>
      </c>
      <c r="AJ660" s="2" t="s">
        <v>57</v>
      </c>
    </row>
    <row r="661" spans="1:36" ht="17.149999999999999" customHeight="1">
      <c r="A661" s="14" t="s">
        <v>4029</v>
      </c>
      <c r="B661" s="14" t="s">
        <v>37</v>
      </c>
      <c r="C661" s="56" t="s">
        <v>4030</v>
      </c>
      <c r="D661" s="144" t="s">
        <v>4030</v>
      </c>
      <c r="E661" s="144" t="s">
        <v>4031</v>
      </c>
      <c r="F661" s="17" t="s">
        <v>62</v>
      </c>
      <c r="G661" s="61" t="s">
        <v>40</v>
      </c>
      <c r="H661" s="14" t="s">
        <v>41</v>
      </c>
      <c r="I661" s="14" t="s">
        <v>135</v>
      </c>
      <c r="J661" s="14" t="s">
        <v>1259</v>
      </c>
      <c r="K661" s="14" t="s">
        <v>4032</v>
      </c>
      <c r="L661" s="14" t="s">
        <v>45</v>
      </c>
      <c r="M661" s="14" t="s">
        <v>46</v>
      </c>
      <c r="N661" s="14" t="s">
        <v>46</v>
      </c>
      <c r="O661" s="14" t="s">
        <v>46</v>
      </c>
      <c r="P661" s="16" t="s">
        <v>4033</v>
      </c>
      <c r="Q661" s="16">
        <v>2023</v>
      </c>
      <c r="R661" s="14" t="s">
        <v>46</v>
      </c>
      <c r="S661" s="14">
        <v>1</v>
      </c>
      <c r="T661" s="14">
        <v>1</v>
      </c>
      <c r="U661" s="14" t="s">
        <v>4034</v>
      </c>
      <c r="V661" s="6" t="s">
        <v>40</v>
      </c>
      <c r="W661" s="6" t="s">
        <v>139</v>
      </c>
      <c r="X661" s="6" t="s">
        <v>40</v>
      </c>
      <c r="Y661" s="6"/>
      <c r="Z661" s="6" t="s">
        <v>4035</v>
      </c>
      <c r="AA661" s="28" t="s">
        <v>4036</v>
      </c>
      <c r="AB661" s="77" t="s">
        <v>3975</v>
      </c>
      <c r="AC661" s="6" t="s">
        <v>4037</v>
      </c>
      <c r="AD661" s="6" t="s">
        <v>40</v>
      </c>
      <c r="AE661" s="2">
        <v>1</v>
      </c>
      <c r="AF661" s="2" t="s">
        <v>53</v>
      </c>
      <c r="AH661" s="2" t="s">
        <v>55</v>
      </c>
      <c r="AJ661" s="2" t="s">
        <v>57</v>
      </c>
    </row>
    <row r="662" spans="1:36" ht="17.149999999999999" hidden="1" customHeight="1">
      <c r="A662" s="1" t="s">
        <v>4038</v>
      </c>
      <c r="B662" s="1" t="s">
        <v>1866</v>
      </c>
      <c r="C662" s="1" t="s">
        <v>4039</v>
      </c>
      <c r="D662" s="1"/>
      <c r="E662" s="1"/>
      <c r="F662" s="1"/>
      <c r="G662" s="1"/>
      <c r="H662" s="1" t="s">
        <v>249</v>
      </c>
      <c r="I662" s="1" t="s">
        <v>4040</v>
      </c>
      <c r="J662" s="1" t="s">
        <v>4041</v>
      </c>
      <c r="K662" s="1" t="s">
        <v>4042</v>
      </c>
      <c r="L662" s="1" t="s">
        <v>45</v>
      </c>
      <c r="M662" s="1" t="s">
        <v>46</v>
      </c>
      <c r="N662" s="1">
        <v>499409</v>
      </c>
      <c r="O662" s="1">
        <v>2018</v>
      </c>
      <c r="P662" s="1">
        <v>497508</v>
      </c>
      <c r="Q662" s="1">
        <v>2018</v>
      </c>
      <c r="R662" s="1" t="s">
        <v>46</v>
      </c>
      <c r="S662" s="1">
        <v>1</v>
      </c>
      <c r="T662" s="1">
        <v>1</v>
      </c>
      <c r="U662" s="1" t="s">
        <v>4043</v>
      </c>
      <c r="Z662" s="2" t="s">
        <v>4044</v>
      </c>
      <c r="AA662" s="2" t="s">
        <v>4045</v>
      </c>
    </row>
    <row r="663" spans="1:36" ht="17.149999999999999" hidden="1" customHeight="1">
      <c r="A663" s="1" t="s">
        <v>4046</v>
      </c>
      <c r="B663" s="1"/>
      <c r="C663" s="1" t="s">
        <v>4047</v>
      </c>
      <c r="D663" s="1"/>
      <c r="E663" s="1"/>
      <c r="F663" s="1"/>
      <c r="G663" s="1"/>
      <c r="H663" s="1" t="s">
        <v>110</v>
      </c>
      <c r="I663" s="1" t="s">
        <v>46</v>
      </c>
      <c r="J663" s="1" t="s">
        <v>4048</v>
      </c>
      <c r="K663" s="1" t="s">
        <v>4049</v>
      </c>
      <c r="L663" s="1" t="s">
        <v>45</v>
      </c>
      <c r="M663" s="1" t="s">
        <v>46</v>
      </c>
      <c r="N663" s="1">
        <v>140948</v>
      </c>
      <c r="O663" s="1">
        <v>2015</v>
      </c>
      <c r="P663" s="1">
        <v>127816</v>
      </c>
      <c r="Q663" s="1">
        <v>2019</v>
      </c>
      <c r="R663" s="1" t="s">
        <v>46</v>
      </c>
      <c r="S663" s="1">
        <v>1</v>
      </c>
      <c r="T663" s="1">
        <v>1</v>
      </c>
      <c r="U663" s="1" t="s">
        <v>4050</v>
      </c>
    </row>
    <row r="664" spans="1:36" ht="17.149999999999999" hidden="1" customHeight="1">
      <c r="A664" s="1" t="s">
        <v>4051</v>
      </c>
      <c r="B664" s="1"/>
      <c r="C664" s="1" t="s">
        <v>4052</v>
      </c>
      <c r="D664" s="1"/>
      <c r="E664" s="1"/>
      <c r="F664" s="1"/>
      <c r="G664" s="1"/>
      <c r="H664" s="1" t="s">
        <v>249</v>
      </c>
      <c r="I664" s="1" t="s">
        <v>2102</v>
      </c>
      <c r="J664" s="1" t="s">
        <v>4053</v>
      </c>
      <c r="K664" s="1" t="s">
        <v>4054</v>
      </c>
      <c r="L664" s="1" t="s">
        <v>45</v>
      </c>
      <c r="M664" s="1" t="s">
        <v>4055</v>
      </c>
      <c r="N664" s="1">
        <v>498680</v>
      </c>
      <c r="O664" s="1">
        <v>2018</v>
      </c>
      <c r="P664" s="1">
        <v>520845</v>
      </c>
      <c r="Q664" s="1">
        <v>2018</v>
      </c>
      <c r="R664" s="1" t="s">
        <v>46</v>
      </c>
      <c r="S664" s="1">
        <v>1</v>
      </c>
      <c r="T664" s="1">
        <v>1</v>
      </c>
      <c r="U664" s="1" t="s">
        <v>4056</v>
      </c>
    </row>
    <row r="665" spans="1:36" ht="17.149999999999999" hidden="1" customHeight="1">
      <c r="A665" s="1" t="s">
        <v>4057</v>
      </c>
      <c r="B665" s="1"/>
      <c r="C665" s="1" t="s">
        <v>4058</v>
      </c>
      <c r="D665" s="1"/>
      <c r="E665" s="1"/>
      <c r="F665" s="1"/>
      <c r="G665" s="1"/>
      <c r="H665" s="1" t="s">
        <v>249</v>
      </c>
      <c r="I665" s="1" t="s">
        <v>4059</v>
      </c>
      <c r="J665" s="1" t="s">
        <v>4060</v>
      </c>
      <c r="K665" s="1" t="s">
        <v>4061</v>
      </c>
      <c r="L665" s="1" t="s">
        <v>45</v>
      </c>
      <c r="M665" s="1" t="s">
        <v>4062</v>
      </c>
      <c r="N665" s="1">
        <v>493936</v>
      </c>
      <c r="O665" s="1">
        <v>2018</v>
      </c>
      <c r="P665" s="1">
        <v>247728</v>
      </c>
      <c r="Q665" s="1">
        <v>2018</v>
      </c>
      <c r="R665" s="1" t="s">
        <v>46</v>
      </c>
      <c r="S665" s="1">
        <v>1</v>
      </c>
      <c r="T665" s="1">
        <v>1</v>
      </c>
      <c r="U665" s="1" t="s">
        <v>4063</v>
      </c>
    </row>
    <row r="666" spans="1:36" ht="17.149999999999999" hidden="1" customHeight="1">
      <c r="A666" s="1" t="s">
        <v>4064</v>
      </c>
      <c r="B666" s="1"/>
      <c r="C666" s="1" t="s">
        <v>4065</v>
      </c>
      <c r="D666" s="1"/>
      <c r="E666" s="1"/>
      <c r="F666" s="1"/>
      <c r="G666" s="1"/>
      <c r="H666" s="1" t="s">
        <v>674</v>
      </c>
      <c r="I666" s="1" t="s">
        <v>46</v>
      </c>
      <c r="J666" s="1" t="s">
        <v>4066</v>
      </c>
      <c r="K666" s="1" t="s">
        <v>4067</v>
      </c>
      <c r="L666" s="1" t="s">
        <v>45</v>
      </c>
      <c r="M666" s="1" t="s">
        <v>46</v>
      </c>
      <c r="N666" s="1">
        <v>172254</v>
      </c>
      <c r="O666" s="1">
        <v>2016</v>
      </c>
      <c r="P666" s="1">
        <v>127520</v>
      </c>
      <c r="Q666" s="1">
        <v>2016</v>
      </c>
      <c r="R666" s="1" t="s">
        <v>46</v>
      </c>
      <c r="S666" s="1">
        <v>1</v>
      </c>
      <c r="T666" s="1">
        <v>1</v>
      </c>
      <c r="U666" s="1" t="s">
        <v>4068</v>
      </c>
    </row>
    <row r="667" spans="1:36" ht="17.149999999999999" hidden="1" customHeight="1">
      <c r="A667" s="1" t="s">
        <v>4069</v>
      </c>
      <c r="B667" s="1"/>
      <c r="C667" s="1" t="s">
        <v>4070</v>
      </c>
      <c r="D667" s="1"/>
      <c r="E667" s="1"/>
      <c r="F667" s="1"/>
      <c r="G667" s="1"/>
      <c r="H667" s="1" t="s">
        <v>640</v>
      </c>
      <c r="I667" s="1" t="s">
        <v>46</v>
      </c>
      <c r="J667" s="1" t="s">
        <v>2496</v>
      </c>
      <c r="K667" s="1" t="s">
        <v>4071</v>
      </c>
      <c r="L667" s="1" t="s">
        <v>45</v>
      </c>
      <c r="M667" s="1" t="s">
        <v>46</v>
      </c>
      <c r="N667" s="1">
        <v>127506</v>
      </c>
      <c r="O667" s="1">
        <v>2016</v>
      </c>
      <c r="P667" s="1">
        <v>127506</v>
      </c>
      <c r="Q667" s="1">
        <v>2016</v>
      </c>
      <c r="R667" s="1" t="s">
        <v>46</v>
      </c>
      <c r="S667" s="1">
        <v>1</v>
      </c>
      <c r="T667" s="1">
        <v>1</v>
      </c>
      <c r="U667" s="1" t="s">
        <v>4072</v>
      </c>
    </row>
    <row r="668" spans="1:36" ht="17.149999999999999" hidden="1" customHeight="1">
      <c r="A668" s="1" t="s">
        <v>4073</v>
      </c>
      <c r="B668" s="1"/>
      <c r="C668" s="1" t="s">
        <v>4074</v>
      </c>
      <c r="D668" s="1"/>
      <c r="E668" s="1"/>
      <c r="F668" s="1"/>
      <c r="G668" s="1"/>
      <c r="H668" s="1" t="s">
        <v>128</v>
      </c>
      <c r="I668" s="1" t="s">
        <v>908</v>
      </c>
      <c r="J668" s="1" t="s">
        <v>4075</v>
      </c>
      <c r="K668" s="1" t="s">
        <v>4076</v>
      </c>
      <c r="L668" s="1" t="s">
        <v>45</v>
      </c>
      <c r="M668" s="1" t="s">
        <v>46</v>
      </c>
      <c r="N668" s="1">
        <v>134629</v>
      </c>
      <c r="O668" s="1">
        <v>2019</v>
      </c>
      <c r="P668" s="1">
        <v>127188</v>
      </c>
      <c r="Q668" s="1">
        <v>2015</v>
      </c>
      <c r="R668" s="1" t="s">
        <v>46</v>
      </c>
      <c r="S668" s="1">
        <v>1</v>
      </c>
      <c r="T668" s="1" t="s">
        <v>46</v>
      </c>
      <c r="U668" s="1" t="s">
        <v>4077</v>
      </c>
    </row>
    <row r="669" spans="1:36" ht="17.149999999999999" hidden="1" customHeight="1">
      <c r="A669" s="1" t="s">
        <v>4078</v>
      </c>
      <c r="B669" s="1"/>
      <c r="C669" s="1" t="s">
        <v>4079</v>
      </c>
      <c r="D669" s="1"/>
      <c r="E669" s="1"/>
      <c r="F669" s="1"/>
      <c r="G669" s="1"/>
      <c r="H669" s="1" t="s">
        <v>249</v>
      </c>
      <c r="I669" s="1" t="s">
        <v>4080</v>
      </c>
      <c r="J669" s="1" t="s">
        <v>4081</v>
      </c>
      <c r="K669" s="1" t="s">
        <v>4082</v>
      </c>
      <c r="L669" s="1" t="s">
        <v>45</v>
      </c>
      <c r="M669" s="1" t="s">
        <v>46</v>
      </c>
      <c r="N669" s="1">
        <v>491516</v>
      </c>
      <c r="O669" s="1">
        <v>2018</v>
      </c>
      <c r="P669" s="1">
        <v>491231</v>
      </c>
      <c r="Q669" s="1">
        <v>2018</v>
      </c>
      <c r="R669" s="1" t="s">
        <v>46</v>
      </c>
      <c r="S669" s="1">
        <v>1</v>
      </c>
      <c r="T669" s="1">
        <v>1</v>
      </c>
      <c r="U669" s="1" t="s">
        <v>4083</v>
      </c>
    </row>
    <row r="670" spans="1:36" ht="17.149999999999999" hidden="1" customHeight="1">
      <c r="A670" s="21" t="s">
        <v>4084</v>
      </c>
      <c r="B670" s="21"/>
      <c r="C670" s="58" t="s">
        <v>4085</v>
      </c>
      <c r="D670" s="61"/>
      <c r="E670" s="61"/>
      <c r="F670" s="61"/>
      <c r="G670" s="61"/>
      <c r="H670" s="21" t="s">
        <v>41</v>
      </c>
      <c r="I670" s="21" t="s">
        <v>592</v>
      </c>
      <c r="J670" s="21" t="s">
        <v>4086</v>
      </c>
      <c r="K670" s="21" t="s">
        <v>4087</v>
      </c>
      <c r="L670" s="21" t="s">
        <v>45</v>
      </c>
      <c r="M670" s="21" t="s">
        <v>46</v>
      </c>
      <c r="N670" s="21">
        <v>109197</v>
      </c>
      <c r="O670" s="21">
        <v>2016</v>
      </c>
      <c r="P670" s="21">
        <v>127000</v>
      </c>
      <c r="Q670" s="21">
        <v>2016</v>
      </c>
      <c r="R670" s="21" t="s">
        <v>46</v>
      </c>
      <c r="S670" s="21">
        <v>1</v>
      </c>
      <c r="T670" s="21">
        <v>1</v>
      </c>
      <c r="U670" s="21" t="s">
        <v>4088</v>
      </c>
      <c r="V670" s="22" t="s">
        <v>103</v>
      </c>
      <c r="W670" s="22"/>
      <c r="X670" s="22"/>
      <c r="Y670" s="22"/>
      <c r="Z670" s="22"/>
      <c r="AA670" s="22"/>
      <c r="AB670" s="22"/>
      <c r="AC670" s="22"/>
      <c r="AD670" s="22"/>
    </row>
    <row r="671" spans="1:36" ht="17.149999999999999" hidden="1" customHeight="1">
      <c r="A671" s="1" t="s">
        <v>4089</v>
      </c>
      <c r="B671" s="1"/>
      <c r="C671" s="141" t="s">
        <v>4090</v>
      </c>
      <c r="D671" s="1"/>
      <c r="E671" s="1"/>
      <c r="F671" s="1"/>
      <c r="G671" s="1"/>
      <c r="H671" s="1" t="s">
        <v>249</v>
      </c>
      <c r="I671" s="1" t="s">
        <v>4091</v>
      </c>
      <c r="J671" s="1" t="s">
        <v>4092</v>
      </c>
      <c r="K671" s="1" t="s">
        <v>4093</v>
      </c>
      <c r="L671" s="1" t="s">
        <v>45</v>
      </c>
      <c r="M671" s="1" t="s">
        <v>46</v>
      </c>
      <c r="N671" s="1">
        <v>433031</v>
      </c>
      <c r="O671" s="1">
        <v>2018</v>
      </c>
      <c r="P671" s="1">
        <v>467176</v>
      </c>
      <c r="Q671" s="1">
        <v>2018</v>
      </c>
      <c r="R671" s="1" t="s">
        <v>46</v>
      </c>
      <c r="S671" s="1">
        <v>1</v>
      </c>
      <c r="T671" s="1">
        <v>1</v>
      </c>
      <c r="U671" s="1" t="s">
        <v>4094</v>
      </c>
    </row>
    <row r="672" spans="1:36" s="44" customFormat="1" ht="17.149999999999999" hidden="1" customHeight="1">
      <c r="A672" s="141" t="s">
        <v>4095</v>
      </c>
      <c r="B672" s="141"/>
      <c r="C672" s="141" t="s">
        <v>4096</v>
      </c>
      <c r="D672" s="1"/>
      <c r="E672" s="1"/>
      <c r="F672" s="1"/>
      <c r="G672" s="1"/>
      <c r="H672" s="141" t="s">
        <v>249</v>
      </c>
      <c r="I672" s="141" t="s">
        <v>2070</v>
      </c>
      <c r="J672" s="141" t="s">
        <v>2070</v>
      </c>
      <c r="K672" s="141" t="s">
        <v>4097</v>
      </c>
      <c r="L672" s="141" t="s">
        <v>45</v>
      </c>
      <c r="M672" s="141" t="s">
        <v>46</v>
      </c>
      <c r="N672" s="141">
        <v>390811</v>
      </c>
      <c r="O672" s="141">
        <v>2018</v>
      </c>
      <c r="P672" s="141">
        <v>162720</v>
      </c>
      <c r="Q672" s="141">
        <v>2018</v>
      </c>
      <c r="R672" s="141" t="s">
        <v>46</v>
      </c>
      <c r="S672" s="141">
        <v>1</v>
      </c>
      <c r="T672" s="141" t="s">
        <v>46</v>
      </c>
      <c r="U672" s="141" t="s">
        <v>4098</v>
      </c>
    </row>
    <row r="673" spans="1:36" ht="17.149999999999999" hidden="1" customHeight="1">
      <c r="A673" s="1" t="s">
        <v>4099</v>
      </c>
      <c r="B673" s="1"/>
      <c r="C673" s="1" t="s">
        <v>4100</v>
      </c>
      <c r="D673" s="1"/>
      <c r="E673" s="1"/>
      <c r="F673" s="1"/>
      <c r="G673" s="1"/>
      <c r="H673" s="1" t="s">
        <v>249</v>
      </c>
      <c r="I673" s="1" t="s">
        <v>2316</v>
      </c>
      <c r="J673" s="1" t="s">
        <v>4101</v>
      </c>
      <c r="K673" s="1" t="s">
        <v>4102</v>
      </c>
      <c r="L673" s="1" t="s">
        <v>45</v>
      </c>
      <c r="M673" s="1" t="s">
        <v>46</v>
      </c>
      <c r="N673" s="1">
        <v>382485</v>
      </c>
      <c r="O673" s="1">
        <v>2018</v>
      </c>
      <c r="P673" s="1">
        <v>253315</v>
      </c>
      <c r="Q673" s="1">
        <v>2018</v>
      </c>
      <c r="R673" s="1" t="s">
        <v>46</v>
      </c>
      <c r="S673" s="1">
        <v>1</v>
      </c>
      <c r="T673" s="1" t="s">
        <v>46</v>
      </c>
      <c r="U673" s="1" t="s">
        <v>4103</v>
      </c>
    </row>
    <row r="674" spans="1:36" ht="17.149999999999999" hidden="1" customHeight="1">
      <c r="A674" s="1" t="s">
        <v>4104</v>
      </c>
      <c r="B674" s="1"/>
      <c r="C674" s="1" t="s">
        <v>4105</v>
      </c>
      <c r="D674" s="1"/>
      <c r="E674" s="1"/>
      <c r="F674" s="1"/>
      <c r="G674" s="1"/>
      <c r="H674" s="1" t="s">
        <v>249</v>
      </c>
      <c r="I674" s="1" t="s">
        <v>2899</v>
      </c>
      <c r="J674" s="1" t="s">
        <v>4106</v>
      </c>
      <c r="K674" s="1" t="s">
        <v>4107</v>
      </c>
      <c r="L674" s="1" t="s">
        <v>118</v>
      </c>
      <c r="M674" s="1" t="s">
        <v>4108</v>
      </c>
      <c r="N674" s="1">
        <v>371488</v>
      </c>
      <c r="O674" s="1">
        <v>2018</v>
      </c>
      <c r="P674" s="1">
        <v>366364</v>
      </c>
      <c r="Q674" s="1">
        <v>2018</v>
      </c>
      <c r="R674" s="1" t="s">
        <v>46</v>
      </c>
      <c r="S674" s="1">
        <v>1</v>
      </c>
      <c r="T674" s="1">
        <v>1</v>
      </c>
      <c r="U674" s="1" t="s">
        <v>4109</v>
      </c>
    </row>
    <row r="675" spans="1:36" s="44" customFormat="1" ht="17.149999999999999" hidden="1" customHeight="1">
      <c r="A675" s="141" t="s">
        <v>4110</v>
      </c>
      <c r="B675" s="141"/>
      <c r="C675" s="141" t="s">
        <v>4111</v>
      </c>
      <c r="D675" s="1"/>
      <c r="E675" s="1"/>
      <c r="F675" s="1"/>
      <c r="G675" s="1"/>
      <c r="H675" s="141" t="s">
        <v>249</v>
      </c>
      <c r="I675" s="141" t="s">
        <v>2666</v>
      </c>
      <c r="J675" s="141" t="s">
        <v>4112</v>
      </c>
      <c r="K675" s="141" t="s">
        <v>4113</v>
      </c>
      <c r="L675" s="141" t="s">
        <v>45</v>
      </c>
      <c r="M675" s="141" t="s">
        <v>4114</v>
      </c>
      <c r="N675" s="141">
        <v>367972</v>
      </c>
      <c r="O675" s="141">
        <v>2018</v>
      </c>
      <c r="P675" s="141">
        <v>457760</v>
      </c>
      <c r="Q675" s="141">
        <v>2018</v>
      </c>
      <c r="R675" s="141" t="s">
        <v>46</v>
      </c>
      <c r="S675" s="141">
        <v>1</v>
      </c>
      <c r="T675" s="141">
        <v>1</v>
      </c>
      <c r="U675" s="141" t="s">
        <v>4115</v>
      </c>
    </row>
    <row r="676" spans="1:36" ht="17.149999999999999" hidden="1" customHeight="1">
      <c r="A676" s="1" t="s">
        <v>4116</v>
      </c>
      <c r="B676" s="1"/>
      <c r="C676" s="1" t="s">
        <v>4117</v>
      </c>
      <c r="D676" s="1"/>
      <c r="E676" s="1"/>
      <c r="F676" s="1"/>
      <c r="G676" s="1"/>
      <c r="H676" s="1" t="s">
        <v>249</v>
      </c>
      <c r="I676" s="1" t="s">
        <v>4118</v>
      </c>
      <c r="J676" s="1" t="s">
        <v>4119</v>
      </c>
      <c r="K676" s="1" t="s">
        <v>4120</v>
      </c>
      <c r="L676" s="1" t="s">
        <v>45</v>
      </c>
      <c r="M676" s="1" t="s">
        <v>1566</v>
      </c>
      <c r="N676" s="1">
        <v>362498</v>
      </c>
      <c r="O676" s="1">
        <v>2018</v>
      </c>
      <c r="P676" s="1">
        <v>434409</v>
      </c>
      <c r="Q676" s="1">
        <v>2018</v>
      </c>
      <c r="R676" s="1" t="s">
        <v>46</v>
      </c>
      <c r="S676" s="1">
        <v>1</v>
      </c>
      <c r="T676" s="1">
        <v>1</v>
      </c>
      <c r="U676" s="1" t="s">
        <v>4121</v>
      </c>
    </row>
    <row r="677" spans="1:36" ht="17.149999999999999" hidden="1" customHeight="1">
      <c r="A677" s="1" t="s">
        <v>4122</v>
      </c>
      <c r="B677" s="1"/>
      <c r="C677" s="1" t="s">
        <v>4123</v>
      </c>
      <c r="D677" s="1"/>
      <c r="E677" s="1"/>
      <c r="F677" s="1"/>
      <c r="G677" s="1"/>
      <c r="H677" s="1" t="s">
        <v>1367</v>
      </c>
      <c r="I677" s="1" t="s">
        <v>46</v>
      </c>
      <c r="J677" s="1" t="s">
        <v>4124</v>
      </c>
      <c r="K677" s="1" t="s">
        <v>4125</v>
      </c>
      <c r="L677" s="1" t="s">
        <v>45</v>
      </c>
      <c r="M677" s="1" t="s">
        <v>46</v>
      </c>
      <c r="N677" s="1">
        <v>183909</v>
      </c>
      <c r="O677" s="1">
        <v>2017</v>
      </c>
      <c r="P677" s="1">
        <v>125637</v>
      </c>
      <c r="Q677" s="1">
        <v>2017</v>
      </c>
      <c r="R677" s="1" t="s">
        <v>46</v>
      </c>
      <c r="S677" s="1">
        <v>1</v>
      </c>
      <c r="T677" s="1">
        <v>1</v>
      </c>
      <c r="U677" s="1" t="s">
        <v>4126</v>
      </c>
    </row>
    <row r="678" spans="1:36" ht="17.149999999999999" customHeight="1">
      <c r="A678" s="14" t="s">
        <v>4127</v>
      </c>
      <c r="B678" s="14" t="s">
        <v>37</v>
      </c>
      <c r="C678" s="56" t="s">
        <v>4128</v>
      </c>
      <c r="D678" s="144" t="s">
        <v>4128</v>
      </c>
      <c r="E678" s="144" t="s">
        <v>4129</v>
      </c>
      <c r="F678" s="17" t="s">
        <v>62</v>
      </c>
      <c r="G678" s="61" t="s">
        <v>40</v>
      </c>
      <c r="H678" s="14" t="s">
        <v>41</v>
      </c>
      <c r="I678" s="14" t="s">
        <v>135</v>
      </c>
      <c r="J678" s="14" t="s">
        <v>4130</v>
      </c>
      <c r="K678" s="14" t="s">
        <v>4131</v>
      </c>
      <c r="L678" s="14" t="s">
        <v>45</v>
      </c>
      <c r="M678" s="14" t="s">
        <v>46</v>
      </c>
      <c r="N678" s="14" t="s">
        <v>46</v>
      </c>
      <c r="O678" s="14" t="s">
        <v>46</v>
      </c>
      <c r="P678" s="16">
        <v>61780</v>
      </c>
      <c r="Q678" s="16">
        <v>2022</v>
      </c>
      <c r="R678" s="14" t="s">
        <v>46</v>
      </c>
      <c r="S678" s="14">
        <v>1</v>
      </c>
      <c r="T678" s="14">
        <v>1</v>
      </c>
      <c r="U678" s="14" t="s">
        <v>4132</v>
      </c>
      <c r="V678" s="6" t="s">
        <v>40</v>
      </c>
      <c r="W678" s="6" t="s">
        <v>139</v>
      </c>
      <c r="X678" s="6" t="s">
        <v>40</v>
      </c>
      <c r="Y678" s="6"/>
      <c r="Z678" s="6" t="s">
        <v>1587</v>
      </c>
      <c r="AA678" s="28" t="s">
        <v>4133</v>
      </c>
      <c r="AB678" s="6"/>
      <c r="AC678" s="6" t="s">
        <v>4134</v>
      </c>
      <c r="AD678" s="6" t="s">
        <v>40</v>
      </c>
      <c r="AE678" s="2">
        <v>1</v>
      </c>
      <c r="AF678" s="2" t="s">
        <v>53</v>
      </c>
      <c r="AH678" s="2" t="s">
        <v>55</v>
      </c>
      <c r="AJ678" s="2" t="s">
        <v>57</v>
      </c>
    </row>
    <row r="679" spans="1:36" ht="17.149999999999999" hidden="1" customHeight="1">
      <c r="A679" s="1" t="s">
        <v>4135</v>
      </c>
      <c r="B679" s="1"/>
      <c r="C679" s="1" t="s">
        <v>4136</v>
      </c>
      <c r="D679" s="1"/>
      <c r="E679" s="1"/>
      <c r="F679" s="1"/>
      <c r="G679" s="1"/>
      <c r="H679" s="1" t="s">
        <v>249</v>
      </c>
      <c r="I679" s="1" t="s">
        <v>2122</v>
      </c>
      <c r="J679" s="1" t="s">
        <v>2070</v>
      </c>
      <c r="K679" s="1" t="s">
        <v>4137</v>
      </c>
      <c r="L679" s="1" t="s">
        <v>45</v>
      </c>
      <c r="M679" s="1" t="s">
        <v>46</v>
      </c>
      <c r="N679" s="1">
        <v>347022</v>
      </c>
      <c r="O679" s="1">
        <v>2018</v>
      </c>
      <c r="P679" s="1">
        <v>232870</v>
      </c>
      <c r="Q679" s="1">
        <v>2018</v>
      </c>
      <c r="R679" s="1" t="s">
        <v>46</v>
      </c>
      <c r="S679" s="1">
        <v>1</v>
      </c>
      <c r="T679" s="1" t="s">
        <v>46</v>
      </c>
      <c r="U679" s="1" t="s">
        <v>4138</v>
      </c>
    </row>
    <row r="680" spans="1:36" ht="17.149999999999999" hidden="1" customHeight="1">
      <c r="A680" s="1" t="s">
        <v>4139</v>
      </c>
      <c r="B680" s="1"/>
      <c r="C680" s="1" t="s">
        <v>4140</v>
      </c>
      <c r="D680" s="1"/>
      <c r="E680" s="1"/>
      <c r="F680" s="1"/>
      <c r="G680" s="1"/>
      <c r="H680" s="1" t="s">
        <v>177</v>
      </c>
      <c r="I680" s="1" t="s">
        <v>345</v>
      </c>
      <c r="J680" s="1" t="s">
        <v>4141</v>
      </c>
      <c r="K680" s="1" t="s">
        <v>4142</v>
      </c>
      <c r="L680" s="1" t="s">
        <v>45</v>
      </c>
      <c r="M680" s="1" t="s">
        <v>46</v>
      </c>
      <c r="N680" s="1">
        <v>125000</v>
      </c>
      <c r="O680" s="1">
        <v>2017</v>
      </c>
      <c r="P680" s="1">
        <v>125000</v>
      </c>
      <c r="Q680" s="1">
        <v>2017</v>
      </c>
      <c r="R680" s="1" t="s">
        <v>46</v>
      </c>
      <c r="S680" s="1">
        <v>1</v>
      </c>
      <c r="T680" s="1">
        <v>1</v>
      </c>
      <c r="U680" s="1" t="s">
        <v>4143</v>
      </c>
    </row>
    <row r="681" spans="1:36" ht="17.149999999999999" hidden="1" customHeight="1">
      <c r="A681" s="1" t="s">
        <v>4144</v>
      </c>
      <c r="B681" s="1"/>
      <c r="C681" s="1" t="s">
        <v>4145</v>
      </c>
      <c r="D681" s="1"/>
      <c r="E681" s="1"/>
      <c r="F681" s="1"/>
      <c r="G681" s="1"/>
      <c r="H681" s="1" t="s">
        <v>506</v>
      </c>
      <c r="I681" s="1" t="s">
        <v>46</v>
      </c>
      <c r="J681" s="1" t="s">
        <v>4146</v>
      </c>
      <c r="K681" s="1" t="s">
        <v>4147</v>
      </c>
      <c r="L681" s="1" t="s">
        <v>45</v>
      </c>
      <c r="M681" s="1" t="s">
        <v>46</v>
      </c>
      <c r="N681" s="1">
        <v>125000</v>
      </c>
      <c r="O681" s="1">
        <v>2016</v>
      </c>
      <c r="P681" s="1">
        <v>125000</v>
      </c>
      <c r="Q681" s="1">
        <v>2016</v>
      </c>
      <c r="R681" s="1" t="s">
        <v>46</v>
      </c>
      <c r="S681" s="1">
        <v>1</v>
      </c>
      <c r="T681" s="1">
        <v>1</v>
      </c>
      <c r="U681" s="1" t="s">
        <v>4148</v>
      </c>
    </row>
    <row r="682" spans="1:36" ht="17.149999999999999" hidden="1" customHeight="1">
      <c r="A682" s="1" t="s">
        <v>4149</v>
      </c>
      <c r="B682" s="1"/>
      <c r="C682" s="1" t="s">
        <v>4150</v>
      </c>
      <c r="D682" s="1"/>
      <c r="E682" s="1"/>
      <c r="F682" s="1"/>
      <c r="G682" s="1"/>
      <c r="H682" s="1" t="s">
        <v>506</v>
      </c>
      <c r="I682" s="1" t="s">
        <v>46</v>
      </c>
      <c r="J682" s="1" t="s">
        <v>4151</v>
      </c>
      <c r="K682" s="1" t="s">
        <v>4152</v>
      </c>
      <c r="L682" s="1" t="s">
        <v>45</v>
      </c>
      <c r="M682" s="1" t="s">
        <v>46</v>
      </c>
      <c r="N682" s="1">
        <v>125000</v>
      </c>
      <c r="O682" s="1">
        <v>2016</v>
      </c>
      <c r="P682" s="1">
        <v>125000</v>
      </c>
      <c r="Q682" s="1">
        <v>2016</v>
      </c>
      <c r="R682" s="1" t="s">
        <v>46</v>
      </c>
      <c r="S682" s="1">
        <v>1</v>
      </c>
      <c r="T682" s="1">
        <v>1</v>
      </c>
      <c r="U682" s="1" t="s">
        <v>4153</v>
      </c>
    </row>
    <row r="683" spans="1:36" ht="17.149999999999999" hidden="1" customHeight="1">
      <c r="A683" s="1" t="s">
        <v>4154</v>
      </c>
      <c r="B683" s="1"/>
      <c r="C683" s="1" t="s">
        <v>4155</v>
      </c>
      <c r="D683" s="1"/>
      <c r="E683" s="1"/>
      <c r="F683" s="1"/>
      <c r="G683" s="1"/>
      <c r="H683" s="1" t="s">
        <v>1938</v>
      </c>
      <c r="I683" s="1" t="s">
        <v>4156</v>
      </c>
      <c r="J683" s="1" t="s">
        <v>4157</v>
      </c>
      <c r="K683" s="1" t="s">
        <v>4158</v>
      </c>
      <c r="L683" s="1" t="s">
        <v>45</v>
      </c>
      <c r="M683" s="1" t="s">
        <v>46</v>
      </c>
      <c r="N683" s="1" t="s">
        <v>46</v>
      </c>
      <c r="O683" s="1" t="s">
        <v>46</v>
      </c>
      <c r="P683" s="1">
        <v>125000</v>
      </c>
      <c r="Q683" s="1">
        <v>2015</v>
      </c>
      <c r="R683" s="1" t="s">
        <v>46</v>
      </c>
      <c r="S683" s="1">
        <v>1</v>
      </c>
      <c r="T683" s="1">
        <v>1</v>
      </c>
      <c r="U683" s="1" t="s">
        <v>4159</v>
      </c>
    </row>
    <row r="684" spans="1:36" ht="17.149999999999999" hidden="1" customHeight="1">
      <c r="A684" s="1" t="s">
        <v>4160</v>
      </c>
      <c r="B684" s="1"/>
      <c r="C684" s="1" t="s">
        <v>4161</v>
      </c>
      <c r="D684" s="1"/>
      <c r="E684" s="1"/>
      <c r="F684" s="1"/>
      <c r="G684" s="1"/>
      <c r="H684" s="1" t="s">
        <v>1367</v>
      </c>
      <c r="I684" s="1" t="s">
        <v>46</v>
      </c>
      <c r="J684" s="1" t="s">
        <v>4162</v>
      </c>
      <c r="K684" s="1" t="s">
        <v>4163</v>
      </c>
      <c r="L684" s="1" t="s">
        <v>45</v>
      </c>
      <c r="M684" s="1" t="s">
        <v>46</v>
      </c>
      <c r="N684" s="1">
        <v>220461</v>
      </c>
      <c r="O684" s="1">
        <v>2017</v>
      </c>
      <c r="P684" s="1">
        <v>124441</v>
      </c>
      <c r="Q684" s="1">
        <v>2017</v>
      </c>
      <c r="R684" s="1" t="s">
        <v>46</v>
      </c>
      <c r="S684" s="1">
        <v>1</v>
      </c>
      <c r="T684" s="1">
        <v>1</v>
      </c>
      <c r="U684" s="1" t="s">
        <v>4164</v>
      </c>
    </row>
    <row r="685" spans="1:36" ht="17.149999999999999" hidden="1" customHeight="1">
      <c r="A685" s="1" t="s">
        <v>4165</v>
      </c>
      <c r="B685" s="1"/>
      <c r="C685" s="1" t="s">
        <v>4166</v>
      </c>
      <c r="D685" s="1"/>
      <c r="E685" s="1"/>
      <c r="F685" s="1"/>
      <c r="G685" s="1"/>
      <c r="H685" s="1" t="s">
        <v>177</v>
      </c>
      <c r="I685" s="1" t="s">
        <v>178</v>
      </c>
      <c r="J685" s="1" t="s">
        <v>4167</v>
      </c>
      <c r="K685" s="1" t="s">
        <v>4168</v>
      </c>
      <c r="L685" s="1" t="s">
        <v>45</v>
      </c>
      <c r="M685" s="1" t="s">
        <v>46</v>
      </c>
      <c r="N685" s="1">
        <v>126159</v>
      </c>
      <c r="O685" s="1">
        <v>2018</v>
      </c>
      <c r="P685" s="1">
        <v>124084</v>
      </c>
      <c r="Q685" s="1">
        <v>2015</v>
      </c>
      <c r="R685" s="1" t="s">
        <v>46</v>
      </c>
      <c r="S685" s="1">
        <v>1</v>
      </c>
      <c r="T685" s="1">
        <v>1</v>
      </c>
      <c r="U685" s="1" t="s">
        <v>4169</v>
      </c>
    </row>
    <row r="686" spans="1:36" ht="17.149999999999999" hidden="1" customHeight="1">
      <c r="A686" s="1" t="s">
        <v>4170</v>
      </c>
      <c r="B686" s="1"/>
      <c r="C686" s="1" t="s">
        <v>4171</v>
      </c>
      <c r="D686" s="1"/>
      <c r="E686" s="1"/>
      <c r="F686" s="1"/>
      <c r="G686" s="1"/>
      <c r="H686" s="1" t="s">
        <v>110</v>
      </c>
      <c r="I686" s="1" t="s">
        <v>46</v>
      </c>
      <c r="J686" s="1" t="s">
        <v>4172</v>
      </c>
      <c r="K686" s="1" t="s">
        <v>4173</v>
      </c>
      <c r="L686" s="1" t="s">
        <v>45</v>
      </c>
      <c r="M686" s="1" t="s">
        <v>46</v>
      </c>
      <c r="N686" s="1">
        <v>123925</v>
      </c>
      <c r="O686" s="1">
        <v>2015</v>
      </c>
      <c r="P686" s="1">
        <v>123925</v>
      </c>
      <c r="Q686" s="1">
        <v>2015</v>
      </c>
      <c r="R686" s="1" t="s">
        <v>46</v>
      </c>
      <c r="S686" s="1">
        <v>1</v>
      </c>
      <c r="T686" s="1">
        <v>1</v>
      </c>
      <c r="U686" s="1" t="s">
        <v>4174</v>
      </c>
    </row>
    <row r="687" spans="1:36" ht="17.149999999999999" hidden="1" customHeight="1">
      <c r="A687" s="1" t="s">
        <v>4175</v>
      </c>
      <c r="B687" s="1"/>
      <c r="C687" s="1" t="s">
        <v>4176</v>
      </c>
      <c r="D687" s="1"/>
      <c r="E687" s="1"/>
      <c r="F687" s="1"/>
      <c r="G687" s="1"/>
      <c r="H687" s="1" t="s">
        <v>249</v>
      </c>
      <c r="I687" s="1" t="s">
        <v>4080</v>
      </c>
      <c r="J687" s="1" t="s">
        <v>4081</v>
      </c>
      <c r="K687" s="1" t="s">
        <v>4177</v>
      </c>
      <c r="L687" s="1" t="s">
        <v>45</v>
      </c>
      <c r="M687" s="1" t="s">
        <v>46</v>
      </c>
      <c r="N687" s="1">
        <v>295971</v>
      </c>
      <c r="O687" s="1">
        <v>2018</v>
      </c>
      <c r="P687" s="1">
        <v>383493</v>
      </c>
      <c r="Q687" s="1">
        <v>2018</v>
      </c>
      <c r="R687" s="1" t="s">
        <v>46</v>
      </c>
      <c r="S687" s="1">
        <v>1</v>
      </c>
      <c r="T687" s="1">
        <v>1</v>
      </c>
      <c r="U687" s="1" t="s">
        <v>4178</v>
      </c>
      <c r="V687" s="2" t="s">
        <v>40</v>
      </c>
      <c r="AC687" s="10" t="s">
        <v>4179</v>
      </c>
    </row>
    <row r="688" spans="1:36" s="44" customFormat="1" ht="17.149999999999999" hidden="1" customHeight="1">
      <c r="A688" s="141" t="s">
        <v>4180</v>
      </c>
      <c r="B688" s="141"/>
      <c r="C688" s="141" t="s">
        <v>4181</v>
      </c>
      <c r="D688" s="1"/>
      <c r="E688" s="1"/>
      <c r="F688" s="1"/>
      <c r="G688" s="1"/>
      <c r="H688" s="141" t="s">
        <v>249</v>
      </c>
      <c r="I688" s="141" t="s">
        <v>4182</v>
      </c>
      <c r="J688" s="141" t="s">
        <v>4183</v>
      </c>
      <c r="K688" s="141" t="s">
        <v>4184</v>
      </c>
      <c r="L688" s="141" t="s">
        <v>45</v>
      </c>
      <c r="M688" s="141" t="s">
        <v>46</v>
      </c>
      <c r="N688" s="141">
        <v>292098</v>
      </c>
      <c r="O688" s="141">
        <v>2018</v>
      </c>
      <c r="P688" s="141">
        <v>299127</v>
      </c>
      <c r="Q688" s="141">
        <v>2018</v>
      </c>
      <c r="R688" s="141" t="s">
        <v>46</v>
      </c>
      <c r="S688" s="141">
        <v>1</v>
      </c>
      <c r="T688" s="141">
        <v>1</v>
      </c>
      <c r="U688" s="141" t="s">
        <v>4185</v>
      </c>
    </row>
    <row r="689" spans="1:36" ht="17.149999999999999" hidden="1" customHeight="1">
      <c r="A689" s="1" t="s">
        <v>4186</v>
      </c>
      <c r="B689" s="1"/>
      <c r="C689" s="1" t="s">
        <v>4187</v>
      </c>
      <c r="D689" s="1"/>
      <c r="E689" s="1"/>
      <c r="F689" s="1"/>
      <c r="G689" s="1"/>
      <c r="H689" s="1" t="s">
        <v>500</v>
      </c>
      <c r="I689" s="1" t="s">
        <v>46</v>
      </c>
      <c r="J689" s="1" t="s">
        <v>4188</v>
      </c>
      <c r="K689" s="1" t="s">
        <v>4189</v>
      </c>
      <c r="L689" s="1" t="s">
        <v>45</v>
      </c>
      <c r="M689" s="1" t="s">
        <v>46</v>
      </c>
      <c r="N689" s="1">
        <v>140000</v>
      </c>
      <c r="O689" s="1">
        <v>2018</v>
      </c>
      <c r="P689" s="1">
        <v>123013</v>
      </c>
      <c r="Q689" s="1">
        <v>2016</v>
      </c>
      <c r="R689" s="1" t="s">
        <v>46</v>
      </c>
      <c r="S689" s="1">
        <v>1</v>
      </c>
      <c r="T689" s="1">
        <v>1</v>
      </c>
      <c r="U689" s="1" t="s">
        <v>4190</v>
      </c>
    </row>
    <row r="690" spans="1:36" ht="17.149999999999999" hidden="1" customHeight="1">
      <c r="A690" s="1" t="s">
        <v>4191</v>
      </c>
      <c r="B690" s="1"/>
      <c r="C690" s="1" t="s">
        <v>4192</v>
      </c>
      <c r="D690" s="1"/>
      <c r="E690" s="1"/>
      <c r="F690" s="1"/>
      <c r="G690" s="1"/>
      <c r="H690" s="1" t="s">
        <v>674</v>
      </c>
      <c r="I690" s="1" t="s">
        <v>46</v>
      </c>
      <c r="J690" s="1" t="s">
        <v>4193</v>
      </c>
      <c r="K690" s="1" t="s">
        <v>4194</v>
      </c>
      <c r="L690" s="1" t="s">
        <v>45</v>
      </c>
      <c r="M690" s="1" t="s">
        <v>46</v>
      </c>
      <c r="N690" s="1">
        <v>235525</v>
      </c>
      <c r="O690" s="1">
        <v>2016</v>
      </c>
      <c r="P690" s="1">
        <v>122850</v>
      </c>
      <c r="Q690" s="1">
        <v>2016</v>
      </c>
      <c r="R690" s="1" t="s">
        <v>46</v>
      </c>
      <c r="S690" s="1">
        <v>1</v>
      </c>
      <c r="T690" s="1">
        <v>1</v>
      </c>
      <c r="U690" s="1" t="s">
        <v>4195</v>
      </c>
    </row>
    <row r="691" spans="1:36" ht="17.149999999999999" hidden="1" customHeight="1">
      <c r="A691" s="1" t="s">
        <v>4196</v>
      </c>
      <c r="B691" s="1"/>
      <c r="C691" s="1" t="s">
        <v>4197</v>
      </c>
      <c r="D691" s="1"/>
      <c r="E691" s="1"/>
      <c r="F691" s="1"/>
      <c r="G691" s="1"/>
      <c r="H691" s="1" t="s">
        <v>1171</v>
      </c>
      <c r="I691" s="1" t="s">
        <v>46</v>
      </c>
      <c r="J691" s="1" t="s">
        <v>4198</v>
      </c>
      <c r="K691" s="1" t="s">
        <v>4199</v>
      </c>
      <c r="L691" s="1" t="s">
        <v>118</v>
      </c>
      <c r="M691" s="1" t="s">
        <v>4200</v>
      </c>
      <c r="N691" s="1">
        <v>167119</v>
      </c>
      <c r="O691" s="1">
        <v>2018</v>
      </c>
      <c r="P691" s="1">
        <v>122720</v>
      </c>
      <c r="Q691" s="1">
        <v>2015</v>
      </c>
      <c r="R691" s="1" t="s">
        <v>46</v>
      </c>
      <c r="S691" s="1">
        <v>1</v>
      </c>
      <c r="T691" s="1" t="s">
        <v>46</v>
      </c>
      <c r="U691" s="1" t="s">
        <v>4201</v>
      </c>
    </row>
    <row r="692" spans="1:36" ht="17.149999999999999" hidden="1" customHeight="1">
      <c r="A692" s="1" t="s">
        <v>4202</v>
      </c>
      <c r="B692" s="1"/>
      <c r="C692" s="1" t="s">
        <v>4203</v>
      </c>
      <c r="D692" s="1"/>
      <c r="E692" s="1"/>
      <c r="F692" s="1"/>
      <c r="G692" s="1"/>
      <c r="H692" s="1" t="s">
        <v>249</v>
      </c>
      <c r="I692" s="1" t="s">
        <v>4204</v>
      </c>
      <c r="J692" s="1" t="s">
        <v>4205</v>
      </c>
      <c r="K692" s="1" t="s">
        <v>4206</v>
      </c>
      <c r="L692" s="1" t="s">
        <v>45</v>
      </c>
      <c r="M692" s="1" t="s">
        <v>46</v>
      </c>
      <c r="N692" s="1">
        <v>288606</v>
      </c>
      <c r="O692" s="1">
        <v>2018</v>
      </c>
      <c r="P692" s="1">
        <v>282375</v>
      </c>
      <c r="Q692" s="1">
        <v>2018</v>
      </c>
      <c r="R692" s="1" t="s">
        <v>46</v>
      </c>
      <c r="S692" s="1">
        <v>1</v>
      </c>
      <c r="T692" s="1">
        <v>1</v>
      </c>
      <c r="U692" s="1" t="s">
        <v>4207</v>
      </c>
    </row>
    <row r="693" spans="1:36" s="44" customFormat="1" ht="17.149999999999999" hidden="1" customHeight="1">
      <c r="A693" s="141" t="s">
        <v>4208</v>
      </c>
      <c r="B693" s="141"/>
      <c r="C693" s="141" t="s">
        <v>4209</v>
      </c>
      <c r="D693" s="1"/>
      <c r="E693" s="1"/>
      <c r="F693" s="1"/>
      <c r="G693" s="1"/>
      <c r="H693" s="141" t="s">
        <v>249</v>
      </c>
      <c r="I693" s="141" t="s">
        <v>4210</v>
      </c>
      <c r="J693" s="141" t="s">
        <v>4211</v>
      </c>
      <c r="K693" s="141" t="s">
        <v>4212</v>
      </c>
      <c r="L693" s="141" t="s">
        <v>45</v>
      </c>
      <c r="M693" s="141" t="s">
        <v>46</v>
      </c>
      <c r="N693" s="141">
        <v>285539</v>
      </c>
      <c r="O693" s="141">
        <v>2018</v>
      </c>
      <c r="P693" s="141">
        <v>285539</v>
      </c>
      <c r="Q693" s="141">
        <v>2018</v>
      </c>
      <c r="R693" s="141" t="s">
        <v>46</v>
      </c>
      <c r="S693" s="141">
        <v>1</v>
      </c>
      <c r="T693" s="141">
        <v>1</v>
      </c>
      <c r="U693" s="141" t="s">
        <v>4213</v>
      </c>
    </row>
    <row r="694" spans="1:36" s="44" customFormat="1" ht="17.149999999999999" hidden="1" customHeight="1">
      <c r="A694" s="21" t="s">
        <v>4214</v>
      </c>
      <c r="B694" s="21"/>
      <c r="C694" s="58" t="s">
        <v>4215</v>
      </c>
      <c r="D694" s="61"/>
      <c r="E694" s="61"/>
      <c r="F694" s="61"/>
      <c r="G694" s="61"/>
      <c r="H694" s="21" t="s">
        <v>41</v>
      </c>
      <c r="I694" s="21" t="s">
        <v>680</v>
      </c>
      <c r="J694" s="21" t="s">
        <v>4216</v>
      </c>
      <c r="K694" s="21" t="s">
        <v>4217</v>
      </c>
      <c r="L694" s="21" t="s">
        <v>118</v>
      </c>
      <c r="M694" s="21" t="s">
        <v>1126</v>
      </c>
      <c r="N694" s="21" t="s">
        <v>46</v>
      </c>
      <c r="O694" s="21" t="s">
        <v>46</v>
      </c>
      <c r="P694" s="21">
        <v>122100</v>
      </c>
      <c r="Q694" s="21">
        <v>2016</v>
      </c>
      <c r="R694" s="21" t="s">
        <v>46</v>
      </c>
      <c r="S694" s="21">
        <v>1</v>
      </c>
      <c r="T694" s="21">
        <v>1</v>
      </c>
      <c r="U694" s="21" t="s">
        <v>4218</v>
      </c>
      <c r="V694" s="22" t="s">
        <v>4219</v>
      </c>
      <c r="W694" s="22"/>
      <c r="X694" s="22"/>
      <c r="Y694" s="22"/>
      <c r="Z694" s="22"/>
      <c r="AA694" s="22"/>
      <c r="AB694" s="22"/>
      <c r="AC694" s="22"/>
      <c r="AD694" s="22"/>
    </row>
    <row r="695" spans="1:36" ht="17.149999999999999" hidden="1" customHeight="1">
      <c r="A695" s="1" t="s">
        <v>4220</v>
      </c>
      <c r="B695" s="1"/>
      <c r="C695" s="1" t="s">
        <v>4221</v>
      </c>
      <c r="D695" s="1"/>
      <c r="E695" s="1"/>
      <c r="F695" s="1"/>
      <c r="G695" s="1"/>
      <c r="H695" s="1" t="s">
        <v>1367</v>
      </c>
      <c r="I695" s="1" t="s">
        <v>46</v>
      </c>
      <c r="J695" s="1" t="s">
        <v>4222</v>
      </c>
      <c r="K695" s="1" t="s">
        <v>4223</v>
      </c>
      <c r="L695" s="1" t="s">
        <v>45</v>
      </c>
      <c r="M695" s="1" t="s">
        <v>46</v>
      </c>
      <c r="N695" s="1">
        <v>139907</v>
      </c>
      <c r="O695" s="1">
        <v>2017</v>
      </c>
      <c r="P695" s="1">
        <v>121804</v>
      </c>
      <c r="Q695" s="1">
        <v>2017</v>
      </c>
      <c r="R695" s="1" t="s">
        <v>46</v>
      </c>
      <c r="S695" s="1">
        <v>1</v>
      </c>
      <c r="T695" s="1">
        <v>1</v>
      </c>
      <c r="U695" s="1" t="s">
        <v>4224</v>
      </c>
    </row>
    <row r="696" spans="1:36" ht="17.149999999999999" hidden="1" customHeight="1">
      <c r="A696" s="1" t="s">
        <v>4225</v>
      </c>
      <c r="B696" s="1"/>
      <c r="C696" s="1" t="s">
        <v>4226</v>
      </c>
      <c r="D696" s="1"/>
      <c r="E696" s="1"/>
      <c r="F696" s="1"/>
      <c r="G696" s="1"/>
      <c r="H696" s="1" t="s">
        <v>249</v>
      </c>
      <c r="I696" s="1" t="s">
        <v>4227</v>
      </c>
      <c r="J696" s="1" t="s">
        <v>4228</v>
      </c>
      <c r="K696" s="1" t="s">
        <v>4229</v>
      </c>
      <c r="L696" s="1" t="s">
        <v>45</v>
      </c>
      <c r="M696" s="1" t="s">
        <v>46</v>
      </c>
      <c r="N696" s="1">
        <v>284447</v>
      </c>
      <c r="O696" s="1">
        <v>2018</v>
      </c>
      <c r="P696" s="1">
        <v>283153</v>
      </c>
      <c r="Q696" s="1">
        <v>2018</v>
      </c>
      <c r="R696" s="1" t="s">
        <v>46</v>
      </c>
      <c r="S696" s="1">
        <v>1</v>
      </c>
      <c r="T696" s="1">
        <v>1</v>
      </c>
      <c r="U696" s="1" t="s">
        <v>4230</v>
      </c>
    </row>
    <row r="697" spans="1:36" ht="17.149999999999999" customHeight="1">
      <c r="A697" s="14" t="s">
        <v>4231</v>
      </c>
      <c r="B697" s="14" t="s">
        <v>37</v>
      </c>
      <c r="C697" s="90" t="s">
        <v>4232</v>
      </c>
      <c r="D697" s="144" t="s">
        <v>4232</v>
      </c>
      <c r="E697" s="17" t="s">
        <v>4233</v>
      </c>
      <c r="F697" s="17" t="s">
        <v>62</v>
      </c>
      <c r="G697" s="61" t="s">
        <v>40</v>
      </c>
      <c r="H697" s="14" t="s">
        <v>41</v>
      </c>
      <c r="I697" s="14" t="s">
        <v>42</v>
      </c>
      <c r="J697" s="14" t="s">
        <v>4234</v>
      </c>
      <c r="K697" s="14" t="s">
        <v>4235</v>
      </c>
      <c r="L697" s="14" t="s">
        <v>45</v>
      </c>
      <c r="M697" s="14" t="s">
        <v>46</v>
      </c>
      <c r="N697" s="14" t="s">
        <v>46</v>
      </c>
      <c r="O697" s="14" t="s">
        <v>46</v>
      </c>
      <c r="P697" s="14">
        <v>301300</v>
      </c>
      <c r="Q697" s="14">
        <v>2016</v>
      </c>
      <c r="R697" s="14" t="s">
        <v>46</v>
      </c>
      <c r="S697" s="14">
        <v>1</v>
      </c>
      <c r="T697" s="14">
        <v>1</v>
      </c>
      <c r="U697" s="14" t="s">
        <v>4236</v>
      </c>
      <c r="V697" s="6" t="s">
        <v>40</v>
      </c>
      <c r="W697" s="6" t="s">
        <v>4237</v>
      </c>
      <c r="X697" s="6" t="s">
        <v>40</v>
      </c>
      <c r="Y697" s="6"/>
      <c r="Z697" s="6" t="s">
        <v>4238</v>
      </c>
      <c r="AA697" s="6" t="s">
        <v>4239</v>
      </c>
      <c r="AB697" s="6"/>
      <c r="AC697" s="28" t="s">
        <v>4240</v>
      </c>
      <c r="AD697" s="103" t="s">
        <v>103</v>
      </c>
      <c r="AE697" s="42">
        <v>3</v>
      </c>
      <c r="AF697" s="42" t="s">
        <v>404</v>
      </c>
      <c r="AG697" s="42" t="s">
        <v>4241</v>
      </c>
      <c r="AJ697" s="2" t="s">
        <v>57</v>
      </c>
    </row>
    <row r="698" spans="1:36" ht="17.149999999999999" hidden="1" customHeight="1">
      <c r="A698" s="1" t="s">
        <v>4242</v>
      </c>
      <c r="B698" s="1"/>
      <c r="C698" s="1" t="s">
        <v>4243</v>
      </c>
      <c r="D698" s="1"/>
      <c r="E698" s="1"/>
      <c r="F698" s="1"/>
      <c r="G698" s="1"/>
      <c r="H698" s="1" t="s">
        <v>110</v>
      </c>
      <c r="I698" s="1" t="s">
        <v>46</v>
      </c>
      <c r="J698" s="1" t="s">
        <v>1950</v>
      </c>
      <c r="K698" s="1" t="s">
        <v>4244</v>
      </c>
      <c r="L698" s="1" t="s">
        <v>45</v>
      </c>
      <c r="M698" s="1" t="s">
        <v>46</v>
      </c>
      <c r="N698" s="1">
        <v>140000</v>
      </c>
      <c r="O698" s="1">
        <v>2015</v>
      </c>
      <c r="P698" s="1">
        <v>120000</v>
      </c>
      <c r="Q698" s="1">
        <v>2015</v>
      </c>
      <c r="R698" s="1" t="s">
        <v>46</v>
      </c>
      <c r="S698" s="1">
        <v>1</v>
      </c>
      <c r="T698" s="1">
        <v>1</v>
      </c>
      <c r="U698" s="1" t="s">
        <v>4245</v>
      </c>
    </row>
    <row r="699" spans="1:36" ht="17.149999999999999" hidden="1" customHeight="1">
      <c r="A699" s="1" t="s">
        <v>4246</v>
      </c>
      <c r="B699" s="1"/>
      <c r="C699" s="1" t="s">
        <v>4247</v>
      </c>
      <c r="D699" s="1"/>
      <c r="E699" s="1"/>
      <c r="F699" s="1"/>
      <c r="G699" s="1"/>
      <c r="H699" s="1" t="s">
        <v>506</v>
      </c>
      <c r="I699" s="1" t="s">
        <v>46</v>
      </c>
      <c r="J699" s="1" t="s">
        <v>4248</v>
      </c>
      <c r="K699" s="1" t="s">
        <v>4249</v>
      </c>
      <c r="L699" s="1" t="s">
        <v>45</v>
      </c>
      <c r="M699" s="1" t="s">
        <v>46</v>
      </c>
      <c r="N699" s="1">
        <v>120000</v>
      </c>
      <c r="O699" s="1">
        <v>2016</v>
      </c>
      <c r="P699" s="1">
        <v>120000</v>
      </c>
      <c r="Q699" s="1">
        <v>2016</v>
      </c>
      <c r="R699" s="1" t="s">
        <v>46</v>
      </c>
      <c r="S699" s="1">
        <v>1</v>
      </c>
      <c r="T699" s="1">
        <v>1</v>
      </c>
      <c r="U699" s="1" t="s">
        <v>4250</v>
      </c>
    </row>
    <row r="700" spans="1:36" ht="17.149999999999999" hidden="1" customHeight="1">
      <c r="A700" s="1" t="s">
        <v>4251</v>
      </c>
      <c r="B700" s="1"/>
      <c r="C700" s="1" t="s">
        <v>4252</v>
      </c>
      <c r="D700" s="1"/>
      <c r="E700" s="1"/>
      <c r="F700" s="1"/>
      <c r="G700" s="1"/>
      <c r="H700" s="1" t="s">
        <v>506</v>
      </c>
      <c r="I700" s="1" t="s">
        <v>46</v>
      </c>
      <c r="J700" s="1" t="s">
        <v>4253</v>
      </c>
      <c r="K700" s="1" t="s">
        <v>4254</v>
      </c>
      <c r="L700" s="1" t="s">
        <v>45</v>
      </c>
      <c r="M700" s="1" t="s">
        <v>46</v>
      </c>
      <c r="N700" s="1">
        <v>120000</v>
      </c>
      <c r="O700" s="1">
        <v>2016</v>
      </c>
      <c r="P700" s="1">
        <v>120000</v>
      </c>
      <c r="Q700" s="1">
        <v>2016</v>
      </c>
      <c r="R700" s="1" t="s">
        <v>46</v>
      </c>
      <c r="S700" s="1">
        <v>1</v>
      </c>
      <c r="T700" s="1">
        <v>1</v>
      </c>
      <c r="U700" s="1" t="s">
        <v>4255</v>
      </c>
    </row>
    <row r="701" spans="1:36" ht="17.149999999999999" hidden="1" customHeight="1">
      <c r="A701" s="1" t="s">
        <v>4256</v>
      </c>
      <c r="B701" s="1"/>
      <c r="C701" s="1" t="s">
        <v>4257</v>
      </c>
      <c r="D701" s="1"/>
      <c r="E701" s="1"/>
      <c r="F701" s="1"/>
      <c r="G701" s="1"/>
      <c r="H701" s="1" t="s">
        <v>313</v>
      </c>
      <c r="I701" s="1" t="s">
        <v>4258</v>
      </c>
      <c r="J701" s="1" t="s">
        <v>4259</v>
      </c>
      <c r="K701" s="1" t="s">
        <v>4260</v>
      </c>
      <c r="L701" s="1" t="s">
        <v>118</v>
      </c>
      <c r="M701" s="1" t="s">
        <v>46</v>
      </c>
      <c r="N701" s="1">
        <v>225000</v>
      </c>
      <c r="O701" s="1">
        <v>2015</v>
      </c>
      <c r="P701" s="1">
        <v>120000</v>
      </c>
      <c r="Q701" s="1">
        <v>2019</v>
      </c>
      <c r="R701" s="1" t="s">
        <v>46</v>
      </c>
      <c r="S701" s="1">
        <v>1</v>
      </c>
      <c r="T701" s="1">
        <v>1</v>
      </c>
      <c r="U701" s="1" t="s">
        <v>4261</v>
      </c>
    </row>
    <row r="702" spans="1:36" ht="17.149999999999999" hidden="1" customHeight="1">
      <c r="A702" s="1" t="s">
        <v>4262</v>
      </c>
      <c r="B702" s="1"/>
      <c r="C702" s="1" t="s">
        <v>4263</v>
      </c>
      <c r="D702" s="1"/>
      <c r="E702" s="1"/>
      <c r="F702" s="1"/>
      <c r="G702" s="1"/>
      <c r="H702" s="1" t="s">
        <v>249</v>
      </c>
      <c r="I702" s="1" t="s">
        <v>3347</v>
      </c>
      <c r="J702" s="1" t="s">
        <v>3348</v>
      </c>
      <c r="K702" s="1" t="s">
        <v>4264</v>
      </c>
      <c r="L702" s="1" t="s">
        <v>45</v>
      </c>
      <c r="M702" s="1" t="s">
        <v>46</v>
      </c>
      <c r="N702" s="1">
        <v>280355</v>
      </c>
      <c r="O702" s="1">
        <v>2018</v>
      </c>
      <c r="P702" s="1">
        <v>136212</v>
      </c>
      <c r="Q702" s="1">
        <v>2018</v>
      </c>
      <c r="R702" s="1" t="s">
        <v>46</v>
      </c>
      <c r="S702" s="1">
        <v>1</v>
      </c>
      <c r="T702" s="1" t="s">
        <v>46</v>
      </c>
      <c r="U702" s="1" t="s">
        <v>4265</v>
      </c>
    </row>
    <row r="703" spans="1:36" ht="17.149999999999999" hidden="1" customHeight="1">
      <c r="A703" s="1" t="s">
        <v>4266</v>
      </c>
      <c r="B703" s="1"/>
      <c r="C703" s="1" t="s">
        <v>4267</v>
      </c>
      <c r="D703" s="1"/>
      <c r="E703" s="1"/>
      <c r="F703" s="1"/>
      <c r="G703" s="1"/>
      <c r="H703" s="1" t="s">
        <v>249</v>
      </c>
      <c r="I703" s="1" t="s">
        <v>4268</v>
      </c>
      <c r="J703" s="1" t="s">
        <v>4269</v>
      </c>
      <c r="K703" s="1" t="s">
        <v>4270</v>
      </c>
      <c r="L703" s="1" t="s">
        <v>45</v>
      </c>
      <c r="M703" s="1" t="s">
        <v>4062</v>
      </c>
      <c r="N703" s="1">
        <v>266007</v>
      </c>
      <c r="O703" s="1">
        <v>2018</v>
      </c>
      <c r="P703" s="1">
        <v>268517</v>
      </c>
      <c r="Q703" s="1">
        <v>2018</v>
      </c>
      <c r="R703" s="1" t="s">
        <v>46</v>
      </c>
      <c r="S703" s="1">
        <v>1</v>
      </c>
      <c r="T703" s="1">
        <v>1</v>
      </c>
      <c r="U703" s="1" t="s">
        <v>4271</v>
      </c>
    </row>
    <row r="704" spans="1:36" ht="17.149999999999999" hidden="1" customHeight="1">
      <c r="A704" s="1" t="s">
        <v>4272</v>
      </c>
      <c r="B704" s="1"/>
      <c r="C704" s="1" t="s">
        <v>4273</v>
      </c>
      <c r="D704" s="1"/>
      <c r="E704" s="1"/>
      <c r="F704" s="1"/>
      <c r="G704" s="1"/>
      <c r="H704" s="1" t="s">
        <v>249</v>
      </c>
      <c r="I704" s="1" t="s">
        <v>4274</v>
      </c>
      <c r="J704" s="1" t="s">
        <v>4275</v>
      </c>
      <c r="K704" s="1" t="s">
        <v>4276</v>
      </c>
      <c r="L704" s="1" t="s">
        <v>45</v>
      </c>
      <c r="M704" s="1" t="s">
        <v>46</v>
      </c>
      <c r="N704" s="1">
        <v>260665</v>
      </c>
      <c r="O704" s="1">
        <v>2018</v>
      </c>
      <c r="P704" s="1">
        <v>260665</v>
      </c>
      <c r="Q704" s="1">
        <v>2018</v>
      </c>
      <c r="R704" s="1" t="s">
        <v>46</v>
      </c>
      <c r="S704" s="1">
        <v>1</v>
      </c>
      <c r="T704" s="1">
        <v>1</v>
      </c>
      <c r="U704" s="1" t="s">
        <v>4277</v>
      </c>
    </row>
    <row r="705" spans="1:41" ht="17.149999999999999" hidden="1" customHeight="1">
      <c r="A705" s="1" t="s">
        <v>4278</v>
      </c>
      <c r="B705" s="1"/>
      <c r="C705" s="1" t="s">
        <v>4279</v>
      </c>
      <c r="D705" s="1"/>
      <c r="E705" s="1"/>
      <c r="F705" s="1"/>
      <c r="G705" s="1"/>
      <c r="H705" s="1" t="s">
        <v>249</v>
      </c>
      <c r="I705" s="1" t="s">
        <v>4280</v>
      </c>
      <c r="J705" s="1" t="s">
        <v>4281</v>
      </c>
      <c r="K705" s="1" t="s">
        <v>4282</v>
      </c>
      <c r="L705" s="1" t="s">
        <v>118</v>
      </c>
      <c r="M705" s="1" t="s">
        <v>1311</v>
      </c>
      <c r="N705" s="1">
        <v>258002</v>
      </c>
      <c r="O705" s="1">
        <v>2018</v>
      </c>
      <c r="P705" s="1">
        <v>259383</v>
      </c>
      <c r="Q705" s="1">
        <v>2018</v>
      </c>
      <c r="R705" s="1" t="s">
        <v>46</v>
      </c>
      <c r="S705" s="1">
        <v>1</v>
      </c>
      <c r="T705" s="1">
        <v>1</v>
      </c>
      <c r="U705" s="1" t="s">
        <v>4283</v>
      </c>
    </row>
    <row r="706" spans="1:41" ht="17.149999999999999" hidden="1" customHeight="1">
      <c r="A706" s="17" t="s">
        <v>4284</v>
      </c>
      <c r="B706" s="17"/>
      <c r="C706" s="61" t="s">
        <v>4285</v>
      </c>
      <c r="D706" s="61"/>
      <c r="E706" s="61"/>
      <c r="F706" s="61"/>
      <c r="G706" s="61"/>
      <c r="H706" s="17" t="s">
        <v>41</v>
      </c>
      <c r="I706" s="17" t="s">
        <v>592</v>
      </c>
      <c r="J706" s="17" t="s">
        <v>4286</v>
      </c>
      <c r="K706" s="17" t="s">
        <v>4287</v>
      </c>
      <c r="L706" s="17" t="s">
        <v>45</v>
      </c>
      <c r="M706" s="17" t="s">
        <v>46</v>
      </c>
      <c r="N706" s="17" t="s">
        <v>46</v>
      </c>
      <c r="O706" s="17" t="s">
        <v>46</v>
      </c>
      <c r="P706" s="17">
        <v>117600</v>
      </c>
      <c r="Q706" s="17">
        <v>2016</v>
      </c>
      <c r="R706" s="17" t="s">
        <v>46</v>
      </c>
      <c r="S706" s="17">
        <v>1</v>
      </c>
      <c r="T706" s="17">
        <v>1</v>
      </c>
      <c r="U706" s="17" t="s">
        <v>4288</v>
      </c>
      <c r="V706" s="18"/>
      <c r="W706" s="18"/>
      <c r="X706" s="18"/>
      <c r="Y706" s="18"/>
      <c r="Z706" s="18"/>
      <c r="AA706" s="18"/>
      <c r="AB706" s="18"/>
      <c r="AC706" s="11"/>
      <c r="AD706" s="11"/>
    </row>
    <row r="707" spans="1:41" s="42" customFormat="1" ht="17.149999999999999" customHeight="1">
      <c r="A707" s="14" t="s">
        <v>4289</v>
      </c>
      <c r="B707" s="14" t="s">
        <v>37</v>
      </c>
      <c r="C707" s="90" t="s">
        <v>4290</v>
      </c>
      <c r="D707" s="154" t="s">
        <v>4290</v>
      </c>
      <c r="E707" s="17" t="s">
        <v>4291</v>
      </c>
      <c r="F707" s="17" t="s">
        <v>62</v>
      </c>
      <c r="G707" s="61" t="s">
        <v>40</v>
      </c>
      <c r="H707" s="14" t="s">
        <v>41</v>
      </c>
      <c r="I707" s="14" t="s">
        <v>42</v>
      </c>
      <c r="J707" s="14" t="s">
        <v>4292</v>
      </c>
      <c r="K707" s="14" t="s">
        <v>4293</v>
      </c>
      <c r="L707" s="14" t="s">
        <v>45</v>
      </c>
      <c r="M707" s="14" t="s">
        <v>46</v>
      </c>
      <c r="N707" s="14" t="s">
        <v>46</v>
      </c>
      <c r="O707" s="14" t="s">
        <v>46</v>
      </c>
      <c r="P707" s="14">
        <v>64000</v>
      </c>
      <c r="Q707" s="14">
        <v>2015</v>
      </c>
      <c r="R707" s="14" t="s">
        <v>46</v>
      </c>
      <c r="S707" s="14">
        <v>1</v>
      </c>
      <c r="T707" s="14">
        <v>1</v>
      </c>
      <c r="U707" s="14" t="s">
        <v>4294</v>
      </c>
      <c r="V707" s="6" t="s">
        <v>40</v>
      </c>
      <c r="W707" s="6" t="s">
        <v>323</v>
      </c>
      <c r="X707" s="33" t="s">
        <v>40</v>
      </c>
      <c r="Y707" s="33"/>
      <c r="Z707" s="6" t="s">
        <v>4295</v>
      </c>
      <c r="AA707" s="6" t="s">
        <v>4296</v>
      </c>
      <c r="AB707" s="6"/>
      <c r="AC707" s="6" t="s">
        <v>4297</v>
      </c>
      <c r="AD707" s="33" t="s">
        <v>40</v>
      </c>
      <c r="AE707" s="2">
        <v>3</v>
      </c>
      <c r="AF707" s="2" t="s">
        <v>53</v>
      </c>
      <c r="AG707" s="2"/>
      <c r="AH707" s="2"/>
      <c r="AI707" s="2"/>
      <c r="AJ707" s="2" t="s">
        <v>1318</v>
      </c>
      <c r="AK707" s="2"/>
      <c r="AL707" s="2"/>
      <c r="AM707" s="2"/>
      <c r="AN707" s="2"/>
      <c r="AO707" s="2"/>
    </row>
    <row r="708" spans="1:41" ht="17.149999999999999" customHeight="1">
      <c r="A708" s="14" t="s">
        <v>4298</v>
      </c>
      <c r="B708" s="14" t="s">
        <v>37</v>
      </c>
      <c r="C708" s="90" t="s">
        <v>4299</v>
      </c>
      <c r="D708" s="144" t="s">
        <v>4300</v>
      </c>
      <c r="E708" s="144" t="s">
        <v>4301</v>
      </c>
      <c r="F708" s="17" t="s">
        <v>62</v>
      </c>
      <c r="G708" s="61" t="s">
        <v>40</v>
      </c>
      <c r="H708" s="14" t="s">
        <v>41</v>
      </c>
      <c r="I708" s="14" t="s">
        <v>63</v>
      </c>
      <c r="J708" s="14" t="s">
        <v>4302</v>
      </c>
      <c r="K708" s="14" t="s">
        <v>4303</v>
      </c>
      <c r="L708" s="14" t="s">
        <v>45</v>
      </c>
      <c r="M708" s="14" t="s">
        <v>46</v>
      </c>
      <c r="N708" s="14" t="s">
        <v>46</v>
      </c>
      <c r="O708" s="14" t="s">
        <v>46</v>
      </c>
      <c r="P708" s="16">
        <v>69000</v>
      </c>
      <c r="Q708" s="16">
        <v>2025</v>
      </c>
      <c r="R708" s="14" t="s">
        <v>46</v>
      </c>
      <c r="S708" s="14">
        <v>1</v>
      </c>
      <c r="T708" s="14">
        <v>1</v>
      </c>
      <c r="U708" s="14" t="s">
        <v>4304</v>
      </c>
      <c r="V708" s="6" t="s">
        <v>40</v>
      </c>
      <c r="W708" s="6" t="s">
        <v>323</v>
      </c>
      <c r="X708" s="33" t="s">
        <v>40</v>
      </c>
      <c r="Y708" s="33"/>
      <c r="Z708" s="6" t="s">
        <v>2915</v>
      </c>
      <c r="AA708" s="6" t="s">
        <v>4305</v>
      </c>
      <c r="AB708" s="6"/>
      <c r="AC708" s="6" t="s">
        <v>4306</v>
      </c>
      <c r="AD708" s="6" t="s">
        <v>40</v>
      </c>
      <c r="AE708" s="2">
        <v>1</v>
      </c>
      <c r="AF708" s="2" t="s">
        <v>53</v>
      </c>
      <c r="AG708" s="2" t="s">
        <v>71</v>
      </c>
      <c r="AH708" s="2" t="s">
        <v>55</v>
      </c>
      <c r="AJ708" s="2" t="s">
        <v>57</v>
      </c>
    </row>
    <row r="709" spans="1:41" ht="17.149999999999999" hidden="1" customHeight="1">
      <c r="A709" s="1" t="s">
        <v>4307</v>
      </c>
      <c r="B709" s="1"/>
      <c r="C709" s="1" t="s">
        <v>4308</v>
      </c>
      <c r="D709" s="1"/>
      <c r="E709" s="1"/>
      <c r="F709" s="1"/>
      <c r="G709" s="1"/>
      <c r="H709" s="1" t="s">
        <v>128</v>
      </c>
      <c r="I709" s="1" t="s">
        <v>2603</v>
      </c>
      <c r="J709" s="1" t="s">
        <v>4309</v>
      </c>
      <c r="K709" s="1" t="s">
        <v>4310</v>
      </c>
      <c r="L709" s="1" t="s">
        <v>118</v>
      </c>
      <c r="M709" s="1" t="s">
        <v>4311</v>
      </c>
      <c r="N709" s="1">
        <v>117000</v>
      </c>
      <c r="O709" s="1">
        <v>2019</v>
      </c>
      <c r="P709" s="1">
        <v>117000</v>
      </c>
      <c r="Q709" s="1">
        <v>2019</v>
      </c>
      <c r="R709" s="1" t="s">
        <v>46</v>
      </c>
      <c r="S709" s="1">
        <v>1</v>
      </c>
      <c r="T709" s="1">
        <v>1</v>
      </c>
      <c r="U709" s="1" t="s">
        <v>4312</v>
      </c>
    </row>
    <row r="710" spans="1:41" ht="17.149999999999999" hidden="1" customHeight="1">
      <c r="A710" s="1" t="s">
        <v>4313</v>
      </c>
      <c r="B710" s="1"/>
      <c r="C710" s="1" t="s">
        <v>4314</v>
      </c>
      <c r="D710" s="1"/>
      <c r="E710" s="1"/>
      <c r="F710" s="1"/>
      <c r="G710" s="1"/>
      <c r="H710" s="1" t="s">
        <v>249</v>
      </c>
      <c r="I710" s="1" t="s">
        <v>1563</v>
      </c>
      <c r="J710" s="1" t="s">
        <v>4315</v>
      </c>
      <c r="K710" s="1" t="s">
        <v>4316</v>
      </c>
      <c r="L710" s="1" t="s">
        <v>45</v>
      </c>
      <c r="M710" s="1" t="s">
        <v>1566</v>
      </c>
      <c r="N710" s="1">
        <v>245048</v>
      </c>
      <c r="O710" s="1">
        <v>2018</v>
      </c>
      <c r="P710" s="1">
        <v>245048</v>
      </c>
      <c r="Q710" s="1">
        <v>2018</v>
      </c>
      <c r="R710" s="1" t="s">
        <v>46</v>
      </c>
      <c r="S710" s="1">
        <v>1</v>
      </c>
      <c r="T710" s="1">
        <v>1</v>
      </c>
      <c r="U710" s="1" t="s">
        <v>4317</v>
      </c>
    </row>
    <row r="711" spans="1:41" s="44" customFormat="1" ht="17.149999999999999" hidden="1" customHeight="1">
      <c r="A711" s="141" t="s">
        <v>4318</v>
      </c>
      <c r="B711" s="141"/>
      <c r="C711" s="141" t="s">
        <v>4319</v>
      </c>
      <c r="D711" s="1"/>
      <c r="E711" s="1"/>
      <c r="F711" s="1"/>
      <c r="G711" s="1"/>
      <c r="H711" s="141" t="s">
        <v>249</v>
      </c>
      <c r="I711" s="141" t="s">
        <v>4040</v>
      </c>
      <c r="J711" s="141" t="s">
        <v>4320</v>
      </c>
      <c r="K711" s="141" t="s">
        <v>4321</v>
      </c>
      <c r="L711" s="141" t="s">
        <v>45</v>
      </c>
      <c r="M711" s="141" t="s">
        <v>4322</v>
      </c>
      <c r="N711" s="141">
        <v>240323</v>
      </c>
      <c r="O711" s="141">
        <v>2018</v>
      </c>
      <c r="P711" s="141">
        <v>240323</v>
      </c>
      <c r="Q711" s="141">
        <v>2018</v>
      </c>
      <c r="R711" s="141" t="s">
        <v>46</v>
      </c>
      <c r="S711" s="141">
        <v>1</v>
      </c>
      <c r="T711" s="141">
        <v>1</v>
      </c>
      <c r="U711" s="141" t="s">
        <v>4323</v>
      </c>
    </row>
    <row r="712" spans="1:41" ht="17.149999999999999" hidden="1" customHeight="1">
      <c r="A712" s="21" t="s">
        <v>4324</v>
      </c>
      <c r="B712" s="21" t="s">
        <v>37</v>
      </c>
      <c r="C712" s="58" t="s">
        <v>4325</v>
      </c>
      <c r="D712" s="61"/>
      <c r="E712" s="61"/>
      <c r="F712" s="61"/>
      <c r="G712" s="61"/>
      <c r="H712" s="21" t="s">
        <v>41</v>
      </c>
      <c r="I712" s="21" t="s">
        <v>592</v>
      </c>
      <c r="J712" s="21" t="s">
        <v>4326</v>
      </c>
      <c r="K712" s="21" t="s">
        <v>4327</v>
      </c>
      <c r="L712" s="21" t="s">
        <v>45</v>
      </c>
      <c r="M712" s="21" t="s">
        <v>46</v>
      </c>
      <c r="N712" s="21" t="s">
        <v>46</v>
      </c>
      <c r="O712" s="21" t="s">
        <v>46</v>
      </c>
      <c r="P712" s="21">
        <v>116400</v>
      </c>
      <c r="Q712" s="21">
        <v>2016</v>
      </c>
      <c r="R712" s="21" t="s">
        <v>46</v>
      </c>
      <c r="S712" s="21">
        <v>1</v>
      </c>
      <c r="T712" s="21">
        <v>1</v>
      </c>
      <c r="U712" s="21" t="s">
        <v>4328</v>
      </c>
      <c r="V712" s="22" t="s">
        <v>103</v>
      </c>
      <c r="W712" s="22"/>
      <c r="X712" s="22"/>
      <c r="Y712" s="22"/>
      <c r="Z712" s="22"/>
      <c r="AA712" s="22"/>
      <c r="AB712" s="22"/>
      <c r="AC712" s="22"/>
      <c r="AD712" s="22"/>
      <c r="AH712" s="44"/>
      <c r="AI712" s="44"/>
      <c r="AJ712" s="44"/>
    </row>
    <row r="713" spans="1:41" s="44" customFormat="1" ht="17.149999999999999" hidden="1" customHeight="1">
      <c r="A713" s="141" t="s">
        <v>4329</v>
      </c>
      <c r="B713" s="141"/>
      <c r="C713" s="141" t="s">
        <v>4330</v>
      </c>
      <c r="D713" s="1"/>
      <c r="E713" s="1"/>
      <c r="F713" s="1"/>
      <c r="G713" s="1"/>
      <c r="H713" s="141" t="s">
        <v>249</v>
      </c>
      <c r="I713" s="141" t="s">
        <v>4331</v>
      </c>
      <c r="J713" s="141" t="s">
        <v>4332</v>
      </c>
      <c r="K713" s="141" t="s">
        <v>4333</v>
      </c>
      <c r="L713" s="141" t="s">
        <v>45</v>
      </c>
      <c r="M713" s="141" t="s">
        <v>46</v>
      </c>
      <c r="N713" s="141">
        <v>217259</v>
      </c>
      <c r="O713" s="141">
        <v>2018</v>
      </c>
      <c r="P713" s="141">
        <v>260153</v>
      </c>
      <c r="Q713" s="141">
        <v>2018</v>
      </c>
      <c r="R713" s="141" t="s">
        <v>46</v>
      </c>
      <c r="S713" s="141">
        <v>1</v>
      </c>
      <c r="T713" s="141">
        <v>1</v>
      </c>
      <c r="U713" s="141" t="s">
        <v>4334</v>
      </c>
    </row>
    <row r="714" spans="1:41" ht="17.149999999999999" hidden="1" customHeight="1">
      <c r="A714" s="1" t="s">
        <v>4335</v>
      </c>
      <c r="B714" s="1"/>
      <c r="C714" s="1" t="s">
        <v>4336</v>
      </c>
      <c r="D714" s="1"/>
      <c r="E714" s="1"/>
      <c r="F714" s="1"/>
      <c r="G714" s="1"/>
      <c r="H714" s="1" t="s">
        <v>110</v>
      </c>
      <c r="I714" s="1" t="s">
        <v>46</v>
      </c>
      <c r="J714" s="1" t="s">
        <v>4337</v>
      </c>
      <c r="K714" s="1" t="s">
        <v>4338</v>
      </c>
      <c r="L714" s="1" t="s">
        <v>45</v>
      </c>
      <c r="M714" s="1" t="s">
        <v>46</v>
      </c>
      <c r="N714" s="1">
        <v>116205</v>
      </c>
      <c r="O714" s="1">
        <v>2019</v>
      </c>
      <c r="P714" s="1">
        <v>116205</v>
      </c>
      <c r="Q714" s="1">
        <v>2019</v>
      </c>
      <c r="R714" s="1" t="s">
        <v>46</v>
      </c>
      <c r="S714" s="1">
        <v>1</v>
      </c>
      <c r="T714" s="1">
        <v>1</v>
      </c>
      <c r="U714" s="1" t="s">
        <v>4339</v>
      </c>
    </row>
    <row r="715" spans="1:41" ht="17.149999999999999" hidden="1" customHeight="1">
      <c r="A715" s="1" t="s">
        <v>4340</v>
      </c>
      <c r="B715" s="1"/>
      <c r="C715" s="1" t="s">
        <v>4341</v>
      </c>
      <c r="D715" s="1"/>
      <c r="E715" s="1"/>
      <c r="F715" s="1"/>
      <c r="G715" s="1"/>
      <c r="H715" s="1" t="s">
        <v>1279</v>
      </c>
      <c r="I715" s="1" t="s">
        <v>46</v>
      </c>
      <c r="J715" s="1" t="s">
        <v>4342</v>
      </c>
      <c r="K715" s="1" t="s">
        <v>4343</v>
      </c>
      <c r="L715" s="1" t="s">
        <v>45</v>
      </c>
      <c r="M715" s="1" t="s">
        <v>46</v>
      </c>
      <c r="N715" s="1">
        <v>125994</v>
      </c>
      <c r="O715" s="1">
        <v>2015</v>
      </c>
      <c r="P715" s="1">
        <v>115751</v>
      </c>
      <c r="Q715" s="1">
        <v>2015</v>
      </c>
      <c r="R715" s="1" t="s">
        <v>46</v>
      </c>
      <c r="S715" s="1">
        <v>1</v>
      </c>
      <c r="T715" s="1" t="s">
        <v>46</v>
      </c>
      <c r="U715" s="1" t="s">
        <v>4344</v>
      </c>
    </row>
    <row r="716" spans="1:41" ht="17.149999999999999" hidden="1" customHeight="1">
      <c r="A716" s="1" t="s">
        <v>4345</v>
      </c>
      <c r="B716" s="1"/>
      <c r="C716" s="1" t="s">
        <v>4346</v>
      </c>
      <c r="D716" s="1"/>
      <c r="E716" s="1"/>
      <c r="F716" s="1"/>
      <c r="G716" s="1"/>
      <c r="H716" s="1" t="s">
        <v>110</v>
      </c>
      <c r="I716" s="1" t="s">
        <v>46</v>
      </c>
      <c r="J716" s="1" t="s">
        <v>3686</v>
      </c>
      <c r="K716" s="1" t="s">
        <v>4347</v>
      </c>
      <c r="L716" s="1" t="s">
        <v>118</v>
      </c>
      <c r="M716" s="1" t="s">
        <v>4348</v>
      </c>
      <c r="N716" s="1">
        <v>125658</v>
      </c>
      <c r="O716" s="1">
        <v>2015</v>
      </c>
      <c r="P716" s="1">
        <v>115553</v>
      </c>
      <c r="Q716" s="1">
        <v>2015</v>
      </c>
      <c r="R716" s="1" t="s">
        <v>46</v>
      </c>
      <c r="S716" s="1">
        <v>1</v>
      </c>
      <c r="T716" s="1">
        <v>1</v>
      </c>
      <c r="U716" s="1" t="s">
        <v>4349</v>
      </c>
    </row>
    <row r="717" spans="1:41" ht="17.149999999999999" hidden="1" customHeight="1">
      <c r="A717" s="1" t="s">
        <v>4350</v>
      </c>
      <c r="B717" s="1"/>
      <c r="C717" s="1" t="s">
        <v>4351</v>
      </c>
      <c r="D717" s="1"/>
      <c r="E717" s="1"/>
      <c r="F717" s="1"/>
      <c r="G717" s="1"/>
      <c r="H717" s="1" t="s">
        <v>177</v>
      </c>
      <c r="I717" s="1" t="s">
        <v>345</v>
      </c>
      <c r="J717" s="1" t="s">
        <v>4352</v>
      </c>
      <c r="K717" s="1" t="s">
        <v>4353</v>
      </c>
      <c r="L717" s="1" t="s">
        <v>118</v>
      </c>
      <c r="M717" s="1" t="s">
        <v>4354</v>
      </c>
      <c r="N717" s="1">
        <v>115000</v>
      </c>
      <c r="O717" s="1">
        <v>2019</v>
      </c>
      <c r="P717" s="1">
        <v>115000</v>
      </c>
      <c r="Q717" s="1">
        <v>2019</v>
      </c>
      <c r="R717" s="1" t="s">
        <v>46</v>
      </c>
      <c r="S717" s="1">
        <v>1</v>
      </c>
      <c r="T717" s="1">
        <v>1</v>
      </c>
      <c r="U717" s="1" t="s">
        <v>4355</v>
      </c>
    </row>
    <row r="718" spans="1:41" ht="17.149999999999999" hidden="1" customHeight="1">
      <c r="A718" s="1" t="s">
        <v>4356</v>
      </c>
      <c r="B718" s="1"/>
      <c r="C718" s="1" t="s">
        <v>4357</v>
      </c>
      <c r="D718" s="1"/>
      <c r="E718" s="1"/>
      <c r="F718" s="1"/>
      <c r="G718" s="1"/>
      <c r="H718" s="1" t="s">
        <v>1367</v>
      </c>
      <c r="I718" s="1" t="s">
        <v>46</v>
      </c>
      <c r="J718" s="1" t="s">
        <v>4358</v>
      </c>
      <c r="K718" s="1" t="s">
        <v>4359</v>
      </c>
      <c r="L718" s="1" t="s">
        <v>45</v>
      </c>
      <c r="M718" s="1" t="s">
        <v>46</v>
      </c>
      <c r="N718" s="1">
        <v>138300</v>
      </c>
      <c r="O718" s="1">
        <v>2017</v>
      </c>
      <c r="P718" s="1">
        <v>114882</v>
      </c>
      <c r="Q718" s="1">
        <v>2017</v>
      </c>
      <c r="R718" s="1" t="s">
        <v>46</v>
      </c>
      <c r="S718" s="1">
        <v>1</v>
      </c>
      <c r="T718" s="1">
        <v>1</v>
      </c>
      <c r="U718" s="1" t="s">
        <v>4360</v>
      </c>
    </row>
    <row r="719" spans="1:41" ht="17.149999999999999" hidden="1" customHeight="1">
      <c r="A719" s="1" t="s">
        <v>4361</v>
      </c>
      <c r="B719" s="1"/>
      <c r="C719" s="1" t="s">
        <v>4362</v>
      </c>
      <c r="D719" s="1"/>
      <c r="E719" s="1"/>
      <c r="F719" s="1"/>
      <c r="G719" s="1"/>
      <c r="H719" s="1" t="s">
        <v>110</v>
      </c>
      <c r="I719" s="1" t="s">
        <v>46</v>
      </c>
      <c r="J719" s="1" t="s">
        <v>4363</v>
      </c>
      <c r="K719" s="1" t="s">
        <v>4364</v>
      </c>
      <c r="L719" s="1" t="s">
        <v>45</v>
      </c>
      <c r="M719" s="1" t="s">
        <v>46</v>
      </c>
      <c r="N719" s="1">
        <v>120000</v>
      </c>
      <c r="O719" s="1">
        <v>2019</v>
      </c>
      <c r="P719" s="1">
        <v>114870</v>
      </c>
      <c r="Q719" s="1">
        <v>2015</v>
      </c>
      <c r="R719" s="1" t="s">
        <v>46</v>
      </c>
      <c r="S719" s="1">
        <v>1</v>
      </c>
      <c r="T719" s="1">
        <v>1</v>
      </c>
      <c r="U719" s="1" t="s">
        <v>4365</v>
      </c>
    </row>
    <row r="720" spans="1:41" ht="17.149999999999999" customHeight="1">
      <c r="A720" s="14" t="s">
        <v>4366</v>
      </c>
      <c r="B720" s="14" t="s">
        <v>37</v>
      </c>
      <c r="C720" s="56" t="s">
        <v>4367</v>
      </c>
      <c r="D720" s="144" t="s">
        <v>4367</v>
      </c>
      <c r="E720" s="17" t="s">
        <v>4368</v>
      </c>
      <c r="F720" s="17" t="s">
        <v>62</v>
      </c>
      <c r="G720" s="61" t="s">
        <v>40</v>
      </c>
      <c r="H720" s="14" t="s">
        <v>41</v>
      </c>
      <c r="I720" s="14" t="s">
        <v>135</v>
      </c>
      <c r="J720" s="14" t="s">
        <v>4369</v>
      </c>
      <c r="K720" s="14" t="s">
        <v>4370</v>
      </c>
      <c r="L720" s="14" t="s">
        <v>45</v>
      </c>
      <c r="M720" s="14" t="s">
        <v>46</v>
      </c>
      <c r="N720" s="14" t="s">
        <v>46</v>
      </c>
      <c r="O720" s="14" t="s">
        <v>46</v>
      </c>
      <c r="P720" s="14">
        <v>305300</v>
      </c>
      <c r="Q720" s="14">
        <v>2016</v>
      </c>
      <c r="R720" s="14" t="s">
        <v>46</v>
      </c>
      <c r="S720" s="14">
        <v>1</v>
      </c>
      <c r="T720" s="14">
        <v>1</v>
      </c>
      <c r="U720" s="14" t="s">
        <v>4371</v>
      </c>
      <c r="V720" s="6" t="s">
        <v>40</v>
      </c>
      <c r="W720" s="6" t="s">
        <v>1042</v>
      </c>
      <c r="X720" s="33" t="s">
        <v>40</v>
      </c>
      <c r="Y720" s="33"/>
      <c r="Z720" s="6" t="s">
        <v>4372</v>
      </c>
      <c r="AA720" s="6" t="s">
        <v>4373</v>
      </c>
      <c r="AB720" s="6" t="s">
        <v>4374</v>
      </c>
      <c r="AC720" s="6" t="s">
        <v>4375</v>
      </c>
      <c r="AD720" s="6" t="s">
        <v>40</v>
      </c>
      <c r="AE720" s="2">
        <v>1</v>
      </c>
      <c r="AF720" s="2" t="s">
        <v>53</v>
      </c>
      <c r="AJ720" s="2" t="s">
        <v>57</v>
      </c>
    </row>
    <row r="721" spans="1:36" ht="17.149999999999999" hidden="1" customHeight="1">
      <c r="A721" s="1" t="s">
        <v>4376</v>
      </c>
      <c r="B721" s="1"/>
      <c r="C721" s="1" t="s">
        <v>4377</v>
      </c>
      <c r="D721" s="1"/>
      <c r="E721" s="1"/>
      <c r="F721" s="1"/>
      <c r="G721" s="1"/>
      <c r="H721" s="1" t="s">
        <v>128</v>
      </c>
      <c r="I721" s="1" t="s">
        <v>3513</v>
      </c>
      <c r="J721" s="1" t="s">
        <v>3513</v>
      </c>
      <c r="K721" s="1" t="s">
        <v>4378</v>
      </c>
      <c r="L721" s="1" t="s">
        <v>118</v>
      </c>
      <c r="M721" s="1" t="s">
        <v>4379</v>
      </c>
      <c r="N721" s="1">
        <v>116341</v>
      </c>
      <c r="O721" s="1">
        <v>2018</v>
      </c>
      <c r="P721" s="1">
        <v>114025</v>
      </c>
      <c r="Q721" s="1">
        <v>2018</v>
      </c>
      <c r="R721" s="1" t="s">
        <v>46</v>
      </c>
      <c r="S721" s="1">
        <v>1</v>
      </c>
      <c r="T721" s="1">
        <v>1</v>
      </c>
      <c r="U721" s="1" t="s">
        <v>4380</v>
      </c>
    </row>
    <row r="722" spans="1:36" ht="17.149999999999999" hidden="1" customHeight="1">
      <c r="A722" s="1" t="s">
        <v>4381</v>
      </c>
      <c r="B722" s="1"/>
      <c r="C722" s="1" t="s">
        <v>4382</v>
      </c>
      <c r="D722" s="1"/>
      <c r="E722" s="1"/>
      <c r="F722" s="1"/>
      <c r="G722" s="1"/>
      <c r="H722" s="1" t="s">
        <v>506</v>
      </c>
      <c r="I722" s="1" t="s">
        <v>46</v>
      </c>
      <c r="J722" s="1" t="s">
        <v>4383</v>
      </c>
      <c r="K722" s="1" t="s">
        <v>4384</v>
      </c>
      <c r="L722" s="1" t="s">
        <v>45</v>
      </c>
      <c r="M722" s="1" t="s">
        <v>46</v>
      </c>
      <c r="N722" s="1">
        <v>113985</v>
      </c>
      <c r="O722" s="1">
        <v>2016</v>
      </c>
      <c r="P722" s="1">
        <v>113985</v>
      </c>
      <c r="Q722" s="1">
        <v>2016</v>
      </c>
      <c r="R722" s="1" t="s">
        <v>46</v>
      </c>
      <c r="S722" s="1">
        <v>1</v>
      </c>
      <c r="T722" s="1">
        <v>1</v>
      </c>
      <c r="U722" s="1" t="s">
        <v>4385</v>
      </c>
    </row>
    <row r="723" spans="1:36" ht="17.149999999999999" hidden="1" customHeight="1">
      <c r="A723" s="1" t="s">
        <v>4386</v>
      </c>
      <c r="B723" s="1"/>
      <c r="C723" s="1" t="s">
        <v>4387</v>
      </c>
      <c r="D723" s="1"/>
      <c r="E723" s="1"/>
      <c r="F723" s="1"/>
      <c r="G723" s="1"/>
      <c r="H723" s="1" t="s">
        <v>640</v>
      </c>
      <c r="I723" s="1" t="s">
        <v>46</v>
      </c>
      <c r="J723" s="1" t="s">
        <v>4388</v>
      </c>
      <c r="K723" s="1" t="s">
        <v>4389</v>
      </c>
      <c r="L723" s="1" t="s">
        <v>45</v>
      </c>
      <c r="M723" s="1" t="s">
        <v>46</v>
      </c>
      <c r="N723" s="1">
        <v>113625</v>
      </c>
      <c r="O723" s="1">
        <v>2016</v>
      </c>
      <c r="P723" s="1">
        <v>113625</v>
      </c>
      <c r="Q723" s="1">
        <v>2016</v>
      </c>
      <c r="R723" s="1" t="s">
        <v>46</v>
      </c>
      <c r="S723" s="1">
        <v>1</v>
      </c>
      <c r="T723" s="1">
        <v>1</v>
      </c>
      <c r="U723" s="1" t="s">
        <v>4390</v>
      </c>
    </row>
    <row r="724" spans="1:36" ht="17.149999999999999" hidden="1" customHeight="1">
      <c r="A724" s="1" t="s">
        <v>4391</v>
      </c>
      <c r="B724" s="1"/>
      <c r="C724" s="1" t="s">
        <v>4392</v>
      </c>
      <c r="D724" s="1"/>
      <c r="E724" s="1"/>
      <c r="F724" s="1"/>
      <c r="G724" s="1"/>
      <c r="H724" s="1" t="s">
        <v>1367</v>
      </c>
      <c r="I724" s="1" t="s">
        <v>46</v>
      </c>
      <c r="J724" s="1" t="s">
        <v>4393</v>
      </c>
      <c r="K724" s="1" t="s">
        <v>4394</v>
      </c>
      <c r="L724" s="1" t="s">
        <v>45</v>
      </c>
      <c r="M724" s="1" t="s">
        <v>46</v>
      </c>
      <c r="N724" s="1">
        <v>112062</v>
      </c>
      <c r="O724" s="1">
        <v>2017</v>
      </c>
      <c r="P724" s="1">
        <v>112339</v>
      </c>
      <c r="Q724" s="1">
        <v>2017</v>
      </c>
      <c r="R724" s="1" t="s">
        <v>46</v>
      </c>
      <c r="S724" s="1">
        <v>1</v>
      </c>
      <c r="T724" s="1">
        <v>1</v>
      </c>
      <c r="U724" s="1" t="s">
        <v>4395</v>
      </c>
    </row>
    <row r="725" spans="1:36" ht="17.149999999999999" hidden="1" customHeight="1">
      <c r="A725" s="1" t="s">
        <v>4396</v>
      </c>
      <c r="B725" s="1"/>
      <c r="C725" s="1" t="s">
        <v>4397</v>
      </c>
      <c r="D725" s="1"/>
      <c r="E725" s="1"/>
      <c r="F725" s="1"/>
      <c r="G725" s="1"/>
      <c r="H725" s="1" t="s">
        <v>512</v>
      </c>
      <c r="I725" s="1" t="s">
        <v>46</v>
      </c>
      <c r="J725" s="1" t="s">
        <v>4398</v>
      </c>
      <c r="K725" s="1" t="s">
        <v>4399</v>
      </c>
      <c r="L725" s="1" t="s">
        <v>45</v>
      </c>
      <c r="M725" s="1" t="s">
        <v>46</v>
      </c>
      <c r="N725" s="1">
        <v>96300</v>
      </c>
      <c r="O725" s="1">
        <v>2019</v>
      </c>
      <c r="P725" s="1">
        <v>112000</v>
      </c>
      <c r="Q725" s="1">
        <v>2015</v>
      </c>
      <c r="R725" s="1" t="s">
        <v>46</v>
      </c>
      <c r="S725" s="1">
        <v>1</v>
      </c>
      <c r="T725" s="1">
        <v>1</v>
      </c>
      <c r="U725" s="1" t="s">
        <v>4400</v>
      </c>
    </row>
    <row r="726" spans="1:36" ht="17.149999999999999" hidden="1" customHeight="1">
      <c r="A726" s="1" t="s">
        <v>4401</v>
      </c>
      <c r="B726" s="1"/>
      <c r="C726" s="1" t="s">
        <v>4402</v>
      </c>
      <c r="D726" s="1"/>
      <c r="E726" s="1"/>
      <c r="F726" s="1"/>
      <c r="G726" s="1"/>
      <c r="H726" s="1" t="s">
        <v>249</v>
      </c>
      <c r="I726" s="1" t="s">
        <v>46</v>
      </c>
      <c r="J726" s="1" t="s">
        <v>4403</v>
      </c>
      <c r="K726" s="1" t="s">
        <v>4404</v>
      </c>
      <c r="L726" s="1" t="s">
        <v>46</v>
      </c>
      <c r="M726" s="1" t="s">
        <v>4405</v>
      </c>
      <c r="N726" s="1">
        <v>212626</v>
      </c>
      <c r="O726" s="1">
        <v>2015</v>
      </c>
      <c r="P726" s="1">
        <v>155135</v>
      </c>
      <c r="Q726" s="1">
        <v>2015</v>
      </c>
      <c r="R726" s="1" t="s">
        <v>46</v>
      </c>
      <c r="S726" s="1">
        <v>1</v>
      </c>
      <c r="T726" s="1">
        <v>1</v>
      </c>
      <c r="U726" s="1" t="s">
        <v>1005</v>
      </c>
    </row>
    <row r="727" spans="1:36" ht="17.149999999999999" hidden="1" customHeight="1">
      <c r="A727" s="1" t="s">
        <v>4406</v>
      </c>
      <c r="B727" s="1"/>
      <c r="C727" s="1" t="s">
        <v>4407</v>
      </c>
      <c r="D727" s="1"/>
      <c r="E727" s="1"/>
      <c r="F727" s="1"/>
      <c r="G727" s="1"/>
      <c r="H727" s="1" t="s">
        <v>249</v>
      </c>
      <c r="I727" s="1" t="s">
        <v>2159</v>
      </c>
      <c r="J727" s="1" t="s">
        <v>2160</v>
      </c>
      <c r="K727" s="1" t="s">
        <v>4408</v>
      </c>
      <c r="L727" s="1" t="s">
        <v>45</v>
      </c>
      <c r="M727" s="1" t="s">
        <v>4409</v>
      </c>
      <c r="N727" s="1">
        <v>211706</v>
      </c>
      <c r="O727" s="1">
        <v>2018</v>
      </c>
      <c r="P727" s="1">
        <v>34446</v>
      </c>
      <c r="Q727" s="1">
        <v>2018</v>
      </c>
      <c r="R727" s="1" t="s">
        <v>46</v>
      </c>
      <c r="S727" s="1">
        <v>1</v>
      </c>
      <c r="T727" s="1">
        <v>1</v>
      </c>
      <c r="U727" s="1" t="s">
        <v>4410</v>
      </c>
    </row>
    <row r="728" spans="1:36" s="44" customFormat="1" ht="17.149999999999999" hidden="1" customHeight="1">
      <c r="A728" s="21" t="s">
        <v>4411</v>
      </c>
      <c r="B728" s="21"/>
      <c r="C728" s="58" t="s">
        <v>4412</v>
      </c>
      <c r="D728" s="61"/>
      <c r="E728" s="61"/>
      <c r="F728" s="61"/>
      <c r="G728" s="61"/>
      <c r="H728" s="21" t="s">
        <v>41</v>
      </c>
      <c r="I728" s="21" t="s">
        <v>3088</v>
      </c>
      <c r="J728" s="21" t="s">
        <v>4413</v>
      </c>
      <c r="K728" s="21" t="s">
        <v>4414</v>
      </c>
      <c r="L728" s="21" t="s">
        <v>45</v>
      </c>
      <c r="M728" s="21" t="s">
        <v>4415</v>
      </c>
      <c r="N728" s="21">
        <v>109437</v>
      </c>
      <c r="O728" s="21">
        <v>2016</v>
      </c>
      <c r="P728" s="21">
        <v>111600</v>
      </c>
      <c r="Q728" s="21">
        <v>2016</v>
      </c>
      <c r="R728" s="21" t="s">
        <v>46</v>
      </c>
      <c r="S728" s="21">
        <v>1</v>
      </c>
      <c r="T728" s="21">
        <v>1</v>
      </c>
      <c r="U728" s="21" t="s">
        <v>4416</v>
      </c>
      <c r="V728" s="22"/>
      <c r="W728" s="22"/>
      <c r="X728" s="22"/>
      <c r="Y728" s="22"/>
      <c r="Z728" s="22"/>
      <c r="AA728" s="22"/>
      <c r="AB728" s="22"/>
      <c r="AC728" s="22"/>
      <c r="AD728" s="22"/>
      <c r="AE728" s="130"/>
      <c r="AF728" s="130"/>
    </row>
    <row r="729" spans="1:36" ht="17.149999999999999" hidden="1" customHeight="1">
      <c r="A729" s="21" t="s">
        <v>4417</v>
      </c>
      <c r="B729" s="21" t="s">
        <v>37</v>
      </c>
      <c r="C729" s="58" t="s">
        <v>4418</v>
      </c>
      <c r="D729" s="61"/>
      <c r="E729" s="61"/>
      <c r="F729" s="61"/>
      <c r="G729" s="61"/>
      <c r="H729" s="21" t="s">
        <v>41</v>
      </c>
      <c r="I729" s="21" t="s">
        <v>42</v>
      </c>
      <c r="J729" s="21" t="s">
        <v>4419</v>
      </c>
      <c r="K729" s="21" t="s">
        <v>4420</v>
      </c>
      <c r="L729" s="21" t="s">
        <v>45</v>
      </c>
      <c r="M729" s="21" t="s">
        <v>46</v>
      </c>
      <c r="N729" s="21">
        <v>76941</v>
      </c>
      <c r="O729" s="21">
        <v>2016</v>
      </c>
      <c r="P729" s="21">
        <v>111500</v>
      </c>
      <c r="Q729" s="21">
        <v>2016</v>
      </c>
      <c r="R729" s="21" t="s">
        <v>46</v>
      </c>
      <c r="S729" s="21">
        <v>1</v>
      </c>
      <c r="T729" s="21">
        <v>1</v>
      </c>
      <c r="U729" s="21" t="s">
        <v>4421</v>
      </c>
      <c r="V729" s="22" t="s">
        <v>103</v>
      </c>
      <c r="W729" s="22"/>
      <c r="X729" s="22"/>
      <c r="Y729" s="22"/>
      <c r="Z729" s="22"/>
      <c r="AA729" s="22"/>
      <c r="AB729" s="22"/>
      <c r="AC729" s="22" t="s">
        <v>4422</v>
      </c>
      <c r="AD729" s="22"/>
    </row>
    <row r="730" spans="1:36" ht="17.149999999999999" hidden="1" customHeight="1">
      <c r="A730" s="1" t="s">
        <v>4423</v>
      </c>
      <c r="B730" s="1"/>
      <c r="C730" s="1" t="s">
        <v>4424</v>
      </c>
      <c r="D730" s="1"/>
      <c r="E730" s="1"/>
      <c r="F730" s="1"/>
      <c r="G730" s="1"/>
      <c r="H730" s="1" t="s">
        <v>249</v>
      </c>
      <c r="I730" s="1" t="s">
        <v>4425</v>
      </c>
      <c r="J730" s="1" t="s">
        <v>4426</v>
      </c>
      <c r="K730" s="1" t="s">
        <v>4427</v>
      </c>
      <c r="L730" s="1" t="s">
        <v>45</v>
      </c>
      <c r="M730" s="1" t="s">
        <v>46</v>
      </c>
      <c r="N730" s="1">
        <v>206836</v>
      </c>
      <c r="O730" s="1">
        <v>2018</v>
      </c>
      <c r="P730" s="1">
        <v>206836</v>
      </c>
      <c r="Q730" s="1">
        <v>2018</v>
      </c>
      <c r="R730" s="1" t="s">
        <v>46</v>
      </c>
      <c r="S730" s="1">
        <v>1</v>
      </c>
      <c r="T730" s="1">
        <v>1</v>
      </c>
      <c r="U730" s="1" t="s">
        <v>4428</v>
      </c>
      <c r="AJ730" s="39"/>
    </row>
    <row r="731" spans="1:36" ht="17.149999999999999" hidden="1" customHeight="1">
      <c r="A731" s="1" t="s">
        <v>4429</v>
      </c>
      <c r="B731" s="1"/>
      <c r="C731" s="1" t="s">
        <v>4430</v>
      </c>
      <c r="D731" s="1"/>
      <c r="E731" s="1"/>
      <c r="F731" s="1"/>
      <c r="G731" s="1"/>
      <c r="H731" s="1" t="s">
        <v>249</v>
      </c>
      <c r="I731" s="1" t="s">
        <v>4431</v>
      </c>
      <c r="J731" s="1" t="s">
        <v>4432</v>
      </c>
      <c r="K731" s="1" t="s">
        <v>4433</v>
      </c>
      <c r="L731" s="1" t="s">
        <v>45</v>
      </c>
      <c r="M731" s="1" t="s">
        <v>46</v>
      </c>
      <c r="N731" s="1">
        <v>206181</v>
      </c>
      <c r="O731" s="1">
        <v>2018</v>
      </c>
      <c r="P731" s="1">
        <v>215521</v>
      </c>
      <c r="Q731" s="1">
        <v>2018</v>
      </c>
      <c r="R731" s="1" t="s">
        <v>46</v>
      </c>
      <c r="S731" s="1">
        <v>1</v>
      </c>
      <c r="T731" s="1">
        <v>1</v>
      </c>
      <c r="U731" s="1" t="s">
        <v>4434</v>
      </c>
      <c r="AJ731" s="73"/>
    </row>
    <row r="732" spans="1:36" ht="17.149999999999999" hidden="1" customHeight="1">
      <c r="A732" s="1" t="s">
        <v>4435</v>
      </c>
      <c r="B732" s="1"/>
      <c r="C732" s="1" t="s">
        <v>4436</v>
      </c>
      <c r="D732" s="1"/>
      <c r="E732" s="1"/>
      <c r="F732" s="1"/>
      <c r="G732" s="1"/>
      <c r="H732" s="1" t="s">
        <v>110</v>
      </c>
      <c r="I732" s="1" t="s">
        <v>46</v>
      </c>
      <c r="J732" s="1" t="s">
        <v>4437</v>
      </c>
      <c r="K732" s="1" t="s">
        <v>4438</v>
      </c>
      <c r="L732" s="1" t="s">
        <v>45</v>
      </c>
      <c r="M732" s="1" t="s">
        <v>46</v>
      </c>
      <c r="N732" s="1">
        <v>110000</v>
      </c>
      <c r="O732" s="1">
        <v>2015</v>
      </c>
      <c r="P732" s="1">
        <v>110000</v>
      </c>
      <c r="Q732" s="1">
        <v>2015</v>
      </c>
      <c r="R732" s="1" t="s">
        <v>46</v>
      </c>
      <c r="S732" s="1">
        <v>1</v>
      </c>
      <c r="T732" s="1">
        <v>1</v>
      </c>
      <c r="U732" s="1" t="s">
        <v>4439</v>
      </c>
    </row>
    <row r="733" spans="1:36" ht="17.149999999999999" hidden="1" customHeight="1">
      <c r="A733" s="1" t="s">
        <v>4440</v>
      </c>
      <c r="B733" s="1"/>
      <c r="C733" s="1" t="s">
        <v>4441</v>
      </c>
      <c r="D733" s="1"/>
      <c r="E733" s="1"/>
      <c r="F733" s="1"/>
      <c r="G733" s="1"/>
      <c r="H733" s="1" t="s">
        <v>177</v>
      </c>
      <c r="I733" s="1" t="s">
        <v>236</v>
      </c>
      <c r="J733" s="1" t="s">
        <v>4442</v>
      </c>
      <c r="K733" s="1" t="s">
        <v>4443</v>
      </c>
      <c r="L733" s="1" t="s">
        <v>45</v>
      </c>
      <c r="M733" s="1" t="s">
        <v>46</v>
      </c>
      <c r="N733" s="1" t="s">
        <v>46</v>
      </c>
      <c r="O733" s="1" t="s">
        <v>46</v>
      </c>
      <c r="P733" s="1">
        <v>110000</v>
      </c>
      <c r="Q733" s="1">
        <v>2015</v>
      </c>
      <c r="R733" s="1">
        <v>1</v>
      </c>
      <c r="S733" s="1" t="s">
        <v>46</v>
      </c>
      <c r="T733" s="1" t="s">
        <v>46</v>
      </c>
      <c r="U733" s="1" t="s">
        <v>4444</v>
      </c>
    </row>
    <row r="734" spans="1:36" ht="17.149999999999999" hidden="1" customHeight="1">
      <c r="A734" s="1" t="s">
        <v>4445</v>
      </c>
      <c r="B734" s="1"/>
      <c r="C734" s="1" t="s">
        <v>4446</v>
      </c>
      <c r="D734" s="1"/>
      <c r="E734" s="1"/>
      <c r="F734" s="1"/>
      <c r="G734" s="1"/>
      <c r="H734" s="1" t="s">
        <v>249</v>
      </c>
      <c r="I734" s="1" t="s">
        <v>2378</v>
      </c>
      <c r="J734" s="1" t="s">
        <v>2003</v>
      </c>
      <c r="K734" s="1" t="s">
        <v>4447</v>
      </c>
      <c r="L734" s="1" t="s">
        <v>45</v>
      </c>
      <c r="M734" s="1" t="s">
        <v>4448</v>
      </c>
      <c r="N734" s="1">
        <v>205742</v>
      </c>
      <c r="O734" s="1">
        <v>2018</v>
      </c>
      <c r="P734" s="1">
        <v>123036</v>
      </c>
      <c r="Q734" s="1">
        <v>2018</v>
      </c>
      <c r="R734" s="1" t="s">
        <v>46</v>
      </c>
      <c r="S734" s="1">
        <v>1</v>
      </c>
      <c r="T734" s="1">
        <v>1</v>
      </c>
      <c r="U734" s="1" t="s">
        <v>4449</v>
      </c>
    </row>
    <row r="735" spans="1:36" ht="17.149999999999999" hidden="1" customHeight="1">
      <c r="A735" s="1" t="s">
        <v>4450</v>
      </c>
      <c r="B735" s="1"/>
      <c r="C735" s="1" t="s">
        <v>4451</v>
      </c>
      <c r="D735" s="1"/>
      <c r="E735" s="1"/>
      <c r="F735" s="1"/>
      <c r="G735" s="1"/>
      <c r="H735" s="1" t="s">
        <v>249</v>
      </c>
      <c r="I735" s="1" t="s">
        <v>2070</v>
      </c>
      <c r="J735" s="1" t="s">
        <v>4452</v>
      </c>
      <c r="K735" s="1" t="s">
        <v>4453</v>
      </c>
      <c r="L735" s="1" t="s">
        <v>45</v>
      </c>
      <c r="M735" s="1" t="s">
        <v>46</v>
      </c>
      <c r="N735" s="1">
        <v>198918</v>
      </c>
      <c r="O735" s="1">
        <v>2015</v>
      </c>
      <c r="P735" s="1">
        <v>136782</v>
      </c>
      <c r="Q735" s="1">
        <v>2018</v>
      </c>
      <c r="R735" s="1" t="s">
        <v>46</v>
      </c>
      <c r="S735" s="1">
        <v>1</v>
      </c>
      <c r="T735" s="1" t="s">
        <v>46</v>
      </c>
      <c r="U735" s="1" t="s">
        <v>4454</v>
      </c>
      <c r="AH735" s="73"/>
      <c r="AI735" s="73"/>
    </row>
    <row r="736" spans="1:36" ht="17.149999999999999" hidden="1" customHeight="1">
      <c r="A736" s="1" t="s">
        <v>4455</v>
      </c>
      <c r="B736" s="1"/>
      <c r="C736" s="1" t="s">
        <v>4456</v>
      </c>
      <c r="D736" s="1"/>
      <c r="E736" s="1"/>
      <c r="F736" s="1"/>
      <c r="G736" s="1"/>
      <c r="H736" s="1" t="s">
        <v>1367</v>
      </c>
      <c r="I736" s="1" t="s">
        <v>46</v>
      </c>
      <c r="J736" s="1" t="s">
        <v>4457</v>
      </c>
      <c r="K736" s="1" t="s">
        <v>4458</v>
      </c>
      <c r="L736" s="1" t="s">
        <v>45</v>
      </c>
      <c r="M736" s="1" t="s">
        <v>46</v>
      </c>
      <c r="N736" s="1">
        <v>138342</v>
      </c>
      <c r="O736" s="1">
        <v>2017</v>
      </c>
      <c r="P736" s="1">
        <v>109292</v>
      </c>
      <c r="Q736" s="1">
        <v>2017</v>
      </c>
      <c r="R736" s="1" t="s">
        <v>46</v>
      </c>
      <c r="S736" s="1">
        <v>1</v>
      </c>
      <c r="T736" s="1">
        <v>1</v>
      </c>
      <c r="U736" s="1" t="s">
        <v>4459</v>
      </c>
    </row>
    <row r="737" spans="1:36" ht="17.149999999999999" hidden="1" customHeight="1">
      <c r="A737" s="1" t="s">
        <v>4460</v>
      </c>
      <c r="B737" s="1"/>
      <c r="C737" s="1" t="s">
        <v>4461</v>
      </c>
      <c r="D737" s="1"/>
      <c r="E737" s="1"/>
      <c r="F737" s="1"/>
      <c r="G737" s="1"/>
      <c r="H737" s="1" t="s">
        <v>249</v>
      </c>
      <c r="I737" s="1" t="s">
        <v>4462</v>
      </c>
      <c r="J737" s="1" t="s">
        <v>2174</v>
      </c>
      <c r="K737" s="1" t="s">
        <v>4463</v>
      </c>
      <c r="L737" s="1" t="s">
        <v>118</v>
      </c>
      <c r="M737" s="1" t="s">
        <v>3730</v>
      </c>
      <c r="N737" s="1">
        <v>187380</v>
      </c>
      <c r="O737" s="1">
        <v>2018</v>
      </c>
      <c r="P737" s="1" t="s">
        <v>46</v>
      </c>
      <c r="Q737" s="1" t="s">
        <v>46</v>
      </c>
      <c r="R737" s="1" t="s">
        <v>46</v>
      </c>
      <c r="S737" s="1">
        <v>1</v>
      </c>
      <c r="T737" s="1" t="s">
        <v>46</v>
      </c>
      <c r="U737" s="1" t="s">
        <v>4464</v>
      </c>
    </row>
    <row r="738" spans="1:36" ht="17.149999999999999" hidden="1" customHeight="1">
      <c r="A738" s="17" t="s">
        <v>4465</v>
      </c>
      <c r="B738" s="17"/>
      <c r="C738" s="61" t="s">
        <v>4466</v>
      </c>
      <c r="D738" s="61"/>
      <c r="E738" s="61"/>
      <c r="F738" s="61"/>
      <c r="G738" s="61"/>
      <c r="H738" s="17" t="s">
        <v>41</v>
      </c>
      <c r="I738" s="17" t="s">
        <v>551</v>
      </c>
      <c r="J738" s="17" t="s">
        <v>4467</v>
      </c>
      <c r="K738" s="17" t="s">
        <v>4468</v>
      </c>
      <c r="L738" s="17" t="s">
        <v>45</v>
      </c>
      <c r="M738" s="17" t="s">
        <v>46</v>
      </c>
      <c r="N738" s="17" t="s">
        <v>46</v>
      </c>
      <c r="O738" s="17" t="s">
        <v>46</v>
      </c>
      <c r="P738" s="17">
        <v>108800</v>
      </c>
      <c r="Q738" s="17">
        <v>2016</v>
      </c>
      <c r="R738" s="17" t="s">
        <v>46</v>
      </c>
      <c r="S738" s="17">
        <v>1</v>
      </c>
      <c r="T738" s="17">
        <v>1</v>
      </c>
      <c r="U738" s="17" t="s">
        <v>4469</v>
      </c>
      <c r="V738" s="18"/>
      <c r="W738" s="18"/>
      <c r="X738" s="18"/>
      <c r="Y738" s="18"/>
      <c r="Z738" s="18"/>
      <c r="AA738" s="18"/>
      <c r="AB738" s="18"/>
      <c r="AC738" s="18"/>
      <c r="AD738" s="18"/>
    </row>
    <row r="739" spans="1:36" ht="17.149999999999999" hidden="1" customHeight="1">
      <c r="A739" s="1" t="s">
        <v>4470</v>
      </c>
      <c r="B739" s="1"/>
      <c r="C739" s="1" t="s">
        <v>4471</v>
      </c>
      <c r="D739" s="1"/>
      <c r="E739" s="1"/>
      <c r="F739" s="1"/>
      <c r="G739" s="1"/>
      <c r="H739" s="1" t="s">
        <v>249</v>
      </c>
      <c r="I739" s="1" t="s">
        <v>4472</v>
      </c>
      <c r="J739" s="1" t="s">
        <v>4473</v>
      </c>
      <c r="K739" s="1" t="s">
        <v>4474</v>
      </c>
      <c r="L739" s="1" t="s">
        <v>45</v>
      </c>
      <c r="M739" s="1" t="s">
        <v>46</v>
      </c>
      <c r="N739" s="1">
        <v>186729</v>
      </c>
      <c r="O739" s="1">
        <v>2018</v>
      </c>
      <c r="P739" s="1">
        <v>186729</v>
      </c>
      <c r="Q739" s="1">
        <v>2018</v>
      </c>
      <c r="R739" s="1" t="s">
        <v>46</v>
      </c>
      <c r="S739" s="1">
        <v>1</v>
      </c>
      <c r="T739" s="1" t="s">
        <v>46</v>
      </c>
      <c r="U739" s="1" t="s">
        <v>4475</v>
      </c>
    </row>
    <row r="740" spans="1:36" ht="17.149999999999999" hidden="1" customHeight="1">
      <c r="A740" s="21" t="s">
        <v>4476</v>
      </c>
      <c r="B740" s="21" t="s">
        <v>37</v>
      </c>
      <c r="C740" s="58" t="s">
        <v>4477</v>
      </c>
      <c r="D740" s="61"/>
      <c r="E740" s="61"/>
      <c r="F740" s="61"/>
      <c r="G740" s="61"/>
      <c r="H740" s="21" t="s">
        <v>41</v>
      </c>
      <c r="I740" s="21" t="s">
        <v>518</v>
      </c>
      <c r="J740" s="21" t="s">
        <v>4478</v>
      </c>
      <c r="K740" s="21" t="s">
        <v>4479</v>
      </c>
      <c r="L740" s="21" t="s">
        <v>45</v>
      </c>
      <c r="M740" s="21" t="s">
        <v>46</v>
      </c>
      <c r="N740" s="21" t="s">
        <v>46</v>
      </c>
      <c r="O740" s="21" t="s">
        <v>46</v>
      </c>
      <c r="P740" s="21">
        <v>108000</v>
      </c>
      <c r="Q740" s="21">
        <v>2015</v>
      </c>
      <c r="R740" s="21" t="s">
        <v>46</v>
      </c>
      <c r="S740" s="21">
        <v>1</v>
      </c>
      <c r="T740" s="21">
        <v>1</v>
      </c>
      <c r="U740" s="21" t="s">
        <v>4480</v>
      </c>
      <c r="V740" s="22" t="s">
        <v>103</v>
      </c>
      <c r="W740" s="22"/>
      <c r="X740" s="22"/>
      <c r="Y740" s="22"/>
      <c r="Z740" s="22"/>
      <c r="AA740" s="22"/>
      <c r="AB740" s="22"/>
      <c r="AC740" s="22"/>
      <c r="AD740" s="22"/>
    </row>
    <row r="741" spans="1:36" ht="17.149999999999999" hidden="1" customHeight="1">
      <c r="A741" s="1" t="s">
        <v>4481</v>
      </c>
      <c r="B741" s="1"/>
      <c r="C741" s="1" t="s">
        <v>4482</v>
      </c>
      <c r="D741" s="1"/>
      <c r="E741" s="1"/>
      <c r="F741" s="1"/>
      <c r="G741" s="1"/>
      <c r="H741" s="1" t="s">
        <v>313</v>
      </c>
      <c r="I741" s="1" t="s">
        <v>4483</v>
      </c>
      <c r="J741" s="1" t="s">
        <v>4483</v>
      </c>
      <c r="K741" s="1" t="s">
        <v>4484</v>
      </c>
      <c r="L741" s="1" t="s">
        <v>45</v>
      </c>
      <c r="M741" s="1" t="s">
        <v>46</v>
      </c>
      <c r="N741" s="1">
        <v>130000</v>
      </c>
      <c r="O741" s="1">
        <v>2019</v>
      </c>
      <c r="P741" s="1">
        <v>107900</v>
      </c>
      <c r="Q741" s="1">
        <v>2019</v>
      </c>
      <c r="R741" s="1" t="s">
        <v>46</v>
      </c>
      <c r="S741" s="1">
        <v>1</v>
      </c>
      <c r="T741" s="1">
        <v>1</v>
      </c>
      <c r="U741" s="1" t="s">
        <v>4485</v>
      </c>
    </row>
    <row r="742" spans="1:36" ht="17.149999999999999" hidden="1" customHeight="1">
      <c r="A742" s="1" t="s">
        <v>4486</v>
      </c>
      <c r="B742" s="1"/>
      <c r="C742" s="1" t="s">
        <v>4487</v>
      </c>
      <c r="D742" s="1"/>
      <c r="E742" s="1"/>
      <c r="F742" s="1"/>
      <c r="G742" s="1"/>
      <c r="H742" s="1" t="s">
        <v>249</v>
      </c>
      <c r="I742" s="1" t="s">
        <v>4488</v>
      </c>
      <c r="J742" s="1" t="s">
        <v>2052</v>
      </c>
      <c r="K742" s="1" t="s">
        <v>4489</v>
      </c>
      <c r="L742" s="1" t="s">
        <v>45</v>
      </c>
      <c r="M742" s="1" t="s">
        <v>46</v>
      </c>
      <c r="N742" s="1">
        <v>178915</v>
      </c>
      <c r="O742" s="1">
        <v>2018</v>
      </c>
      <c r="P742" s="1">
        <v>173883</v>
      </c>
      <c r="Q742" s="1">
        <v>2018</v>
      </c>
      <c r="R742" s="1" t="s">
        <v>46</v>
      </c>
      <c r="S742" s="1">
        <v>1</v>
      </c>
      <c r="T742" s="1">
        <v>1</v>
      </c>
      <c r="U742" s="1" t="s">
        <v>4490</v>
      </c>
    </row>
    <row r="743" spans="1:36" ht="17.149999999999999" hidden="1" customHeight="1">
      <c r="A743" s="1" t="s">
        <v>4491</v>
      </c>
      <c r="B743" s="1"/>
      <c r="C743" s="1" t="s">
        <v>4492</v>
      </c>
      <c r="D743" s="1"/>
      <c r="E743" s="1"/>
      <c r="F743" s="1"/>
      <c r="G743" s="1"/>
      <c r="H743" s="1" t="s">
        <v>249</v>
      </c>
      <c r="I743" s="1" t="s">
        <v>4493</v>
      </c>
      <c r="J743" s="1" t="s">
        <v>4494</v>
      </c>
      <c r="K743" s="1" t="s">
        <v>4495</v>
      </c>
      <c r="L743" s="1" t="s">
        <v>45</v>
      </c>
      <c r="M743" s="1" t="s">
        <v>4496</v>
      </c>
      <c r="N743" s="1">
        <v>176591</v>
      </c>
      <c r="O743" s="1">
        <v>2018</v>
      </c>
      <c r="P743" s="1">
        <v>96192</v>
      </c>
      <c r="Q743" s="1">
        <v>2018</v>
      </c>
      <c r="R743" s="1" t="s">
        <v>46</v>
      </c>
      <c r="S743" s="1">
        <v>1</v>
      </c>
      <c r="T743" s="1">
        <v>1</v>
      </c>
      <c r="U743" s="1" t="s">
        <v>4497</v>
      </c>
    </row>
    <row r="744" spans="1:36" ht="17.149999999999999" hidden="1" customHeight="1">
      <c r="A744" s="1" t="s">
        <v>4498</v>
      </c>
      <c r="B744" s="1"/>
      <c r="C744" s="1" t="s">
        <v>4499</v>
      </c>
      <c r="D744" s="1"/>
      <c r="E744" s="1"/>
      <c r="F744" s="1"/>
      <c r="G744" s="1"/>
      <c r="H744" s="1" t="s">
        <v>249</v>
      </c>
      <c r="I744" s="1" t="s">
        <v>4462</v>
      </c>
      <c r="J744" s="1" t="s">
        <v>4500</v>
      </c>
      <c r="K744" s="1" t="s">
        <v>4501</v>
      </c>
      <c r="L744" s="1" t="s">
        <v>45</v>
      </c>
      <c r="M744" s="1" t="s">
        <v>3058</v>
      </c>
      <c r="N744" s="1">
        <v>169017</v>
      </c>
      <c r="O744" s="1">
        <v>2015</v>
      </c>
      <c r="P744" s="1">
        <v>202180</v>
      </c>
      <c r="Q744" s="1">
        <v>2018</v>
      </c>
      <c r="R744" s="1" t="s">
        <v>46</v>
      </c>
      <c r="S744" s="1">
        <v>1</v>
      </c>
      <c r="T744" s="1">
        <v>1</v>
      </c>
      <c r="U744" s="1" t="s">
        <v>4502</v>
      </c>
    </row>
    <row r="745" spans="1:36" ht="17.149999999999999" hidden="1" customHeight="1">
      <c r="A745" s="1" t="s">
        <v>4503</v>
      </c>
      <c r="B745" s="1"/>
      <c r="C745" s="1" t="s">
        <v>4504</v>
      </c>
      <c r="D745" s="1"/>
      <c r="E745" s="1"/>
      <c r="F745" s="1"/>
      <c r="G745" s="1"/>
      <c r="H745" s="1" t="s">
        <v>110</v>
      </c>
      <c r="I745" s="1" t="s">
        <v>46</v>
      </c>
      <c r="J745" s="1" t="s">
        <v>4505</v>
      </c>
      <c r="K745" s="1" t="s">
        <v>4506</v>
      </c>
      <c r="L745" s="1" t="s">
        <v>45</v>
      </c>
      <c r="M745" s="1" t="s">
        <v>46</v>
      </c>
      <c r="N745" s="1">
        <v>107105</v>
      </c>
      <c r="O745" s="1">
        <v>2019</v>
      </c>
      <c r="P745" s="1">
        <v>107105</v>
      </c>
      <c r="Q745" s="1">
        <v>2019</v>
      </c>
      <c r="R745" s="1" t="s">
        <v>46</v>
      </c>
      <c r="S745" s="1">
        <v>1</v>
      </c>
      <c r="T745" s="1">
        <v>1</v>
      </c>
      <c r="U745" s="1" t="s">
        <v>4507</v>
      </c>
    </row>
    <row r="746" spans="1:36" ht="17.149999999999999" hidden="1" customHeight="1">
      <c r="A746" s="1" t="s">
        <v>4508</v>
      </c>
      <c r="B746" s="1"/>
      <c r="C746" s="1" t="s">
        <v>4509</v>
      </c>
      <c r="D746" s="1"/>
      <c r="E746" s="1"/>
      <c r="F746" s="1"/>
      <c r="G746" s="1"/>
      <c r="H746" s="1" t="s">
        <v>1279</v>
      </c>
      <c r="I746" s="1" t="s">
        <v>46</v>
      </c>
      <c r="J746" s="1" t="s">
        <v>4510</v>
      </c>
      <c r="K746" s="1" t="s">
        <v>4511</v>
      </c>
      <c r="L746" s="1" t="s">
        <v>45</v>
      </c>
      <c r="M746" s="1" t="s">
        <v>46</v>
      </c>
      <c r="N746" s="1">
        <v>120000</v>
      </c>
      <c r="O746" s="1">
        <v>2015</v>
      </c>
      <c r="P746" s="1">
        <v>107083</v>
      </c>
      <c r="Q746" s="1">
        <v>2015</v>
      </c>
      <c r="R746" s="1" t="s">
        <v>46</v>
      </c>
      <c r="S746" s="1">
        <v>1</v>
      </c>
      <c r="T746" s="1">
        <v>1</v>
      </c>
      <c r="U746" s="1" t="s">
        <v>4512</v>
      </c>
    </row>
    <row r="747" spans="1:36" ht="17.149999999999999" customHeight="1">
      <c r="A747" s="14" t="s">
        <v>4513</v>
      </c>
      <c r="B747" s="14" t="s">
        <v>37</v>
      </c>
      <c r="C747" s="56" t="s">
        <v>4514</v>
      </c>
      <c r="D747" s="144" t="s">
        <v>4515</v>
      </c>
      <c r="E747" s="144" t="s">
        <v>4516</v>
      </c>
      <c r="F747" s="17" t="s">
        <v>62</v>
      </c>
      <c r="G747" s="61" t="s">
        <v>40</v>
      </c>
      <c r="H747" s="14" t="s">
        <v>41</v>
      </c>
      <c r="I747" s="14" t="s">
        <v>551</v>
      </c>
      <c r="J747" s="14" t="s">
        <v>4517</v>
      </c>
      <c r="K747" s="14" t="s">
        <v>4518</v>
      </c>
      <c r="L747" s="14" t="s">
        <v>45</v>
      </c>
      <c r="M747" s="14" t="s">
        <v>46</v>
      </c>
      <c r="N747" s="14" t="s">
        <v>46</v>
      </c>
      <c r="O747" s="14" t="s">
        <v>46</v>
      </c>
      <c r="P747" s="14">
        <v>89100</v>
      </c>
      <c r="Q747" s="14">
        <v>2016</v>
      </c>
      <c r="R747" s="14" t="s">
        <v>46</v>
      </c>
      <c r="S747" s="14">
        <v>1</v>
      </c>
      <c r="T747" s="14">
        <v>1</v>
      </c>
      <c r="U747" s="14" t="s">
        <v>4519</v>
      </c>
      <c r="V747" s="6" t="s">
        <v>40</v>
      </c>
      <c r="W747" s="6" t="s">
        <v>4520</v>
      </c>
      <c r="X747" s="33" t="s">
        <v>40</v>
      </c>
      <c r="Y747" s="33"/>
      <c r="Z747" s="6" t="s">
        <v>1557</v>
      </c>
      <c r="AA747" s="6" t="s">
        <v>4521</v>
      </c>
      <c r="AB747" s="6"/>
      <c r="AC747" s="6" t="s">
        <v>4522</v>
      </c>
      <c r="AD747" s="6" t="s">
        <v>40</v>
      </c>
      <c r="AE747" s="2">
        <v>1</v>
      </c>
      <c r="AF747" s="2" t="s">
        <v>53</v>
      </c>
      <c r="AG747" s="2" t="s">
        <v>71</v>
      </c>
      <c r="AJ747" s="2" t="s">
        <v>57</v>
      </c>
    </row>
    <row r="748" spans="1:36" ht="17.149999999999999" hidden="1" customHeight="1">
      <c r="A748" s="1" t="s">
        <v>4523</v>
      </c>
      <c r="B748" s="1"/>
      <c r="C748" s="1" t="s">
        <v>4524</v>
      </c>
      <c r="D748" s="1"/>
      <c r="E748" s="1"/>
      <c r="F748" s="1"/>
      <c r="G748" s="1"/>
      <c r="H748" s="1" t="s">
        <v>249</v>
      </c>
      <c r="I748" s="1" t="s">
        <v>4525</v>
      </c>
      <c r="J748" s="1" t="s">
        <v>4526</v>
      </c>
      <c r="K748" s="1" t="s">
        <v>4527</v>
      </c>
      <c r="L748" s="1" t="s">
        <v>45</v>
      </c>
      <c r="M748" s="1" t="s">
        <v>4528</v>
      </c>
      <c r="N748" s="1">
        <v>156394</v>
      </c>
      <c r="O748" s="1">
        <v>2018</v>
      </c>
      <c r="P748" s="1">
        <v>67280</v>
      </c>
      <c r="Q748" s="1">
        <v>2018</v>
      </c>
      <c r="R748" s="1" t="s">
        <v>46</v>
      </c>
      <c r="S748" s="1">
        <v>1</v>
      </c>
      <c r="T748" s="1">
        <v>1</v>
      </c>
      <c r="U748" s="1" t="s">
        <v>4529</v>
      </c>
    </row>
    <row r="749" spans="1:36" ht="17.149999999999999" hidden="1" customHeight="1">
      <c r="A749" s="1" t="s">
        <v>4530</v>
      </c>
      <c r="B749" s="1"/>
      <c r="C749" s="1" t="s">
        <v>4531</v>
      </c>
      <c r="D749" s="1"/>
      <c r="E749" s="1"/>
      <c r="F749" s="1"/>
      <c r="G749" s="1"/>
      <c r="H749" s="1" t="s">
        <v>249</v>
      </c>
      <c r="I749" s="1" t="s">
        <v>4532</v>
      </c>
      <c r="J749" s="1" t="s">
        <v>4533</v>
      </c>
      <c r="K749" s="1" t="s">
        <v>4534</v>
      </c>
      <c r="L749" s="1" t="s">
        <v>45</v>
      </c>
      <c r="M749" s="1" t="s">
        <v>46</v>
      </c>
      <c r="N749" s="1">
        <v>151146</v>
      </c>
      <c r="O749" s="1">
        <v>2018</v>
      </c>
      <c r="P749" s="1">
        <v>122160</v>
      </c>
      <c r="Q749" s="1">
        <v>2018</v>
      </c>
      <c r="R749" s="1" t="s">
        <v>46</v>
      </c>
      <c r="S749" s="1">
        <v>1</v>
      </c>
      <c r="T749" s="1" t="s">
        <v>46</v>
      </c>
      <c r="U749" s="1" t="s">
        <v>4535</v>
      </c>
    </row>
    <row r="750" spans="1:36" s="42" customFormat="1" ht="17.149999999999999" customHeight="1">
      <c r="A750" s="41" t="s">
        <v>4536</v>
      </c>
      <c r="B750" s="41" t="s">
        <v>37</v>
      </c>
      <c r="C750" s="41" t="s">
        <v>4537</v>
      </c>
      <c r="D750" s="41" t="s">
        <v>4537</v>
      </c>
      <c r="E750" s="41" t="s">
        <v>4538</v>
      </c>
      <c r="F750" s="41" t="s">
        <v>62</v>
      </c>
      <c r="G750" s="41" t="s">
        <v>286</v>
      </c>
      <c r="H750" s="41" t="s">
        <v>249</v>
      </c>
      <c r="I750" s="41" t="s">
        <v>4539</v>
      </c>
      <c r="J750" s="41" t="s">
        <v>4540</v>
      </c>
      <c r="K750" s="41" t="s">
        <v>4541</v>
      </c>
      <c r="L750" s="41" t="s">
        <v>45</v>
      </c>
      <c r="M750" s="41" t="s">
        <v>46</v>
      </c>
      <c r="N750" s="41">
        <v>147768</v>
      </c>
      <c r="O750" s="41">
        <v>2018</v>
      </c>
      <c r="P750" s="41">
        <v>208839</v>
      </c>
      <c r="Q750" s="41">
        <v>2018</v>
      </c>
      <c r="R750" s="41" t="s">
        <v>46</v>
      </c>
      <c r="S750" s="41">
        <v>1</v>
      </c>
      <c r="T750" s="41">
        <v>1</v>
      </c>
      <c r="U750" s="41" t="s">
        <v>4542</v>
      </c>
      <c r="V750" s="42" t="s">
        <v>40</v>
      </c>
      <c r="W750" s="42" t="s">
        <v>4543</v>
      </c>
      <c r="X750" s="42" t="s">
        <v>40</v>
      </c>
      <c r="Z750" s="42" t="s">
        <v>4544</v>
      </c>
      <c r="AA750" s="42" t="s">
        <v>4545</v>
      </c>
      <c r="AC750" s="42" t="s">
        <v>4546</v>
      </c>
      <c r="AD750" s="42" t="s">
        <v>40</v>
      </c>
      <c r="AE750" s="42">
        <v>4</v>
      </c>
      <c r="AF750" s="42" t="s">
        <v>2327</v>
      </c>
    </row>
    <row r="751" spans="1:36" ht="17.149999999999999" hidden="1" customHeight="1">
      <c r="A751" s="1" t="s">
        <v>4547</v>
      </c>
      <c r="B751" s="1"/>
      <c r="C751" s="1" t="s">
        <v>4548</v>
      </c>
      <c r="D751" s="1"/>
      <c r="E751" s="1"/>
      <c r="F751" s="1"/>
      <c r="G751" s="1"/>
      <c r="H751" s="1" t="s">
        <v>674</v>
      </c>
      <c r="I751" s="1" t="s">
        <v>46</v>
      </c>
      <c r="J751" s="1" t="s">
        <v>4549</v>
      </c>
      <c r="K751" s="1" t="s">
        <v>4550</v>
      </c>
      <c r="L751" s="1" t="s">
        <v>45</v>
      </c>
      <c r="M751" s="1" t="s">
        <v>46</v>
      </c>
      <c r="N751" s="1">
        <v>117753</v>
      </c>
      <c r="O751" s="1">
        <v>2016</v>
      </c>
      <c r="P751" s="1">
        <v>105849</v>
      </c>
      <c r="Q751" s="1">
        <v>2016</v>
      </c>
      <c r="R751" s="1" t="s">
        <v>46</v>
      </c>
      <c r="S751" s="1">
        <v>1</v>
      </c>
      <c r="T751" s="1">
        <v>1</v>
      </c>
      <c r="U751" s="1" t="s">
        <v>4551</v>
      </c>
    </row>
    <row r="752" spans="1:36" ht="17.149999999999999" hidden="1" customHeight="1">
      <c r="A752" s="1" t="s">
        <v>4552</v>
      </c>
      <c r="B752" s="1"/>
      <c r="C752" s="1" t="s">
        <v>4553</v>
      </c>
      <c r="D752" s="1"/>
      <c r="E752" s="1"/>
      <c r="F752" s="1"/>
      <c r="G752" s="1"/>
      <c r="H752" s="1" t="s">
        <v>249</v>
      </c>
      <c r="I752" s="1" t="s">
        <v>3897</v>
      </c>
      <c r="J752" s="1" t="s">
        <v>4554</v>
      </c>
      <c r="K752" s="1" t="s">
        <v>4555</v>
      </c>
      <c r="L752" s="1" t="s">
        <v>45</v>
      </c>
      <c r="M752" s="1" t="s">
        <v>46</v>
      </c>
      <c r="N752" s="1">
        <v>145763</v>
      </c>
      <c r="O752" s="1">
        <v>2018</v>
      </c>
      <c r="P752" s="1">
        <v>145763</v>
      </c>
      <c r="Q752" s="1">
        <v>2018</v>
      </c>
      <c r="R752" s="1" t="s">
        <v>46</v>
      </c>
      <c r="S752" s="1">
        <v>1</v>
      </c>
      <c r="T752" s="1">
        <v>1</v>
      </c>
      <c r="U752" s="1" t="s">
        <v>4556</v>
      </c>
    </row>
    <row r="753" spans="1:35" ht="17.149999999999999" hidden="1" customHeight="1">
      <c r="A753" s="1" t="s">
        <v>4557</v>
      </c>
      <c r="B753" s="1"/>
      <c r="C753" s="1" t="s">
        <v>4558</v>
      </c>
      <c r="D753" s="1"/>
      <c r="E753" s="1"/>
      <c r="F753" s="1"/>
      <c r="G753" s="1"/>
      <c r="H753" s="1" t="s">
        <v>1171</v>
      </c>
      <c r="I753" s="1" t="s">
        <v>46</v>
      </c>
      <c r="J753" s="1" t="s">
        <v>4559</v>
      </c>
      <c r="K753" s="1" t="s">
        <v>4560</v>
      </c>
      <c r="L753" s="1" t="s">
        <v>118</v>
      </c>
      <c r="M753" s="1" t="s">
        <v>4561</v>
      </c>
      <c r="N753" s="1">
        <v>136702</v>
      </c>
      <c r="O753" s="1">
        <v>2018</v>
      </c>
      <c r="P753" s="1">
        <v>105351</v>
      </c>
      <c r="Q753" s="1">
        <v>2018</v>
      </c>
      <c r="R753" s="1" t="s">
        <v>46</v>
      </c>
      <c r="S753" s="1">
        <v>1</v>
      </c>
      <c r="T753" s="1" t="s">
        <v>46</v>
      </c>
      <c r="U753" s="1" t="s">
        <v>4562</v>
      </c>
    </row>
    <row r="754" spans="1:35" ht="17.149999999999999" hidden="1" customHeight="1">
      <c r="A754" s="1" t="s">
        <v>4563</v>
      </c>
      <c r="B754" s="1"/>
      <c r="C754" s="1" t="s">
        <v>4564</v>
      </c>
      <c r="D754" s="1"/>
      <c r="E754" s="1"/>
      <c r="F754" s="1"/>
      <c r="G754" s="1"/>
      <c r="H754" s="1" t="s">
        <v>249</v>
      </c>
      <c r="I754" s="1" t="s">
        <v>3897</v>
      </c>
      <c r="J754" s="1" t="s">
        <v>4565</v>
      </c>
      <c r="K754" s="1" t="s">
        <v>4566</v>
      </c>
      <c r="L754" s="1" t="s">
        <v>45</v>
      </c>
      <c r="M754" s="1" t="s">
        <v>46</v>
      </c>
      <c r="N754" s="1">
        <v>145742</v>
      </c>
      <c r="O754" s="1">
        <v>2018</v>
      </c>
      <c r="P754" s="1">
        <v>139507</v>
      </c>
      <c r="Q754" s="1">
        <v>2018</v>
      </c>
      <c r="R754" s="1" t="s">
        <v>46</v>
      </c>
      <c r="S754" s="1">
        <v>1</v>
      </c>
      <c r="T754" s="1" t="s">
        <v>46</v>
      </c>
      <c r="U754" s="1" t="s">
        <v>4567</v>
      </c>
    </row>
    <row r="755" spans="1:35" ht="17.149999999999999" hidden="1" customHeight="1">
      <c r="A755" s="1" t="s">
        <v>4568</v>
      </c>
      <c r="B755" s="1"/>
      <c r="C755" s="1" t="s">
        <v>4569</v>
      </c>
      <c r="D755" s="1"/>
      <c r="E755" s="1"/>
      <c r="F755" s="1"/>
      <c r="G755" s="1"/>
      <c r="H755" s="1" t="s">
        <v>249</v>
      </c>
      <c r="I755" s="1" t="s">
        <v>2128</v>
      </c>
      <c r="J755" s="1" t="s">
        <v>4570</v>
      </c>
      <c r="K755" s="1" t="s">
        <v>4571</v>
      </c>
      <c r="L755" s="1" t="s">
        <v>45</v>
      </c>
      <c r="M755" s="1" t="s">
        <v>46</v>
      </c>
      <c r="N755" s="1">
        <v>145429</v>
      </c>
      <c r="O755" s="1">
        <v>2018</v>
      </c>
      <c r="P755" s="1">
        <v>129756</v>
      </c>
      <c r="Q755" s="1">
        <v>2018</v>
      </c>
      <c r="R755" s="1" t="s">
        <v>46</v>
      </c>
      <c r="S755" s="1">
        <v>1</v>
      </c>
      <c r="T755" s="1" t="s">
        <v>46</v>
      </c>
      <c r="U755" s="1" t="s">
        <v>4572</v>
      </c>
    </row>
    <row r="756" spans="1:35" ht="17.149999999999999" hidden="1" customHeight="1">
      <c r="A756" s="1" t="s">
        <v>4573</v>
      </c>
      <c r="B756" s="1"/>
      <c r="C756" s="1" t="s">
        <v>4574</v>
      </c>
      <c r="D756" s="1"/>
      <c r="E756" s="1"/>
      <c r="F756" s="1"/>
      <c r="G756" s="1"/>
      <c r="H756" s="1" t="s">
        <v>249</v>
      </c>
      <c r="I756" s="1" t="s">
        <v>3347</v>
      </c>
      <c r="J756" s="1" t="s">
        <v>4575</v>
      </c>
      <c r="K756" s="1" t="s">
        <v>4576</v>
      </c>
      <c r="L756" s="1" t="s">
        <v>45</v>
      </c>
      <c r="M756" s="1" t="s">
        <v>46</v>
      </c>
      <c r="N756" s="1">
        <v>143310</v>
      </c>
      <c r="O756" s="1">
        <v>2018</v>
      </c>
      <c r="P756" s="1">
        <v>143310</v>
      </c>
      <c r="Q756" s="1">
        <v>2018</v>
      </c>
      <c r="R756" s="1" t="s">
        <v>46</v>
      </c>
      <c r="S756" s="1">
        <v>1</v>
      </c>
      <c r="T756" s="1">
        <v>1</v>
      </c>
      <c r="U756" s="1" t="s">
        <v>4577</v>
      </c>
      <c r="AH756" s="42"/>
      <c r="AI756" s="42"/>
    </row>
    <row r="757" spans="1:35" ht="17.149999999999999" hidden="1" customHeight="1">
      <c r="A757" s="1" t="s">
        <v>4578</v>
      </c>
      <c r="B757" s="1"/>
      <c r="C757" s="1" t="s">
        <v>4579</v>
      </c>
      <c r="D757" s="1"/>
      <c r="E757" s="1"/>
      <c r="F757" s="1"/>
      <c r="G757" s="1"/>
      <c r="H757" s="1" t="s">
        <v>1367</v>
      </c>
      <c r="I757" s="1" t="s">
        <v>46</v>
      </c>
      <c r="J757" s="1" t="s">
        <v>4580</v>
      </c>
      <c r="K757" s="1" t="s">
        <v>4581</v>
      </c>
      <c r="L757" s="1" t="s">
        <v>45</v>
      </c>
      <c r="M757" s="1" t="s">
        <v>46</v>
      </c>
      <c r="N757" s="1">
        <v>165674</v>
      </c>
      <c r="O757" s="1">
        <v>2017</v>
      </c>
      <c r="P757" s="1">
        <v>104972</v>
      </c>
      <c r="Q757" s="1">
        <v>2017</v>
      </c>
      <c r="R757" s="1" t="s">
        <v>46</v>
      </c>
      <c r="S757" s="1">
        <v>1</v>
      </c>
      <c r="T757" s="1">
        <v>1</v>
      </c>
      <c r="U757" s="1" t="s">
        <v>4582</v>
      </c>
    </row>
    <row r="758" spans="1:35" ht="17.149999999999999" hidden="1" customHeight="1">
      <c r="A758" s="1" t="s">
        <v>4583</v>
      </c>
      <c r="B758" s="1"/>
      <c r="C758" s="1" t="s">
        <v>4584</v>
      </c>
      <c r="D758" s="1"/>
      <c r="E758" s="1"/>
      <c r="F758" s="1"/>
      <c r="G758" s="1"/>
      <c r="H758" s="1" t="s">
        <v>1669</v>
      </c>
      <c r="I758" s="1" t="s">
        <v>46</v>
      </c>
      <c r="J758" s="1" t="s">
        <v>4585</v>
      </c>
      <c r="K758" s="1" t="s">
        <v>4586</v>
      </c>
      <c r="L758" s="1" t="s">
        <v>45</v>
      </c>
      <c r="M758" s="1" t="s">
        <v>46</v>
      </c>
      <c r="N758" s="1">
        <v>104899</v>
      </c>
      <c r="O758" s="1">
        <v>2023</v>
      </c>
      <c r="P758" s="1">
        <v>104899</v>
      </c>
      <c r="Q758" s="1">
        <v>2023</v>
      </c>
      <c r="R758" s="1" t="s">
        <v>46</v>
      </c>
      <c r="S758" s="1">
        <v>1</v>
      </c>
      <c r="T758" s="1" t="s">
        <v>46</v>
      </c>
      <c r="U758" s="1" t="s">
        <v>4587</v>
      </c>
    </row>
    <row r="759" spans="1:35" ht="17.149999999999999" hidden="1" customHeight="1">
      <c r="A759" s="1" t="s">
        <v>4588</v>
      </c>
      <c r="B759" s="1"/>
      <c r="C759" s="1" t="s">
        <v>4589</v>
      </c>
      <c r="D759" s="1"/>
      <c r="E759" s="1"/>
      <c r="F759" s="1"/>
      <c r="G759" s="1"/>
      <c r="H759" s="1" t="s">
        <v>249</v>
      </c>
      <c r="I759" s="1" t="s">
        <v>2122</v>
      </c>
      <c r="J759" s="1" t="s">
        <v>2070</v>
      </c>
      <c r="K759" s="1" t="s">
        <v>4590</v>
      </c>
      <c r="L759" s="1" t="s">
        <v>45</v>
      </c>
      <c r="M759" s="1" t="s">
        <v>46</v>
      </c>
      <c r="N759" s="1">
        <v>140766</v>
      </c>
      <c r="O759" s="1">
        <v>2018</v>
      </c>
      <c r="P759" s="1">
        <v>145602</v>
      </c>
      <c r="Q759" s="1">
        <v>2018</v>
      </c>
      <c r="R759" s="1" t="s">
        <v>46</v>
      </c>
      <c r="S759" s="1">
        <v>1</v>
      </c>
      <c r="T759" s="1" t="s">
        <v>46</v>
      </c>
      <c r="U759" s="1" t="s">
        <v>4591</v>
      </c>
    </row>
    <row r="760" spans="1:35" ht="17.149999999999999" hidden="1" customHeight="1">
      <c r="A760" s="1" t="s">
        <v>4592</v>
      </c>
      <c r="B760" s="1"/>
      <c r="C760" s="1" t="s">
        <v>4593</v>
      </c>
      <c r="D760" s="1"/>
      <c r="E760" s="1"/>
      <c r="F760" s="1"/>
      <c r="G760" s="1"/>
      <c r="H760" s="1" t="s">
        <v>110</v>
      </c>
      <c r="I760" s="1" t="s">
        <v>46</v>
      </c>
      <c r="J760" s="1" t="s">
        <v>4594</v>
      </c>
      <c r="K760" s="1" t="s">
        <v>4595</v>
      </c>
      <c r="L760" s="1" t="s">
        <v>45</v>
      </c>
      <c r="M760" s="1" t="s">
        <v>46</v>
      </c>
      <c r="N760" s="1">
        <v>104029</v>
      </c>
      <c r="O760" s="1">
        <v>2015</v>
      </c>
      <c r="P760" s="1">
        <v>104029</v>
      </c>
      <c r="Q760" s="1">
        <v>2015</v>
      </c>
      <c r="R760" s="1" t="s">
        <v>46</v>
      </c>
      <c r="S760" s="1">
        <v>1</v>
      </c>
      <c r="T760" s="1">
        <v>1</v>
      </c>
      <c r="U760" s="1" t="s">
        <v>4596</v>
      </c>
    </row>
    <row r="761" spans="1:35" ht="17.149999999999999" hidden="1" customHeight="1">
      <c r="A761" s="1" t="s">
        <v>4597</v>
      </c>
      <c r="B761" s="1"/>
      <c r="C761" s="1" t="s">
        <v>4598</v>
      </c>
      <c r="D761" s="1"/>
      <c r="E761" s="1"/>
      <c r="F761" s="1"/>
      <c r="G761" s="1"/>
      <c r="H761" s="1" t="s">
        <v>1279</v>
      </c>
      <c r="I761" s="1" t="s">
        <v>46</v>
      </c>
      <c r="J761" s="1" t="s">
        <v>4599</v>
      </c>
      <c r="K761" s="1" t="s">
        <v>4600</v>
      </c>
      <c r="L761" s="1" t="s">
        <v>45</v>
      </c>
      <c r="M761" s="1" t="s">
        <v>46</v>
      </c>
      <c r="N761" s="1">
        <v>106188</v>
      </c>
      <c r="O761" s="1">
        <v>2015</v>
      </c>
      <c r="P761" s="1">
        <v>104006</v>
      </c>
      <c r="Q761" s="1">
        <v>2015</v>
      </c>
      <c r="R761" s="1" t="s">
        <v>46</v>
      </c>
      <c r="S761" s="1">
        <v>1</v>
      </c>
      <c r="T761" s="1">
        <v>1</v>
      </c>
      <c r="U761" s="1" t="s">
        <v>4601</v>
      </c>
    </row>
    <row r="762" spans="1:35" ht="17.149999999999999" hidden="1" customHeight="1">
      <c r="A762" s="1" t="s">
        <v>4602</v>
      </c>
      <c r="B762" s="1"/>
      <c r="C762" s="1" t="s">
        <v>4603</v>
      </c>
      <c r="D762" s="1"/>
      <c r="E762" s="1"/>
      <c r="F762" s="1"/>
      <c r="G762" s="1"/>
      <c r="H762" s="1" t="s">
        <v>177</v>
      </c>
      <c r="I762" s="1" t="s">
        <v>178</v>
      </c>
      <c r="J762" s="1" t="s">
        <v>4604</v>
      </c>
      <c r="K762" s="1" t="s">
        <v>4605</v>
      </c>
      <c r="L762" s="1" t="s">
        <v>118</v>
      </c>
      <c r="M762" s="1" t="s">
        <v>4606</v>
      </c>
      <c r="N762" s="1">
        <v>103900</v>
      </c>
      <c r="O762" s="1">
        <v>2019</v>
      </c>
      <c r="P762" s="1">
        <v>103900</v>
      </c>
      <c r="Q762" s="1">
        <v>2019</v>
      </c>
      <c r="R762" s="1">
        <v>1</v>
      </c>
      <c r="S762" s="1">
        <v>1</v>
      </c>
      <c r="T762" s="1">
        <v>1</v>
      </c>
      <c r="U762" s="1" t="s">
        <v>4607</v>
      </c>
    </row>
    <row r="763" spans="1:35" s="42" customFormat="1" ht="17.149999999999999" customHeight="1">
      <c r="A763" s="41" t="s">
        <v>4608</v>
      </c>
      <c r="B763" s="41" t="s">
        <v>37</v>
      </c>
      <c r="C763" s="41" t="s">
        <v>4609</v>
      </c>
      <c r="D763" s="41" t="s">
        <v>4609</v>
      </c>
      <c r="E763" s="41" t="s">
        <v>4609</v>
      </c>
      <c r="F763" s="41" t="s">
        <v>62</v>
      </c>
      <c r="G763" s="41" t="s">
        <v>286</v>
      </c>
      <c r="H763" s="41" t="s">
        <v>4610</v>
      </c>
      <c r="I763" s="41" t="s">
        <v>46</v>
      </c>
      <c r="J763" s="41" t="s">
        <v>4610</v>
      </c>
      <c r="K763" s="41" t="s">
        <v>4611</v>
      </c>
      <c r="L763" s="41" t="s">
        <v>45</v>
      </c>
      <c r="M763" s="41" t="s">
        <v>46</v>
      </c>
      <c r="N763" s="41">
        <v>90000</v>
      </c>
      <c r="O763" s="41">
        <v>2018</v>
      </c>
      <c r="P763" s="41">
        <v>103641</v>
      </c>
      <c r="Q763" s="41">
        <v>2015</v>
      </c>
      <c r="R763" s="41" t="s">
        <v>46</v>
      </c>
      <c r="S763" s="41">
        <v>1</v>
      </c>
      <c r="T763" s="41">
        <v>1</v>
      </c>
      <c r="U763" s="41" t="s">
        <v>4612</v>
      </c>
      <c r="V763" s="42" t="s">
        <v>40</v>
      </c>
      <c r="W763" s="42" t="s">
        <v>1810</v>
      </c>
      <c r="X763" s="42" t="s">
        <v>40</v>
      </c>
      <c r="Y763" s="42" t="s">
        <v>140</v>
      </c>
      <c r="Z763" s="42" t="s">
        <v>4613</v>
      </c>
      <c r="AA763" s="42" t="s">
        <v>4614</v>
      </c>
      <c r="AC763" s="42" t="s">
        <v>4615</v>
      </c>
      <c r="AD763" s="42" t="s">
        <v>40</v>
      </c>
      <c r="AE763" s="42">
        <v>1</v>
      </c>
      <c r="AF763" s="42" t="s">
        <v>53</v>
      </c>
    </row>
    <row r="764" spans="1:35" ht="17.149999999999999" hidden="1" customHeight="1">
      <c r="A764" s="1" t="s">
        <v>4616</v>
      </c>
      <c r="B764" s="1"/>
      <c r="C764" s="1" t="s">
        <v>4617</v>
      </c>
      <c r="D764" s="1"/>
      <c r="E764" s="1"/>
      <c r="F764" s="1"/>
      <c r="G764" s="1"/>
      <c r="H764" s="1" t="s">
        <v>249</v>
      </c>
      <c r="I764" s="1" t="s">
        <v>2122</v>
      </c>
      <c r="J764" s="1" t="s">
        <v>2070</v>
      </c>
      <c r="K764" s="1" t="s">
        <v>4618</v>
      </c>
      <c r="L764" s="1" t="s">
        <v>45</v>
      </c>
      <c r="M764" s="1" t="s">
        <v>46</v>
      </c>
      <c r="N764" s="1">
        <v>139751</v>
      </c>
      <c r="O764" s="1">
        <v>2018</v>
      </c>
      <c r="P764" s="1">
        <v>59727</v>
      </c>
      <c r="Q764" s="1">
        <v>2018</v>
      </c>
      <c r="R764" s="1" t="s">
        <v>46</v>
      </c>
      <c r="S764" s="1">
        <v>1</v>
      </c>
      <c r="T764" s="1" t="s">
        <v>46</v>
      </c>
      <c r="U764" s="1" t="s">
        <v>4619</v>
      </c>
      <c r="V764" s="2" t="s">
        <v>4620</v>
      </c>
    </row>
    <row r="765" spans="1:35" s="44" customFormat="1" ht="17.149999999999999" hidden="1" customHeight="1">
      <c r="A765" s="141" t="s">
        <v>4621</v>
      </c>
      <c r="B765" s="141"/>
      <c r="C765" s="141" t="s">
        <v>4622</v>
      </c>
      <c r="D765" s="1"/>
      <c r="E765" s="1"/>
      <c r="F765" s="1"/>
      <c r="G765" s="1"/>
      <c r="H765" s="141" t="s">
        <v>249</v>
      </c>
      <c r="I765" s="141" t="s">
        <v>4623</v>
      </c>
      <c r="J765" s="141" t="s">
        <v>4624</v>
      </c>
      <c r="K765" s="141" t="s">
        <v>4625</v>
      </c>
      <c r="L765" s="141" t="s">
        <v>45</v>
      </c>
      <c r="M765" s="141" t="s">
        <v>46</v>
      </c>
      <c r="N765" s="141">
        <v>136805</v>
      </c>
      <c r="O765" s="141">
        <v>2018</v>
      </c>
      <c r="P765" s="141">
        <v>136805</v>
      </c>
      <c r="Q765" s="141">
        <v>2018</v>
      </c>
      <c r="R765" s="141" t="s">
        <v>46</v>
      </c>
      <c r="S765" s="141">
        <v>1</v>
      </c>
      <c r="T765" s="141">
        <v>1</v>
      </c>
      <c r="U765" s="141" t="s">
        <v>4626</v>
      </c>
    </row>
    <row r="766" spans="1:35" ht="17.149999999999999" hidden="1" customHeight="1">
      <c r="A766" s="1" t="s">
        <v>4627</v>
      </c>
      <c r="B766" s="1"/>
      <c r="C766" s="1" t="s">
        <v>4628</v>
      </c>
      <c r="D766" s="1"/>
      <c r="E766" s="1"/>
      <c r="F766" s="1"/>
      <c r="G766" s="1"/>
      <c r="H766" s="1" t="s">
        <v>249</v>
      </c>
      <c r="I766" s="1" t="s">
        <v>4525</v>
      </c>
      <c r="J766" s="1" t="s">
        <v>4629</v>
      </c>
      <c r="K766" s="1" t="s">
        <v>4630</v>
      </c>
      <c r="L766" s="1" t="s">
        <v>45</v>
      </c>
      <c r="M766" s="1" t="s">
        <v>4631</v>
      </c>
      <c r="N766" s="1">
        <v>136414</v>
      </c>
      <c r="O766" s="1">
        <v>2018</v>
      </c>
      <c r="P766" s="1">
        <v>183929</v>
      </c>
      <c r="Q766" s="1">
        <v>2018</v>
      </c>
      <c r="R766" s="1" t="s">
        <v>46</v>
      </c>
      <c r="S766" s="1">
        <v>1</v>
      </c>
      <c r="T766" s="1">
        <v>1</v>
      </c>
      <c r="U766" s="1" t="s">
        <v>4632</v>
      </c>
    </row>
    <row r="767" spans="1:35" ht="17.149999999999999" hidden="1" customHeight="1">
      <c r="A767" s="1" t="s">
        <v>4633</v>
      </c>
      <c r="B767" s="1"/>
      <c r="C767" s="1" t="s">
        <v>4634</v>
      </c>
      <c r="D767" s="1"/>
      <c r="E767" s="1"/>
      <c r="F767" s="1"/>
      <c r="G767" s="1"/>
      <c r="H767" s="1" t="s">
        <v>1171</v>
      </c>
      <c r="I767" s="1" t="s">
        <v>46</v>
      </c>
      <c r="J767" s="1" t="s">
        <v>4635</v>
      </c>
      <c r="K767" s="1" t="s">
        <v>4636</v>
      </c>
      <c r="L767" s="1" t="s">
        <v>118</v>
      </c>
      <c r="M767" s="1" t="s">
        <v>4637</v>
      </c>
      <c r="N767" s="1">
        <v>114762</v>
      </c>
      <c r="O767" s="1">
        <v>2018</v>
      </c>
      <c r="P767" s="1">
        <v>102229</v>
      </c>
      <c r="Q767" s="1">
        <v>2018</v>
      </c>
      <c r="R767" s="1" t="s">
        <v>46</v>
      </c>
      <c r="S767" s="1">
        <v>1</v>
      </c>
      <c r="T767" s="1" t="s">
        <v>46</v>
      </c>
      <c r="U767" s="1" t="s">
        <v>4638</v>
      </c>
    </row>
    <row r="768" spans="1:35" ht="17.149999999999999" hidden="1" customHeight="1">
      <c r="A768" s="1" t="s">
        <v>4639</v>
      </c>
      <c r="B768" s="1"/>
      <c r="C768" s="1" t="s">
        <v>4640</v>
      </c>
      <c r="D768" s="1"/>
      <c r="E768" s="1"/>
      <c r="F768" s="1"/>
      <c r="G768" s="1"/>
      <c r="H768" s="1" t="s">
        <v>249</v>
      </c>
      <c r="I768" s="1" t="s">
        <v>4532</v>
      </c>
      <c r="J768" s="1" t="s">
        <v>4641</v>
      </c>
      <c r="K768" s="1" t="s">
        <v>4642</v>
      </c>
      <c r="L768" s="1" t="s">
        <v>45</v>
      </c>
      <c r="M768" s="1" t="s">
        <v>46</v>
      </c>
      <c r="N768" s="1">
        <v>133952</v>
      </c>
      <c r="O768" s="1">
        <v>2018</v>
      </c>
      <c r="P768" s="1">
        <v>162938</v>
      </c>
      <c r="Q768" s="1">
        <v>2018</v>
      </c>
      <c r="R768" s="1" t="s">
        <v>46</v>
      </c>
      <c r="S768" s="1">
        <v>1</v>
      </c>
      <c r="T768" s="1">
        <v>1</v>
      </c>
      <c r="U768" s="1" t="s">
        <v>4643</v>
      </c>
      <c r="V768" s="2" t="s">
        <v>40</v>
      </c>
      <c r="W768" s="2" t="s">
        <v>67</v>
      </c>
      <c r="Y768" s="2" t="s">
        <v>4644</v>
      </c>
      <c r="Z768" s="2" t="s">
        <v>4645</v>
      </c>
      <c r="AA768" s="2" t="s">
        <v>4646</v>
      </c>
      <c r="AC768" s="2" t="s">
        <v>4647</v>
      </c>
    </row>
    <row r="769" spans="1:35" ht="17.149999999999999" hidden="1" customHeight="1">
      <c r="A769" s="24" t="s">
        <v>4648</v>
      </c>
      <c r="B769" s="24"/>
      <c r="C769" s="62" t="s">
        <v>4649</v>
      </c>
      <c r="D769" s="61"/>
      <c r="E769" s="61"/>
      <c r="F769" s="61"/>
      <c r="G769" s="61"/>
      <c r="H769" s="24" t="s">
        <v>41</v>
      </c>
      <c r="I769" s="24" t="s">
        <v>966</v>
      </c>
      <c r="J769" s="24" t="s">
        <v>4650</v>
      </c>
      <c r="K769" s="24" t="s">
        <v>4651</v>
      </c>
      <c r="L769" s="24" t="s">
        <v>118</v>
      </c>
      <c r="M769" s="24" t="s">
        <v>4652</v>
      </c>
      <c r="N769" s="24">
        <v>99804</v>
      </c>
      <c r="O769" s="24">
        <v>2016</v>
      </c>
      <c r="P769" s="24">
        <v>101800</v>
      </c>
      <c r="Q769" s="24">
        <v>2016</v>
      </c>
      <c r="R769" s="24" t="s">
        <v>46</v>
      </c>
      <c r="S769" s="24">
        <v>1</v>
      </c>
      <c r="T769" s="24">
        <v>1</v>
      </c>
      <c r="U769" s="24" t="s">
        <v>4653</v>
      </c>
      <c r="V769" s="25"/>
      <c r="W769" s="25"/>
      <c r="X769" s="25"/>
      <c r="Y769" s="25"/>
      <c r="Z769" s="25"/>
      <c r="AA769" s="25"/>
      <c r="AB769" s="25"/>
      <c r="AC769" s="25"/>
      <c r="AD769" s="25"/>
    </row>
    <row r="770" spans="1:35" ht="17.149999999999999" hidden="1" customHeight="1">
      <c r="A770" s="1" t="s">
        <v>4654</v>
      </c>
      <c r="B770" s="1"/>
      <c r="C770" s="1" t="s">
        <v>4655</v>
      </c>
      <c r="D770" s="1"/>
      <c r="E770" s="1"/>
      <c r="F770" s="1"/>
      <c r="G770" s="1"/>
      <c r="H770" s="1" t="s">
        <v>512</v>
      </c>
      <c r="I770" s="1" t="s">
        <v>46</v>
      </c>
      <c r="J770" s="1" t="s">
        <v>4656</v>
      </c>
      <c r="K770" s="1" t="s">
        <v>4657</v>
      </c>
      <c r="L770" s="1" t="s">
        <v>45</v>
      </c>
      <c r="M770" s="1" t="s">
        <v>46</v>
      </c>
      <c r="N770" s="1">
        <v>101600</v>
      </c>
      <c r="O770" s="1">
        <v>2019</v>
      </c>
      <c r="P770" s="1">
        <v>101600</v>
      </c>
      <c r="Q770" s="1">
        <v>2019</v>
      </c>
      <c r="R770" s="1" t="s">
        <v>46</v>
      </c>
      <c r="S770" s="1">
        <v>1</v>
      </c>
      <c r="T770" s="1">
        <v>1</v>
      </c>
      <c r="U770" s="1" t="s">
        <v>4658</v>
      </c>
    </row>
    <row r="771" spans="1:35" ht="17.149999999999999" hidden="1" customHeight="1">
      <c r="A771" s="1" t="s">
        <v>4659</v>
      </c>
      <c r="B771" s="1"/>
      <c r="C771" s="1" t="s">
        <v>4660</v>
      </c>
      <c r="D771" s="1"/>
      <c r="E771" s="1"/>
      <c r="F771" s="1"/>
      <c r="G771" s="1"/>
      <c r="H771" s="1" t="s">
        <v>249</v>
      </c>
      <c r="I771" s="1" t="s">
        <v>4661</v>
      </c>
      <c r="J771" s="1" t="s">
        <v>4662</v>
      </c>
      <c r="K771" s="1" t="s">
        <v>4663</v>
      </c>
      <c r="L771" s="1" t="s">
        <v>45</v>
      </c>
      <c r="M771" s="1" t="s">
        <v>46</v>
      </c>
      <c r="N771" s="1">
        <v>130480</v>
      </c>
      <c r="O771" s="1">
        <v>2018</v>
      </c>
      <c r="P771" s="1">
        <v>123493</v>
      </c>
      <c r="Q771" s="1">
        <v>2018</v>
      </c>
      <c r="R771" s="1" t="s">
        <v>46</v>
      </c>
      <c r="S771" s="1">
        <v>1</v>
      </c>
      <c r="T771" s="1">
        <v>1</v>
      </c>
      <c r="U771" s="1" t="s">
        <v>4664</v>
      </c>
    </row>
    <row r="772" spans="1:35" ht="17.149999999999999" hidden="1" customHeight="1">
      <c r="A772" s="1" t="s">
        <v>4665</v>
      </c>
      <c r="B772" s="1"/>
      <c r="C772" s="1" t="s">
        <v>4666</v>
      </c>
      <c r="D772" s="1"/>
      <c r="E772" s="1"/>
      <c r="F772" s="1"/>
      <c r="G772" s="1"/>
      <c r="H772" s="1" t="s">
        <v>249</v>
      </c>
      <c r="I772" s="1" t="s">
        <v>4667</v>
      </c>
      <c r="J772" s="1" t="s">
        <v>4668</v>
      </c>
      <c r="K772" s="1" t="s">
        <v>4669</v>
      </c>
      <c r="L772" s="1" t="s">
        <v>45</v>
      </c>
      <c r="M772" s="1" t="s">
        <v>46</v>
      </c>
      <c r="N772" s="1">
        <v>128428</v>
      </c>
      <c r="O772" s="1">
        <v>2018</v>
      </c>
      <c r="P772" s="1">
        <v>128428</v>
      </c>
      <c r="Q772" s="1">
        <v>2018</v>
      </c>
      <c r="R772" s="1" t="s">
        <v>46</v>
      </c>
      <c r="S772" s="1">
        <v>1</v>
      </c>
      <c r="T772" s="1" t="s">
        <v>46</v>
      </c>
      <c r="U772" s="1" t="s">
        <v>4670</v>
      </c>
    </row>
    <row r="773" spans="1:35" ht="17.149999999999999" hidden="1" customHeight="1">
      <c r="A773" s="1" t="s">
        <v>4671</v>
      </c>
      <c r="B773" s="1"/>
      <c r="C773" s="1" t="s">
        <v>4672</v>
      </c>
      <c r="D773" s="1"/>
      <c r="E773" s="1"/>
      <c r="F773" s="1"/>
      <c r="G773" s="1"/>
      <c r="H773" s="1" t="s">
        <v>249</v>
      </c>
      <c r="I773" s="1" t="s">
        <v>4462</v>
      </c>
      <c r="J773" s="1" t="s">
        <v>4673</v>
      </c>
      <c r="K773" s="1" t="s">
        <v>4674</v>
      </c>
      <c r="L773" s="1" t="s">
        <v>45</v>
      </c>
      <c r="M773" s="1" t="s">
        <v>46</v>
      </c>
      <c r="N773" s="1">
        <v>127553</v>
      </c>
      <c r="O773" s="1">
        <v>2018</v>
      </c>
      <c r="P773" s="1">
        <v>127553</v>
      </c>
      <c r="Q773" s="1">
        <v>2018</v>
      </c>
      <c r="R773" s="1" t="s">
        <v>46</v>
      </c>
      <c r="S773" s="1">
        <v>1</v>
      </c>
      <c r="T773" s="1">
        <v>1</v>
      </c>
      <c r="U773" s="1" t="s">
        <v>4675</v>
      </c>
    </row>
    <row r="774" spans="1:35" ht="17.149999999999999" hidden="1" customHeight="1">
      <c r="A774" s="1" t="s">
        <v>4676</v>
      </c>
      <c r="B774" s="1"/>
      <c r="C774" s="1" t="s">
        <v>4677</v>
      </c>
      <c r="D774" s="1"/>
      <c r="E774" s="1"/>
      <c r="F774" s="1"/>
      <c r="G774" s="1"/>
      <c r="H774" s="1" t="s">
        <v>177</v>
      </c>
      <c r="I774" s="1" t="s">
        <v>178</v>
      </c>
      <c r="J774" s="1" t="s">
        <v>471</v>
      </c>
      <c r="K774" s="1" t="s">
        <v>4678</v>
      </c>
      <c r="L774" s="1" t="s">
        <v>118</v>
      </c>
      <c r="M774" s="1" t="s">
        <v>4679</v>
      </c>
      <c r="N774" s="1">
        <v>100000</v>
      </c>
      <c r="O774" s="1">
        <v>2019</v>
      </c>
      <c r="P774" s="1">
        <v>100000</v>
      </c>
      <c r="Q774" s="1">
        <v>2019</v>
      </c>
      <c r="R774" s="1" t="s">
        <v>46</v>
      </c>
      <c r="S774" s="1">
        <v>1</v>
      </c>
      <c r="T774" s="1">
        <v>1</v>
      </c>
      <c r="U774" s="1" t="s">
        <v>4680</v>
      </c>
    </row>
    <row r="775" spans="1:35" ht="17.149999999999999" hidden="1" customHeight="1">
      <c r="A775" s="1" t="s">
        <v>4681</v>
      </c>
      <c r="B775" s="1"/>
      <c r="C775" s="1" t="s">
        <v>4682</v>
      </c>
      <c r="D775" s="1"/>
      <c r="E775" s="1"/>
      <c r="F775" s="1"/>
      <c r="G775" s="1"/>
      <c r="H775" s="1" t="s">
        <v>249</v>
      </c>
      <c r="I775" s="1" t="s">
        <v>4683</v>
      </c>
      <c r="J775" s="1" t="s">
        <v>4684</v>
      </c>
      <c r="K775" s="1" t="s">
        <v>4685</v>
      </c>
      <c r="L775" s="1" t="s">
        <v>45</v>
      </c>
      <c r="M775" s="1" t="s">
        <v>4686</v>
      </c>
      <c r="N775" s="1">
        <v>127017</v>
      </c>
      <c r="O775" s="1">
        <v>2018</v>
      </c>
      <c r="P775" s="1">
        <v>128504</v>
      </c>
      <c r="Q775" s="1">
        <v>2018</v>
      </c>
      <c r="R775" s="1" t="s">
        <v>46</v>
      </c>
      <c r="S775" s="1">
        <v>1</v>
      </c>
      <c r="T775" s="1">
        <v>1</v>
      </c>
      <c r="U775" s="1" t="s">
        <v>4687</v>
      </c>
      <c r="AH775" s="102"/>
      <c r="AI775" s="102"/>
    </row>
    <row r="776" spans="1:35" ht="17.149999999999999" hidden="1" customHeight="1">
      <c r="A776" s="1" t="s">
        <v>4688</v>
      </c>
      <c r="B776" s="1"/>
      <c r="C776" s="1" t="s">
        <v>4689</v>
      </c>
      <c r="D776" s="1"/>
      <c r="E776" s="1"/>
      <c r="F776" s="1"/>
      <c r="G776" s="1"/>
      <c r="H776" s="1" t="s">
        <v>110</v>
      </c>
      <c r="I776" s="1" t="s">
        <v>46</v>
      </c>
      <c r="J776" s="1" t="s">
        <v>4690</v>
      </c>
      <c r="K776" s="1" t="s">
        <v>4691</v>
      </c>
      <c r="L776" s="1" t="s">
        <v>118</v>
      </c>
      <c r="M776" s="1" t="s">
        <v>4692</v>
      </c>
      <c r="N776" s="1">
        <v>100000</v>
      </c>
      <c r="O776" s="1">
        <v>2015</v>
      </c>
      <c r="P776" s="1">
        <v>100000</v>
      </c>
      <c r="Q776" s="1">
        <v>2015</v>
      </c>
      <c r="R776" s="1" t="s">
        <v>46</v>
      </c>
      <c r="S776" s="1">
        <v>1</v>
      </c>
      <c r="T776" s="1">
        <v>1</v>
      </c>
      <c r="U776" s="1" t="s">
        <v>4693</v>
      </c>
    </row>
    <row r="777" spans="1:35" ht="17.149999999999999" hidden="1" customHeight="1">
      <c r="A777" s="1" t="s">
        <v>4694</v>
      </c>
      <c r="B777" s="1"/>
      <c r="C777" s="1" t="s">
        <v>4695</v>
      </c>
      <c r="D777" s="1"/>
      <c r="E777" s="1"/>
      <c r="F777" s="1"/>
      <c r="G777" s="1"/>
      <c r="H777" s="1" t="s">
        <v>110</v>
      </c>
      <c r="I777" s="1" t="s">
        <v>46</v>
      </c>
      <c r="J777" s="1" t="s">
        <v>4696</v>
      </c>
      <c r="K777" s="1" t="s">
        <v>4697</v>
      </c>
      <c r="L777" s="1" t="s">
        <v>118</v>
      </c>
      <c r="M777" s="1" t="s">
        <v>4698</v>
      </c>
      <c r="N777" s="1">
        <v>100000</v>
      </c>
      <c r="O777" s="1">
        <v>2015</v>
      </c>
      <c r="P777" s="1">
        <v>100000</v>
      </c>
      <c r="Q777" s="1">
        <v>2015</v>
      </c>
      <c r="R777" s="1" t="s">
        <v>46</v>
      </c>
      <c r="S777" s="1">
        <v>1</v>
      </c>
      <c r="T777" s="1">
        <v>1</v>
      </c>
      <c r="U777" s="1" t="s">
        <v>4699</v>
      </c>
    </row>
    <row r="778" spans="1:35" ht="17.149999999999999" hidden="1" customHeight="1">
      <c r="A778" s="1" t="s">
        <v>4700</v>
      </c>
      <c r="B778" s="1"/>
      <c r="C778" s="1" t="s">
        <v>4701</v>
      </c>
      <c r="D778" s="1"/>
      <c r="E778" s="1"/>
      <c r="F778" s="1"/>
      <c r="G778" s="1"/>
      <c r="H778" s="1" t="s">
        <v>110</v>
      </c>
      <c r="I778" s="1" t="s">
        <v>46</v>
      </c>
      <c r="J778" s="1" t="s">
        <v>258</v>
      </c>
      <c r="K778" s="1" t="s">
        <v>4702</v>
      </c>
      <c r="L778" s="1" t="s">
        <v>45</v>
      </c>
      <c r="M778" s="1" t="s">
        <v>46</v>
      </c>
      <c r="N778" s="1">
        <v>100000</v>
      </c>
      <c r="O778" s="1">
        <v>2019</v>
      </c>
      <c r="P778" s="1">
        <v>100000</v>
      </c>
      <c r="Q778" s="1">
        <v>2015</v>
      </c>
      <c r="R778" s="1" t="s">
        <v>46</v>
      </c>
      <c r="S778" s="1">
        <v>1</v>
      </c>
      <c r="T778" s="1">
        <v>1</v>
      </c>
      <c r="U778" s="1" t="s">
        <v>4703</v>
      </c>
    </row>
    <row r="779" spans="1:35" ht="17.149999999999999" hidden="1" customHeight="1">
      <c r="A779" s="1" t="s">
        <v>4704</v>
      </c>
      <c r="B779" s="1"/>
      <c r="C779" s="1" t="s">
        <v>4705</v>
      </c>
      <c r="D779" s="1"/>
      <c r="E779" s="1"/>
      <c r="F779" s="1"/>
      <c r="G779" s="1"/>
      <c r="H779" s="1" t="s">
        <v>1938</v>
      </c>
      <c r="I779" s="1" t="s">
        <v>3250</v>
      </c>
      <c r="J779" s="1" t="s">
        <v>4706</v>
      </c>
      <c r="K779" s="1" t="s">
        <v>4707</v>
      </c>
      <c r="L779" s="1" t="s">
        <v>45</v>
      </c>
      <c r="M779" s="1" t="s">
        <v>46</v>
      </c>
      <c r="N779" s="1">
        <v>114200</v>
      </c>
      <c r="O779" s="1">
        <v>2018</v>
      </c>
      <c r="P779" s="1">
        <v>100000</v>
      </c>
      <c r="Q779" s="1">
        <v>2018</v>
      </c>
      <c r="R779" s="1" t="s">
        <v>46</v>
      </c>
      <c r="S779" s="1">
        <v>1</v>
      </c>
      <c r="T779" s="1">
        <v>1</v>
      </c>
      <c r="U779" s="1" t="s">
        <v>4708</v>
      </c>
    </row>
    <row r="780" spans="1:35" ht="17.149999999999999" hidden="1" customHeight="1">
      <c r="A780" s="1" t="s">
        <v>4709</v>
      </c>
      <c r="B780" s="1"/>
      <c r="C780" s="1" t="s">
        <v>4710</v>
      </c>
      <c r="D780" s="1"/>
      <c r="E780" s="1"/>
      <c r="F780" s="1"/>
      <c r="G780" s="1"/>
      <c r="H780" s="1" t="s">
        <v>506</v>
      </c>
      <c r="I780" s="1" t="s">
        <v>46</v>
      </c>
      <c r="J780" s="1" t="s">
        <v>4711</v>
      </c>
      <c r="K780" s="1" t="s">
        <v>4712</v>
      </c>
      <c r="L780" s="1" t="s">
        <v>45</v>
      </c>
      <c r="M780" s="1" t="s">
        <v>46</v>
      </c>
      <c r="N780" s="1">
        <v>100000</v>
      </c>
      <c r="O780" s="1">
        <v>2016</v>
      </c>
      <c r="P780" s="1">
        <v>100000</v>
      </c>
      <c r="Q780" s="1">
        <v>2016</v>
      </c>
      <c r="R780" s="1" t="s">
        <v>46</v>
      </c>
      <c r="S780" s="1">
        <v>1</v>
      </c>
      <c r="T780" s="1">
        <v>1</v>
      </c>
      <c r="U780" s="1" t="s">
        <v>4713</v>
      </c>
    </row>
    <row r="781" spans="1:35" ht="17.149999999999999" hidden="1" customHeight="1">
      <c r="A781" s="1" t="s">
        <v>4714</v>
      </c>
      <c r="B781" s="1"/>
      <c r="C781" s="1" t="s">
        <v>4715</v>
      </c>
      <c r="D781" s="1"/>
      <c r="E781" s="1"/>
      <c r="F781" s="1"/>
      <c r="G781" s="1"/>
      <c r="H781" s="1" t="s">
        <v>110</v>
      </c>
      <c r="I781" s="1" t="s">
        <v>46</v>
      </c>
      <c r="J781" s="1" t="s">
        <v>4716</v>
      </c>
      <c r="K781" s="1" t="s">
        <v>4717</v>
      </c>
      <c r="L781" s="1" t="s">
        <v>118</v>
      </c>
      <c r="M781" s="1" t="s">
        <v>4718</v>
      </c>
      <c r="N781" s="1">
        <v>125000</v>
      </c>
      <c r="O781" s="1">
        <v>2019</v>
      </c>
      <c r="P781" s="1">
        <v>99951</v>
      </c>
      <c r="Q781" s="1">
        <v>2015</v>
      </c>
      <c r="R781" s="1" t="s">
        <v>46</v>
      </c>
      <c r="S781" s="1">
        <v>1</v>
      </c>
      <c r="T781" s="1">
        <v>1</v>
      </c>
      <c r="U781" s="1" t="s">
        <v>4719</v>
      </c>
    </row>
    <row r="782" spans="1:35" ht="17.149999999999999" hidden="1" customHeight="1">
      <c r="A782" s="1" t="s">
        <v>4720</v>
      </c>
      <c r="B782" s="1"/>
      <c r="C782" s="1" t="s">
        <v>4721</v>
      </c>
      <c r="D782" s="1"/>
      <c r="E782" s="1"/>
      <c r="F782" s="1"/>
      <c r="G782" s="1"/>
      <c r="H782" s="1" t="s">
        <v>313</v>
      </c>
      <c r="I782" s="1" t="s">
        <v>4722</v>
      </c>
      <c r="J782" s="1" t="s">
        <v>4722</v>
      </c>
      <c r="K782" s="1" t="s">
        <v>4723</v>
      </c>
      <c r="L782" s="1" t="s">
        <v>45</v>
      </c>
      <c r="M782" s="1" t="s">
        <v>46</v>
      </c>
      <c r="N782" s="1">
        <v>108300</v>
      </c>
      <c r="O782" s="1">
        <v>2018</v>
      </c>
      <c r="P782" s="1">
        <v>99800</v>
      </c>
      <c r="Q782" s="1">
        <v>2018</v>
      </c>
      <c r="R782" s="1" t="s">
        <v>46</v>
      </c>
      <c r="S782" s="1">
        <v>1</v>
      </c>
      <c r="T782" s="1">
        <v>1</v>
      </c>
      <c r="U782" s="1" t="s">
        <v>4724</v>
      </c>
    </row>
    <row r="783" spans="1:35" ht="17.149999999999999" hidden="1" customHeight="1">
      <c r="A783" s="1" t="s">
        <v>4725</v>
      </c>
      <c r="B783" s="1"/>
      <c r="C783" s="1" t="s">
        <v>4726</v>
      </c>
      <c r="D783" s="1"/>
      <c r="E783" s="1"/>
      <c r="F783" s="1"/>
      <c r="G783" s="1"/>
      <c r="H783" s="1" t="s">
        <v>249</v>
      </c>
      <c r="I783" s="1" t="s">
        <v>1886</v>
      </c>
      <c r="J783" s="1" t="s">
        <v>4727</v>
      </c>
      <c r="K783" s="1" t="s">
        <v>4728</v>
      </c>
      <c r="L783" s="1" t="s">
        <v>45</v>
      </c>
      <c r="M783" s="1" t="s">
        <v>46</v>
      </c>
      <c r="N783" s="1">
        <v>126392</v>
      </c>
      <c r="O783" s="1">
        <v>2018</v>
      </c>
      <c r="P783" s="1">
        <v>126392</v>
      </c>
      <c r="Q783" s="1">
        <v>2018</v>
      </c>
      <c r="R783" s="1" t="s">
        <v>46</v>
      </c>
      <c r="S783" s="1">
        <v>1</v>
      </c>
      <c r="T783" s="1">
        <v>1</v>
      </c>
      <c r="U783" s="1" t="s">
        <v>4729</v>
      </c>
    </row>
    <row r="784" spans="1:35" ht="17.149999999999999" hidden="1" customHeight="1">
      <c r="A784" s="1" t="s">
        <v>4730</v>
      </c>
      <c r="B784" s="1"/>
      <c r="C784" s="1" t="s">
        <v>4731</v>
      </c>
      <c r="D784" s="1"/>
      <c r="E784" s="1"/>
      <c r="F784" s="1"/>
      <c r="G784" s="1"/>
      <c r="H784" s="1" t="s">
        <v>1669</v>
      </c>
      <c r="I784" s="1" t="s">
        <v>46</v>
      </c>
      <c r="J784" s="1" t="s">
        <v>4732</v>
      </c>
      <c r="K784" s="1" t="s">
        <v>4733</v>
      </c>
      <c r="L784" s="1" t="s">
        <v>45</v>
      </c>
      <c r="M784" s="1" t="s">
        <v>46</v>
      </c>
      <c r="N784" s="1">
        <v>58895</v>
      </c>
      <c r="O784" s="1">
        <v>2023</v>
      </c>
      <c r="P784" s="1">
        <v>99404</v>
      </c>
      <c r="Q784" s="1">
        <v>2023</v>
      </c>
      <c r="R784" s="1" t="s">
        <v>46</v>
      </c>
      <c r="S784" s="1">
        <v>1</v>
      </c>
      <c r="T784" s="1" t="s">
        <v>46</v>
      </c>
      <c r="U784" s="1" t="s">
        <v>4734</v>
      </c>
    </row>
    <row r="785" spans="1:21" ht="17.149999999999999" hidden="1" customHeight="1">
      <c r="A785" s="1" t="s">
        <v>4735</v>
      </c>
      <c r="B785" s="1"/>
      <c r="C785" s="1" t="s">
        <v>4736</v>
      </c>
      <c r="D785" s="1"/>
      <c r="E785" s="1"/>
      <c r="F785" s="1"/>
      <c r="G785" s="1"/>
      <c r="H785" s="1" t="s">
        <v>1367</v>
      </c>
      <c r="I785" s="1" t="s">
        <v>46</v>
      </c>
      <c r="J785" s="1" t="s">
        <v>4737</v>
      </c>
      <c r="K785" s="1" t="s">
        <v>4738</v>
      </c>
      <c r="L785" s="1" t="s">
        <v>45</v>
      </c>
      <c r="M785" s="1" t="s">
        <v>46</v>
      </c>
      <c r="N785" s="1">
        <v>143154</v>
      </c>
      <c r="O785" s="1">
        <v>2017</v>
      </c>
      <c r="P785" s="1">
        <v>98984</v>
      </c>
      <c r="Q785" s="1">
        <v>2017</v>
      </c>
      <c r="R785" s="1" t="s">
        <v>46</v>
      </c>
      <c r="S785" s="1">
        <v>1</v>
      </c>
      <c r="T785" s="1">
        <v>1</v>
      </c>
      <c r="U785" s="1" t="s">
        <v>4739</v>
      </c>
    </row>
    <row r="786" spans="1:21" ht="17.149999999999999" hidden="1" customHeight="1">
      <c r="A786" s="1" t="s">
        <v>4740</v>
      </c>
      <c r="B786" s="1"/>
      <c r="C786" s="1" t="s">
        <v>4741</v>
      </c>
      <c r="D786" s="1"/>
      <c r="E786" s="1"/>
      <c r="F786" s="1"/>
      <c r="G786" s="1"/>
      <c r="H786" s="1" t="s">
        <v>1367</v>
      </c>
      <c r="I786" s="1" t="s">
        <v>46</v>
      </c>
      <c r="J786" s="1" t="s">
        <v>4742</v>
      </c>
      <c r="K786" s="1" t="s">
        <v>4743</v>
      </c>
      <c r="L786" s="1" t="s">
        <v>45</v>
      </c>
      <c r="M786" s="1" t="s">
        <v>46</v>
      </c>
      <c r="N786" s="1">
        <v>122330</v>
      </c>
      <c r="O786" s="1">
        <v>2017</v>
      </c>
      <c r="P786" s="1">
        <v>98958</v>
      </c>
      <c r="Q786" s="1">
        <v>2017</v>
      </c>
      <c r="R786" s="1" t="s">
        <v>46</v>
      </c>
      <c r="S786" s="1">
        <v>1</v>
      </c>
      <c r="T786" s="1">
        <v>1</v>
      </c>
      <c r="U786" s="1" t="s">
        <v>4744</v>
      </c>
    </row>
    <row r="787" spans="1:21" ht="17.149999999999999" hidden="1" customHeight="1">
      <c r="A787" s="1" t="s">
        <v>4745</v>
      </c>
      <c r="B787" s="1"/>
      <c r="C787" s="1" t="s">
        <v>4746</v>
      </c>
      <c r="D787" s="1"/>
      <c r="E787" s="1"/>
      <c r="F787" s="1"/>
      <c r="G787" s="1"/>
      <c r="H787" s="1" t="s">
        <v>1279</v>
      </c>
      <c r="I787" s="1" t="s">
        <v>46</v>
      </c>
      <c r="J787" s="1" t="s">
        <v>4747</v>
      </c>
      <c r="K787" s="1" t="s">
        <v>4748</v>
      </c>
      <c r="L787" s="1" t="s">
        <v>45</v>
      </c>
      <c r="M787" s="1" t="s">
        <v>46</v>
      </c>
      <c r="N787" s="1">
        <v>90000</v>
      </c>
      <c r="O787" s="1">
        <v>2015</v>
      </c>
      <c r="P787" s="1">
        <v>98910</v>
      </c>
      <c r="Q787" s="1">
        <v>2015</v>
      </c>
      <c r="R787" s="1" t="s">
        <v>46</v>
      </c>
      <c r="S787" s="1">
        <v>1</v>
      </c>
      <c r="T787" s="1">
        <v>1</v>
      </c>
      <c r="U787" s="1" t="s">
        <v>4749</v>
      </c>
    </row>
    <row r="788" spans="1:21" ht="17.149999999999999" hidden="1" customHeight="1">
      <c r="A788" s="1" t="s">
        <v>4750</v>
      </c>
      <c r="B788" s="1"/>
      <c r="C788" s="1" t="s">
        <v>4751</v>
      </c>
      <c r="D788" s="1"/>
      <c r="E788" s="1"/>
      <c r="F788" s="1"/>
      <c r="G788" s="1"/>
      <c r="H788" s="1" t="s">
        <v>674</v>
      </c>
      <c r="I788" s="1" t="s">
        <v>46</v>
      </c>
      <c r="J788" s="1" t="s">
        <v>4752</v>
      </c>
      <c r="K788" s="1" t="s">
        <v>4753</v>
      </c>
      <c r="L788" s="1" t="s">
        <v>45</v>
      </c>
      <c r="M788" s="1" t="s">
        <v>46</v>
      </c>
      <c r="N788" s="1">
        <v>180727</v>
      </c>
      <c r="O788" s="1">
        <v>2016</v>
      </c>
      <c r="P788" s="1">
        <v>98858</v>
      </c>
      <c r="Q788" s="1">
        <v>2016</v>
      </c>
      <c r="R788" s="1" t="s">
        <v>46</v>
      </c>
      <c r="S788" s="1">
        <v>1</v>
      </c>
      <c r="T788" s="1">
        <v>1</v>
      </c>
      <c r="U788" s="1" t="s">
        <v>4754</v>
      </c>
    </row>
    <row r="789" spans="1:21" ht="17.149999999999999" hidden="1" customHeight="1">
      <c r="A789" s="1" t="s">
        <v>4755</v>
      </c>
      <c r="B789" s="1"/>
      <c r="C789" s="1" t="s">
        <v>4756</v>
      </c>
      <c r="D789" s="1"/>
      <c r="E789" s="1"/>
      <c r="F789" s="1"/>
      <c r="G789" s="1"/>
      <c r="H789" s="1" t="s">
        <v>249</v>
      </c>
      <c r="I789" s="1" t="s">
        <v>1563</v>
      </c>
      <c r="J789" s="1" t="s">
        <v>4757</v>
      </c>
      <c r="K789" s="1" t="s">
        <v>4758</v>
      </c>
      <c r="L789" s="1" t="s">
        <v>45</v>
      </c>
      <c r="M789" s="1" t="s">
        <v>1566</v>
      </c>
      <c r="N789" s="1">
        <v>125941</v>
      </c>
      <c r="O789" s="1">
        <v>2018</v>
      </c>
      <c r="P789" s="1">
        <v>125941</v>
      </c>
      <c r="Q789" s="1">
        <v>2018</v>
      </c>
      <c r="R789" s="1" t="s">
        <v>46</v>
      </c>
      <c r="S789" s="1">
        <v>1</v>
      </c>
      <c r="T789" s="1">
        <v>1</v>
      </c>
      <c r="U789" s="1" t="s">
        <v>4759</v>
      </c>
    </row>
    <row r="790" spans="1:21" ht="17.149999999999999" hidden="1" customHeight="1">
      <c r="A790" s="1" t="s">
        <v>4760</v>
      </c>
      <c r="B790" s="1"/>
      <c r="C790" s="1" t="s">
        <v>4761</v>
      </c>
      <c r="D790" s="1"/>
      <c r="E790" s="1"/>
      <c r="F790" s="1"/>
      <c r="G790" s="1"/>
      <c r="H790" s="1" t="s">
        <v>249</v>
      </c>
      <c r="I790" s="1" t="s">
        <v>46</v>
      </c>
      <c r="J790" s="1" t="s">
        <v>4762</v>
      </c>
      <c r="K790" s="1" t="s">
        <v>4763</v>
      </c>
      <c r="L790" s="1" t="s">
        <v>46</v>
      </c>
      <c r="M790" s="1" t="s">
        <v>4764</v>
      </c>
      <c r="N790" s="1">
        <v>125748</v>
      </c>
      <c r="O790" s="1">
        <v>2015</v>
      </c>
      <c r="P790" s="1">
        <v>125748</v>
      </c>
      <c r="Q790" s="1">
        <v>2015</v>
      </c>
      <c r="R790" s="1" t="s">
        <v>46</v>
      </c>
      <c r="S790" s="1">
        <v>1</v>
      </c>
      <c r="T790" s="1">
        <v>1</v>
      </c>
      <c r="U790" s="1" t="s">
        <v>1005</v>
      </c>
    </row>
    <row r="791" spans="1:21" ht="17.149999999999999" hidden="1" customHeight="1">
      <c r="A791" s="1" t="s">
        <v>4765</v>
      </c>
      <c r="B791" s="1"/>
      <c r="C791" s="1" t="s">
        <v>4766</v>
      </c>
      <c r="D791" s="1"/>
      <c r="E791" s="1"/>
      <c r="F791" s="1"/>
      <c r="G791" s="1"/>
      <c r="H791" s="1" t="s">
        <v>1669</v>
      </c>
      <c r="I791" s="1" t="s">
        <v>46</v>
      </c>
      <c r="J791" s="1" t="s">
        <v>4767</v>
      </c>
      <c r="K791" s="1" t="s">
        <v>4768</v>
      </c>
      <c r="L791" s="1" t="s">
        <v>45</v>
      </c>
      <c r="M791" s="1" t="s">
        <v>46</v>
      </c>
      <c r="N791" s="1" t="s">
        <v>46</v>
      </c>
      <c r="O791" s="1" t="s">
        <v>46</v>
      </c>
      <c r="P791" s="1">
        <v>97839</v>
      </c>
      <c r="Q791" s="1">
        <v>2017</v>
      </c>
      <c r="R791" s="1" t="s">
        <v>46</v>
      </c>
      <c r="S791" s="1">
        <v>1</v>
      </c>
      <c r="T791" s="1" t="s">
        <v>46</v>
      </c>
      <c r="U791" s="1" t="s">
        <v>4769</v>
      </c>
    </row>
    <row r="792" spans="1:21" ht="17.149999999999999" hidden="1" customHeight="1">
      <c r="A792" s="1" t="s">
        <v>4770</v>
      </c>
      <c r="B792" s="1"/>
      <c r="C792" s="1" t="s">
        <v>4771</v>
      </c>
      <c r="D792" s="1"/>
      <c r="E792" s="1"/>
      <c r="F792" s="1"/>
      <c r="G792" s="1"/>
      <c r="H792" s="1" t="s">
        <v>249</v>
      </c>
      <c r="I792" s="1" t="s">
        <v>4772</v>
      </c>
      <c r="J792" s="1" t="s">
        <v>4773</v>
      </c>
      <c r="K792" s="1" t="s">
        <v>4774</v>
      </c>
      <c r="L792" s="1" t="s">
        <v>45</v>
      </c>
      <c r="M792" s="1" t="s">
        <v>46</v>
      </c>
      <c r="N792" s="1">
        <v>125240</v>
      </c>
      <c r="O792" s="1">
        <v>2018</v>
      </c>
      <c r="P792" s="1">
        <v>145033</v>
      </c>
      <c r="Q792" s="1">
        <v>2018</v>
      </c>
      <c r="R792" s="1" t="s">
        <v>46</v>
      </c>
      <c r="S792" s="1">
        <v>1</v>
      </c>
      <c r="T792" s="1">
        <v>1</v>
      </c>
      <c r="U792" s="1" t="s">
        <v>4775</v>
      </c>
    </row>
    <row r="793" spans="1:21" ht="17.149999999999999" hidden="1" customHeight="1">
      <c r="A793" s="1" t="s">
        <v>4776</v>
      </c>
      <c r="B793" s="1"/>
      <c r="C793" s="1" t="s">
        <v>4777</v>
      </c>
      <c r="D793" s="1"/>
      <c r="E793" s="1"/>
      <c r="F793" s="1"/>
      <c r="G793" s="1"/>
      <c r="H793" s="1" t="s">
        <v>249</v>
      </c>
      <c r="I793" s="1" t="s">
        <v>4778</v>
      </c>
      <c r="J793" s="1" t="s">
        <v>4779</v>
      </c>
      <c r="K793" s="1" t="s">
        <v>4780</v>
      </c>
      <c r="L793" s="1" t="s">
        <v>45</v>
      </c>
      <c r="M793" s="1" t="s">
        <v>1566</v>
      </c>
      <c r="N793" s="1">
        <v>123249</v>
      </c>
      <c r="O793" s="1">
        <v>2018</v>
      </c>
      <c r="P793" s="1">
        <v>126271</v>
      </c>
      <c r="Q793" s="1">
        <v>2018</v>
      </c>
      <c r="R793" s="1" t="s">
        <v>46</v>
      </c>
      <c r="S793" s="1">
        <v>1</v>
      </c>
      <c r="T793" s="1">
        <v>1</v>
      </c>
      <c r="U793" s="1" t="s">
        <v>4781</v>
      </c>
    </row>
    <row r="794" spans="1:21" ht="17.149999999999999" hidden="1" customHeight="1">
      <c r="A794" s="1" t="s">
        <v>4782</v>
      </c>
      <c r="B794" s="1"/>
      <c r="C794" s="1" t="s">
        <v>4783</v>
      </c>
      <c r="D794" s="1"/>
      <c r="E794" s="1"/>
      <c r="F794" s="1"/>
      <c r="G794" s="1"/>
      <c r="H794" s="1" t="s">
        <v>1279</v>
      </c>
      <c r="I794" s="1" t="s">
        <v>46</v>
      </c>
      <c r="J794" s="1" t="s">
        <v>4784</v>
      </c>
      <c r="K794" s="1" t="s">
        <v>4785</v>
      </c>
      <c r="L794" s="1" t="s">
        <v>45</v>
      </c>
      <c r="M794" s="1" t="s">
        <v>46</v>
      </c>
      <c r="N794" s="1">
        <v>97011</v>
      </c>
      <c r="O794" s="1">
        <v>2017</v>
      </c>
      <c r="P794" s="1">
        <v>97011</v>
      </c>
      <c r="Q794" s="1">
        <v>2017</v>
      </c>
      <c r="R794" s="1" t="s">
        <v>46</v>
      </c>
      <c r="S794" s="1">
        <v>1</v>
      </c>
      <c r="T794" s="1" t="s">
        <v>46</v>
      </c>
      <c r="U794" s="1" t="s">
        <v>4786</v>
      </c>
    </row>
    <row r="795" spans="1:21" ht="17.149999999999999" hidden="1" customHeight="1">
      <c r="A795" s="1" t="s">
        <v>4787</v>
      </c>
      <c r="B795" s="1"/>
      <c r="C795" s="1" t="s">
        <v>4788</v>
      </c>
      <c r="D795" s="1"/>
      <c r="E795" s="1"/>
      <c r="F795" s="1"/>
      <c r="G795" s="1"/>
      <c r="H795" s="1" t="s">
        <v>249</v>
      </c>
      <c r="I795" s="1" t="s">
        <v>2666</v>
      </c>
      <c r="J795" s="1" t="s">
        <v>4789</v>
      </c>
      <c r="K795" s="1" t="s">
        <v>4790</v>
      </c>
      <c r="L795" s="1" t="s">
        <v>45</v>
      </c>
      <c r="M795" s="1" t="s">
        <v>1311</v>
      </c>
      <c r="N795" s="1">
        <v>122155</v>
      </c>
      <c r="O795" s="1">
        <v>2018</v>
      </c>
      <c r="P795" s="1">
        <v>122348</v>
      </c>
      <c r="Q795" s="1">
        <v>2018</v>
      </c>
      <c r="R795" s="1" t="s">
        <v>46</v>
      </c>
      <c r="S795" s="1">
        <v>1</v>
      </c>
      <c r="T795" s="1">
        <v>1</v>
      </c>
      <c r="U795" s="1" t="s">
        <v>4791</v>
      </c>
    </row>
    <row r="796" spans="1:21" ht="17.149999999999999" hidden="1" customHeight="1">
      <c r="A796" s="1" t="s">
        <v>4792</v>
      </c>
      <c r="B796" s="1"/>
      <c r="C796" s="1" t="s">
        <v>4793</v>
      </c>
      <c r="D796" s="1"/>
      <c r="E796" s="1"/>
      <c r="F796" s="1"/>
      <c r="G796" s="1"/>
      <c r="H796" s="1" t="s">
        <v>249</v>
      </c>
      <c r="I796" s="1" t="s">
        <v>4794</v>
      </c>
      <c r="J796" s="1" t="s">
        <v>4795</v>
      </c>
      <c r="K796" s="1" t="s">
        <v>4796</v>
      </c>
      <c r="L796" s="1" t="s">
        <v>45</v>
      </c>
      <c r="M796" s="1" t="s">
        <v>1566</v>
      </c>
      <c r="N796" s="1">
        <v>117888</v>
      </c>
      <c r="O796" s="1">
        <v>2018</v>
      </c>
      <c r="P796" s="1">
        <v>125346</v>
      </c>
      <c r="Q796" s="1">
        <v>2018</v>
      </c>
      <c r="R796" s="1" t="s">
        <v>46</v>
      </c>
      <c r="S796" s="1">
        <v>1</v>
      </c>
      <c r="T796" s="1">
        <v>1</v>
      </c>
      <c r="U796" s="1" t="s">
        <v>4797</v>
      </c>
    </row>
    <row r="797" spans="1:21" ht="17.149999999999999" hidden="1" customHeight="1">
      <c r="A797" s="1" t="s">
        <v>4798</v>
      </c>
      <c r="B797" s="1"/>
      <c r="C797" s="1" t="s">
        <v>4799</v>
      </c>
      <c r="D797" s="1"/>
      <c r="E797" s="1"/>
      <c r="F797" s="1"/>
      <c r="G797" s="1"/>
      <c r="H797" s="1" t="s">
        <v>249</v>
      </c>
      <c r="I797" s="1" t="s">
        <v>1563</v>
      </c>
      <c r="J797" s="1" t="s">
        <v>4800</v>
      </c>
      <c r="K797" s="1" t="s">
        <v>4801</v>
      </c>
      <c r="L797" s="1" t="s">
        <v>45</v>
      </c>
      <c r="M797" s="1" t="s">
        <v>4802</v>
      </c>
      <c r="N797" s="1">
        <v>116690</v>
      </c>
      <c r="O797" s="1">
        <v>2018</v>
      </c>
      <c r="P797" s="1">
        <v>91617</v>
      </c>
      <c r="Q797" s="1">
        <v>2018</v>
      </c>
      <c r="R797" s="1" t="s">
        <v>46</v>
      </c>
      <c r="S797" s="1">
        <v>1</v>
      </c>
      <c r="T797" s="1">
        <v>1</v>
      </c>
      <c r="U797" s="1" t="s">
        <v>4803</v>
      </c>
    </row>
    <row r="798" spans="1:21" ht="17.149999999999999" hidden="1" customHeight="1">
      <c r="A798" s="1" t="s">
        <v>4804</v>
      </c>
      <c r="B798" s="1"/>
      <c r="C798" s="1" t="s">
        <v>4805</v>
      </c>
      <c r="D798" s="1"/>
      <c r="E798" s="1"/>
      <c r="F798" s="1"/>
      <c r="G798" s="1"/>
      <c r="H798" s="1" t="s">
        <v>493</v>
      </c>
      <c r="I798" s="1" t="s">
        <v>46</v>
      </c>
      <c r="J798" s="1" t="s">
        <v>4806</v>
      </c>
      <c r="K798" s="1" t="s">
        <v>4807</v>
      </c>
      <c r="L798" s="1" t="s">
        <v>45</v>
      </c>
      <c r="M798" s="1" t="s">
        <v>46</v>
      </c>
      <c r="N798" s="1">
        <v>130000</v>
      </c>
      <c r="O798" s="1">
        <v>2017</v>
      </c>
      <c r="P798" s="1">
        <v>96000</v>
      </c>
      <c r="Q798" s="1">
        <v>2017</v>
      </c>
      <c r="R798" s="1" t="s">
        <v>46</v>
      </c>
      <c r="S798" s="1">
        <v>1</v>
      </c>
      <c r="T798" s="1">
        <v>1</v>
      </c>
      <c r="U798" s="1" t="s">
        <v>4808</v>
      </c>
    </row>
    <row r="799" spans="1:21" ht="17.149999999999999" hidden="1" customHeight="1">
      <c r="A799" s="1" t="s">
        <v>4809</v>
      </c>
      <c r="B799" s="1"/>
      <c r="C799" s="1" t="s">
        <v>4810</v>
      </c>
      <c r="D799" s="1"/>
      <c r="E799" s="1"/>
      <c r="F799" s="1"/>
      <c r="G799" s="1"/>
      <c r="H799" s="1" t="s">
        <v>249</v>
      </c>
      <c r="I799" s="1" t="s">
        <v>4811</v>
      </c>
      <c r="J799" s="1" t="s">
        <v>4812</v>
      </c>
      <c r="K799" s="1" t="s">
        <v>4813</v>
      </c>
      <c r="L799" s="1" t="s">
        <v>45</v>
      </c>
      <c r="M799" s="1" t="s">
        <v>46</v>
      </c>
      <c r="N799" s="1">
        <v>116617</v>
      </c>
      <c r="O799" s="1">
        <v>2018</v>
      </c>
      <c r="P799" s="1">
        <v>126439</v>
      </c>
      <c r="Q799" s="1">
        <v>2018</v>
      </c>
      <c r="R799" s="1" t="s">
        <v>46</v>
      </c>
      <c r="S799" s="1">
        <v>1</v>
      </c>
      <c r="T799" s="1">
        <v>1</v>
      </c>
      <c r="U799" s="1" t="s">
        <v>4814</v>
      </c>
    </row>
    <row r="800" spans="1:21" ht="17.149999999999999" hidden="1" customHeight="1">
      <c r="A800" s="1" t="s">
        <v>4815</v>
      </c>
      <c r="B800" s="1"/>
      <c r="C800" s="1" t="s">
        <v>4816</v>
      </c>
      <c r="D800" s="1"/>
      <c r="E800" s="1"/>
      <c r="F800" s="1"/>
      <c r="G800" s="1"/>
      <c r="H800" s="1" t="s">
        <v>110</v>
      </c>
      <c r="I800" s="1" t="s">
        <v>46</v>
      </c>
      <c r="J800" s="1" t="s">
        <v>4817</v>
      </c>
      <c r="K800" s="1" t="s">
        <v>4818</v>
      </c>
      <c r="L800" s="1" t="s">
        <v>45</v>
      </c>
      <c r="M800" s="1" t="s">
        <v>46</v>
      </c>
      <c r="N800" s="1">
        <v>95549</v>
      </c>
      <c r="O800" s="1">
        <v>2015</v>
      </c>
      <c r="P800" s="1">
        <v>95549</v>
      </c>
      <c r="Q800" s="1">
        <v>2015</v>
      </c>
      <c r="R800" s="1" t="s">
        <v>46</v>
      </c>
      <c r="S800" s="1">
        <v>1</v>
      </c>
      <c r="T800" s="1">
        <v>1</v>
      </c>
      <c r="U800" s="1" t="s">
        <v>4819</v>
      </c>
    </row>
    <row r="801" spans="1:36" ht="17.149999999999999" hidden="1" customHeight="1">
      <c r="A801" s="1" t="s">
        <v>4820</v>
      </c>
      <c r="B801" s="1"/>
      <c r="C801" s="1" t="s">
        <v>4821</v>
      </c>
      <c r="D801" s="1"/>
      <c r="E801" s="1"/>
      <c r="F801" s="1"/>
      <c r="G801" s="1"/>
      <c r="H801" s="1" t="s">
        <v>674</v>
      </c>
      <c r="I801" s="1" t="s">
        <v>46</v>
      </c>
      <c r="J801" s="1" t="s">
        <v>4822</v>
      </c>
      <c r="K801" s="1" t="s">
        <v>4823</v>
      </c>
      <c r="L801" s="1" t="s">
        <v>45</v>
      </c>
      <c r="M801" s="1" t="s">
        <v>46</v>
      </c>
      <c r="N801" s="1">
        <v>162054</v>
      </c>
      <c r="O801" s="1">
        <v>2016</v>
      </c>
      <c r="P801" s="1">
        <v>95385</v>
      </c>
      <c r="Q801" s="1">
        <v>2016</v>
      </c>
      <c r="R801" s="1" t="s">
        <v>46</v>
      </c>
      <c r="S801" s="1">
        <v>1</v>
      </c>
      <c r="T801" s="1">
        <v>1</v>
      </c>
      <c r="U801" s="1" t="s">
        <v>4824</v>
      </c>
    </row>
    <row r="802" spans="1:36" ht="17.149999999999999" customHeight="1">
      <c r="A802" s="14" t="s">
        <v>4825</v>
      </c>
      <c r="B802" s="14" t="s">
        <v>37</v>
      </c>
      <c r="C802" s="66" t="s">
        <v>4826</v>
      </c>
      <c r="D802" s="144" t="s">
        <v>4827</v>
      </c>
      <c r="E802" s="17" t="s">
        <v>4828</v>
      </c>
      <c r="F802" s="17" t="s">
        <v>4829</v>
      </c>
      <c r="G802" s="17" t="s">
        <v>40</v>
      </c>
      <c r="H802" s="14" t="s">
        <v>41</v>
      </c>
      <c r="I802" s="14" t="s">
        <v>518</v>
      </c>
      <c r="J802" s="33" t="s">
        <v>4830</v>
      </c>
      <c r="K802" s="14" t="s">
        <v>4831</v>
      </c>
      <c r="L802" s="14" t="s">
        <v>45</v>
      </c>
      <c r="M802" s="14" t="s">
        <v>46</v>
      </c>
      <c r="N802" s="14" t="s">
        <v>46</v>
      </c>
      <c r="O802" s="14" t="s">
        <v>46</v>
      </c>
      <c r="P802" s="16">
        <v>602570</v>
      </c>
      <c r="Q802" s="16">
        <v>2025</v>
      </c>
      <c r="R802" s="14" t="s">
        <v>46</v>
      </c>
      <c r="S802" s="14">
        <v>1</v>
      </c>
      <c r="T802" s="14">
        <v>1</v>
      </c>
      <c r="U802" s="14" t="s">
        <v>4832</v>
      </c>
      <c r="V802" s="6" t="s">
        <v>40</v>
      </c>
      <c r="W802" s="6" t="s">
        <v>78</v>
      </c>
      <c r="X802" s="33" t="s">
        <v>40</v>
      </c>
      <c r="Y802" s="33"/>
      <c r="Z802" s="6" t="s">
        <v>4833</v>
      </c>
      <c r="AA802" s="6" t="s">
        <v>4834</v>
      </c>
      <c r="AB802" s="6" t="s">
        <v>4835</v>
      </c>
      <c r="AC802" s="6" t="s">
        <v>4836</v>
      </c>
      <c r="AD802" s="6"/>
      <c r="AE802" s="2">
        <v>1</v>
      </c>
      <c r="AF802" s="2" t="s">
        <v>53</v>
      </c>
      <c r="AJ802" s="2" t="s">
        <v>57</v>
      </c>
    </row>
    <row r="803" spans="1:36" s="44" customFormat="1" ht="17.149999999999999" hidden="1" customHeight="1">
      <c r="A803" s="21" t="s">
        <v>4837</v>
      </c>
      <c r="B803" s="21"/>
      <c r="C803" s="58" t="s">
        <v>4838</v>
      </c>
      <c r="D803" s="61"/>
      <c r="E803" s="61"/>
      <c r="F803" s="61"/>
      <c r="G803" s="61"/>
      <c r="H803" s="21" t="s">
        <v>41</v>
      </c>
      <c r="I803" s="21" t="s">
        <v>42</v>
      </c>
      <c r="J803" s="21" t="s">
        <v>4839</v>
      </c>
      <c r="K803" s="21" t="s">
        <v>4840</v>
      </c>
      <c r="L803" s="21" t="s">
        <v>45</v>
      </c>
      <c r="M803" s="21" t="s">
        <v>46</v>
      </c>
      <c r="N803" s="21" t="s">
        <v>46</v>
      </c>
      <c r="O803" s="21" t="s">
        <v>46</v>
      </c>
      <c r="P803" s="21">
        <v>95100</v>
      </c>
      <c r="Q803" s="21">
        <v>2016</v>
      </c>
      <c r="R803" s="21" t="s">
        <v>46</v>
      </c>
      <c r="S803" s="21">
        <v>1</v>
      </c>
      <c r="T803" s="21">
        <v>1</v>
      </c>
      <c r="U803" s="21" t="s">
        <v>4841</v>
      </c>
      <c r="V803" s="22"/>
      <c r="W803" s="22"/>
      <c r="X803" s="22"/>
      <c r="Y803" s="22"/>
      <c r="Z803" s="22"/>
      <c r="AA803" s="22"/>
      <c r="AB803" s="22"/>
      <c r="AC803" s="22"/>
      <c r="AD803" s="22"/>
    </row>
    <row r="804" spans="1:36" ht="17.149999999999999" hidden="1" customHeight="1">
      <c r="A804" s="1" t="s">
        <v>4842</v>
      </c>
      <c r="B804" s="1"/>
      <c r="C804" s="1" t="s">
        <v>4843</v>
      </c>
      <c r="D804" s="1"/>
      <c r="E804" s="1"/>
      <c r="F804" s="1"/>
      <c r="G804" s="1"/>
      <c r="H804" s="1" t="s">
        <v>177</v>
      </c>
      <c r="I804" s="1" t="s">
        <v>1478</v>
      </c>
      <c r="J804" s="1" t="s">
        <v>4844</v>
      </c>
      <c r="K804" s="1" t="s">
        <v>4845</v>
      </c>
      <c r="L804" s="1" t="s">
        <v>118</v>
      </c>
      <c r="M804" s="1" t="s">
        <v>4846</v>
      </c>
      <c r="N804" s="1">
        <v>95000</v>
      </c>
      <c r="O804" s="1">
        <v>2018</v>
      </c>
      <c r="P804" s="1">
        <v>95000</v>
      </c>
      <c r="Q804" s="1">
        <v>2018</v>
      </c>
      <c r="R804" s="1" t="s">
        <v>46</v>
      </c>
      <c r="S804" s="1">
        <v>1</v>
      </c>
      <c r="T804" s="1">
        <v>1</v>
      </c>
      <c r="U804" s="1" t="s">
        <v>4847</v>
      </c>
    </row>
    <row r="805" spans="1:36" ht="17.149999999999999" hidden="1" customHeight="1">
      <c r="A805" s="1" t="s">
        <v>4848</v>
      </c>
      <c r="B805" s="1"/>
      <c r="C805" s="1" t="s">
        <v>4849</v>
      </c>
      <c r="D805" s="1"/>
      <c r="E805" s="1"/>
      <c r="F805" s="1"/>
      <c r="G805" s="1"/>
      <c r="H805" s="1" t="s">
        <v>110</v>
      </c>
      <c r="I805" s="1" t="s">
        <v>46</v>
      </c>
      <c r="J805" s="1" t="s">
        <v>4850</v>
      </c>
      <c r="K805" s="1" t="s">
        <v>4851</v>
      </c>
      <c r="L805" s="1" t="s">
        <v>118</v>
      </c>
      <c r="M805" s="1" t="s">
        <v>4852</v>
      </c>
      <c r="N805" s="1">
        <v>88726</v>
      </c>
      <c r="O805" s="1">
        <v>2015</v>
      </c>
      <c r="P805" s="1">
        <v>95000</v>
      </c>
      <c r="Q805" s="1">
        <v>2019</v>
      </c>
      <c r="R805" s="1" t="s">
        <v>46</v>
      </c>
      <c r="S805" s="1">
        <v>1</v>
      </c>
      <c r="T805" s="1">
        <v>1</v>
      </c>
      <c r="U805" s="1" t="s">
        <v>4853</v>
      </c>
    </row>
    <row r="806" spans="1:36" ht="17.149999999999999" hidden="1" customHeight="1">
      <c r="A806" s="1" t="s">
        <v>4854</v>
      </c>
      <c r="B806" s="1" t="s">
        <v>37</v>
      </c>
      <c r="C806" s="1" t="s">
        <v>4855</v>
      </c>
      <c r="D806" s="1"/>
      <c r="E806" s="1"/>
      <c r="F806" s="1"/>
      <c r="G806" s="1"/>
      <c r="H806" s="1" t="s">
        <v>1391</v>
      </c>
      <c r="I806" s="1" t="s">
        <v>4856</v>
      </c>
      <c r="J806" s="1" t="s">
        <v>4857</v>
      </c>
      <c r="K806" s="1" t="s">
        <v>4858</v>
      </c>
      <c r="L806" s="1" t="s">
        <v>45</v>
      </c>
      <c r="M806" s="1" t="s">
        <v>46</v>
      </c>
      <c r="N806" s="1" t="s">
        <v>46</v>
      </c>
      <c r="O806" s="1" t="s">
        <v>46</v>
      </c>
      <c r="P806" s="1">
        <v>94860</v>
      </c>
      <c r="Q806" s="1">
        <v>2015</v>
      </c>
      <c r="R806" s="1" t="s">
        <v>46</v>
      </c>
      <c r="S806" s="1">
        <v>1</v>
      </c>
      <c r="T806" s="1">
        <v>1</v>
      </c>
      <c r="U806" s="1" t="s">
        <v>4859</v>
      </c>
      <c r="V806" s="2" t="s">
        <v>4860</v>
      </c>
    </row>
    <row r="807" spans="1:36" ht="17.149999999999999" customHeight="1">
      <c r="A807" s="14" t="s">
        <v>4861</v>
      </c>
      <c r="B807" s="14" t="s">
        <v>37</v>
      </c>
      <c r="C807" s="56" t="s">
        <v>4862</v>
      </c>
      <c r="D807" s="154" t="s">
        <v>4862</v>
      </c>
      <c r="E807" s="17" t="s">
        <v>4863</v>
      </c>
      <c r="F807" s="17" t="s">
        <v>62</v>
      </c>
      <c r="G807" s="61" t="s">
        <v>40</v>
      </c>
      <c r="H807" s="14" t="s">
        <v>41</v>
      </c>
      <c r="I807" s="14" t="s">
        <v>518</v>
      </c>
      <c r="J807" s="14" t="s">
        <v>4864</v>
      </c>
      <c r="K807" s="14" t="s">
        <v>4865</v>
      </c>
      <c r="L807" s="14" t="s">
        <v>45</v>
      </c>
      <c r="M807" s="14" t="s">
        <v>46</v>
      </c>
      <c r="N807" s="14" t="s">
        <v>46</v>
      </c>
      <c r="O807" s="14" t="s">
        <v>46</v>
      </c>
      <c r="P807" s="14"/>
      <c r="Q807" s="14" t="s">
        <v>46</v>
      </c>
      <c r="R807" s="14" t="s">
        <v>46</v>
      </c>
      <c r="S807" s="14">
        <v>1</v>
      </c>
      <c r="T807" s="14">
        <v>1</v>
      </c>
      <c r="U807" s="14" t="s">
        <v>4866</v>
      </c>
      <c r="V807" s="6" t="s">
        <v>4867</v>
      </c>
      <c r="W807" s="6"/>
      <c r="X807" s="6" t="s">
        <v>40</v>
      </c>
      <c r="Y807" s="33" t="s">
        <v>1315</v>
      </c>
      <c r="Z807" s="6" t="s">
        <v>4868</v>
      </c>
      <c r="AA807" s="6" t="s">
        <v>4869</v>
      </c>
      <c r="AB807" s="6"/>
      <c r="AC807" s="6" t="s">
        <v>4870</v>
      </c>
      <c r="AD807" s="6" t="s">
        <v>40</v>
      </c>
      <c r="AE807" s="2">
        <v>3</v>
      </c>
      <c r="AF807" s="2" t="s">
        <v>53</v>
      </c>
      <c r="AJ807" s="2" t="s">
        <v>1318</v>
      </c>
    </row>
    <row r="808" spans="1:36" ht="17.149999999999999" hidden="1" customHeight="1">
      <c r="A808" s="1" t="s">
        <v>4871</v>
      </c>
      <c r="B808" s="1" t="s">
        <v>37</v>
      </c>
      <c r="C808" s="1" t="s">
        <v>4872</v>
      </c>
      <c r="D808" s="1"/>
      <c r="E808" s="1"/>
      <c r="F808" s="1"/>
      <c r="G808" s="1"/>
      <c r="H808" s="1" t="s">
        <v>1171</v>
      </c>
      <c r="I808" s="1" t="s">
        <v>46</v>
      </c>
      <c r="J808" s="1" t="s">
        <v>1522</v>
      </c>
      <c r="K808" s="1" t="s">
        <v>4873</v>
      </c>
      <c r="L808" s="1" t="s">
        <v>118</v>
      </c>
      <c r="M808" s="1" t="s">
        <v>4874</v>
      </c>
      <c r="N808" s="1">
        <v>108739</v>
      </c>
      <c r="O808" s="1">
        <v>2017</v>
      </c>
      <c r="P808" s="1">
        <v>94433</v>
      </c>
      <c r="Q808" s="1">
        <v>2017</v>
      </c>
      <c r="R808" s="1" t="s">
        <v>46</v>
      </c>
      <c r="S808" s="1">
        <v>1</v>
      </c>
      <c r="T808" s="1" t="s">
        <v>46</v>
      </c>
      <c r="U808" s="1" t="s">
        <v>4875</v>
      </c>
      <c r="AB808" s="10"/>
      <c r="AC808" s="2" t="s">
        <v>4876</v>
      </c>
    </row>
    <row r="809" spans="1:36" ht="17.149999999999999" hidden="1" customHeight="1">
      <c r="A809" s="17" t="s">
        <v>4877</v>
      </c>
      <c r="B809" s="17"/>
      <c r="C809" s="17" t="s">
        <v>4878</v>
      </c>
      <c r="D809" s="17"/>
      <c r="E809" s="17"/>
      <c r="F809" s="17"/>
      <c r="G809" s="17"/>
      <c r="H809" s="17" t="s">
        <v>41</v>
      </c>
      <c r="I809" s="17" t="s">
        <v>518</v>
      </c>
      <c r="J809" s="17" t="s">
        <v>4879</v>
      </c>
      <c r="K809" s="17" t="s">
        <v>4880</v>
      </c>
      <c r="L809" s="17" t="s">
        <v>45</v>
      </c>
      <c r="M809" s="17" t="s">
        <v>46</v>
      </c>
      <c r="N809" s="17" t="s">
        <v>46</v>
      </c>
      <c r="O809" s="17" t="s">
        <v>46</v>
      </c>
      <c r="P809" s="17">
        <v>94400</v>
      </c>
      <c r="Q809" s="17">
        <v>2016</v>
      </c>
      <c r="R809" s="17" t="s">
        <v>46</v>
      </c>
      <c r="S809" s="17">
        <v>1</v>
      </c>
      <c r="T809" s="17">
        <v>1</v>
      </c>
      <c r="U809" s="17" t="s">
        <v>4881</v>
      </c>
      <c r="V809" s="18"/>
      <c r="W809" s="18"/>
      <c r="X809" s="18"/>
      <c r="Y809" s="18"/>
      <c r="Z809" s="18"/>
      <c r="AA809" s="18"/>
      <c r="AB809" s="18"/>
      <c r="AC809" s="18"/>
      <c r="AD809" s="18"/>
    </row>
    <row r="810" spans="1:36" ht="17.149999999999999" hidden="1" customHeight="1">
      <c r="A810" s="1" t="s">
        <v>4882</v>
      </c>
      <c r="B810" s="1"/>
      <c r="C810" s="1" t="s">
        <v>4883</v>
      </c>
      <c r="D810" s="1"/>
      <c r="E810" s="1"/>
      <c r="F810" s="1"/>
      <c r="G810" s="1"/>
      <c r="H810" s="1" t="s">
        <v>1669</v>
      </c>
      <c r="I810" s="1" t="s">
        <v>46</v>
      </c>
      <c r="J810" s="1" t="s">
        <v>4884</v>
      </c>
      <c r="K810" s="1" t="s">
        <v>4885</v>
      </c>
      <c r="L810" s="1" t="s">
        <v>45</v>
      </c>
      <c r="M810" s="1" t="s">
        <v>46</v>
      </c>
      <c r="N810" s="1" t="s">
        <v>46</v>
      </c>
      <c r="O810" s="1" t="s">
        <v>46</v>
      </c>
      <c r="P810" s="1">
        <v>94255</v>
      </c>
      <c r="Q810" s="1">
        <v>2023</v>
      </c>
      <c r="R810" s="1" t="s">
        <v>46</v>
      </c>
      <c r="S810" s="1">
        <v>1</v>
      </c>
      <c r="T810" s="1" t="s">
        <v>46</v>
      </c>
      <c r="U810" s="1" t="s">
        <v>4886</v>
      </c>
    </row>
    <row r="811" spans="1:36" ht="17.149999999999999" hidden="1" customHeight="1">
      <c r="A811" s="1" t="s">
        <v>4887</v>
      </c>
      <c r="B811" s="1"/>
      <c r="C811" s="1" t="s">
        <v>4888</v>
      </c>
      <c r="D811" s="1"/>
      <c r="E811" s="1"/>
      <c r="F811" s="1"/>
      <c r="G811" s="1"/>
      <c r="H811" s="1" t="s">
        <v>177</v>
      </c>
      <c r="I811" s="1" t="s">
        <v>3722</v>
      </c>
      <c r="J811" s="1" t="s">
        <v>4889</v>
      </c>
      <c r="K811" s="1" t="s">
        <v>4890</v>
      </c>
      <c r="L811" s="1" t="s">
        <v>118</v>
      </c>
      <c r="M811" s="1" t="s">
        <v>4891</v>
      </c>
      <c r="N811" s="1">
        <v>94179</v>
      </c>
      <c r="O811" s="1">
        <v>2015</v>
      </c>
      <c r="P811" s="1">
        <v>94179</v>
      </c>
      <c r="Q811" s="1">
        <v>2015</v>
      </c>
      <c r="R811" s="1" t="s">
        <v>46</v>
      </c>
      <c r="S811" s="1">
        <v>1</v>
      </c>
      <c r="T811" s="1">
        <v>1</v>
      </c>
      <c r="U811" s="1" t="s">
        <v>4892</v>
      </c>
    </row>
    <row r="812" spans="1:36" ht="17.149999999999999" hidden="1" customHeight="1">
      <c r="A812" s="1" t="s">
        <v>4893</v>
      </c>
      <c r="B812" s="1"/>
      <c r="C812" s="1" t="s">
        <v>4894</v>
      </c>
      <c r="D812" s="1"/>
      <c r="E812" s="1"/>
      <c r="F812" s="1"/>
      <c r="G812" s="1"/>
      <c r="H812" s="1" t="s">
        <v>110</v>
      </c>
      <c r="I812" s="1" t="s">
        <v>46</v>
      </c>
      <c r="J812" s="1" t="s">
        <v>4895</v>
      </c>
      <c r="K812" s="1" t="s">
        <v>4896</v>
      </c>
      <c r="L812" s="1" t="s">
        <v>118</v>
      </c>
      <c r="M812" s="1" t="s">
        <v>4897</v>
      </c>
      <c r="N812" s="1">
        <v>75060</v>
      </c>
      <c r="O812" s="1">
        <v>2019</v>
      </c>
      <c r="P812" s="1">
        <v>93810</v>
      </c>
      <c r="Q812" s="1">
        <v>2019</v>
      </c>
      <c r="R812" s="1" t="s">
        <v>46</v>
      </c>
      <c r="S812" s="1">
        <v>1</v>
      </c>
      <c r="T812" s="1">
        <v>1</v>
      </c>
      <c r="U812" s="1" t="s">
        <v>4898</v>
      </c>
    </row>
    <row r="813" spans="1:36" ht="17.149999999999999" hidden="1" customHeight="1">
      <c r="A813" s="1" t="s">
        <v>4899</v>
      </c>
      <c r="B813" s="1"/>
      <c r="C813" s="1" t="s">
        <v>4900</v>
      </c>
      <c r="D813" s="1"/>
      <c r="E813" s="1"/>
      <c r="F813" s="1"/>
      <c r="G813" s="1"/>
      <c r="H813" s="1" t="s">
        <v>506</v>
      </c>
      <c r="I813" s="1" t="s">
        <v>46</v>
      </c>
      <c r="J813" s="1" t="s">
        <v>4901</v>
      </c>
      <c r="K813" s="1" t="s">
        <v>4902</v>
      </c>
      <c r="L813" s="1" t="s">
        <v>45</v>
      </c>
      <c r="M813" s="1" t="s">
        <v>46</v>
      </c>
      <c r="N813" s="1">
        <v>93757</v>
      </c>
      <c r="O813" s="1">
        <v>2016</v>
      </c>
      <c r="P813" s="1">
        <v>93757</v>
      </c>
      <c r="Q813" s="1">
        <v>2016</v>
      </c>
      <c r="R813" s="1" t="s">
        <v>46</v>
      </c>
      <c r="S813" s="1">
        <v>1</v>
      </c>
      <c r="T813" s="1">
        <v>1</v>
      </c>
      <c r="U813" s="1" t="s">
        <v>4903</v>
      </c>
    </row>
    <row r="814" spans="1:36" ht="17.149999999999999" hidden="1" customHeight="1">
      <c r="A814" s="1" t="s">
        <v>4904</v>
      </c>
      <c r="B814" s="1"/>
      <c r="C814" s="1" t="s">
        <v>4905</v>
      </c>
      <c r="D814" s="1"/>
      <c r="E814" s="1"/>
      <c r="F814" s="1"/>
      <c r="G814" s="1"/>
      <c r="H814" s="1" t="s">
        <v>110</v>
      </c>
      <c r="I814" s="1" t="s">
        <v>46</v>
      </c>
      <c r="J814" s="1" t="s">
        <v>4906</v>
      </c>
      <c r="K814" s="1" t="s">
        <v>4907</v>
      </c>
      <c r="L814" s="1" t="s">
        <v>45</v>
      </c>
      <c r="M814" s="1" t="s">
        <v>46</v>
      </c>
      <c r="N814" s="1">
        <v>88305</v>
      </c>
      <c r="O814" s="1">
        <v>2015</v>
      </c>
      <c r="P814" s="1">
        <v>93302</v>
      </c>
      <c r="Q814" s="1">
        <v>2015</v>
      </c>
      <c r="R814" s="1" t="s">
        <v>46</v>
      </c>
      <c r="S814" s="1">
        <v>1</v>
      </c>
      <c r="T814" s="1">
        <v>1</v>
      </c>
      <c r="U814" s="1" t="s">
        <v>4908</v>
      </c>
    </row>
    <row r="815" spans="1:36" ht="17.149999999999999" hidden="1" customHeight="1">
      <c r="A815" s="1" t="s">
        <v>4909</v>
      </c>
      <c r="B815" s="1"/>
      <c r="C815" s="1" t="s">
        <v>4910</v>
      </c>
      <c r="D815" s="1"/>
      <c r="E815" s="1"/>
      <c r="F815" s="1"/>
      <c r="G815" s="1"/>
      <c r="H815" s="1" t="s">
        <v>1279</v>
      </c>
      <c r="I815" s="1" t="s">
        <v>46</v>
      </c>
      <c r="J815" s="1" t="s">
        <v>4911</v>
      </c>
      <c r="K815" s="1" t="s">
        <v>4912</v>
      </c>
      <c r="L815" s="1" t="s">
        <v>45</v>
      </c>
      <c r="M815" s="1" t="s">
        <v>46</v>
      </c>
      <c r="N815" s="1">
        <v>180000</v>
      </c>
      <c r="O815" s="1">
        <v>2015</v>
      </c>
      <c r="P815" s="1">
        <v>92551</v>
      </c>
      <c r="Q815" s="1">
        <v>2015</v>
      </c>
      <c r="R815" s="1" t="s">
        <v>46</v>
      </c>
      <c r="S815" s="1">
        <v>1</v>
      </c>
      <c r="T815" s="1">
        <v>1</v>
      </c>
      <c r="U815" s="1" t="s">
        <v>4913</v>
      </c>
    </row>
    <row r="816" spans="1:36" ht="17.149999999999999" hidden="1" customHeight="1">
      <c r="A816" s="1" t="s">
        <v>4914</v>
      </c>
      <c r="B816" s="1"/>
      <c r="C816" s="1" t="s">
        <v>4915</v>
      </c>
      <c r="D816" s="1"/>
      <c r="E816" s="1"/>
      <c r="F816" s="1"/>
      <c r="G816" s="1"/>
      <c r="H816" s="1" t="s">
        <v>2258</v>
      </c>
      <c r="I816" s="1" t="s">
        <v>46</v>
      </c>
      <c r="J816" s="1" t="s">
        <v>4916</v>
      </c>
      <c r="K816" s="1" t="s">
        <v>4917</v>
      </c>
      <c r="L816" s="1" t="s">
        <v>45</v>
      </c>
      <c r="M816" s="1" t="s">
        <v>46</v>
      </c>
      <c r="N816" s="1">
        <v>98400</v>
      </c>
      <c r="O816" s="1">
        <v>2015</v>
      </c>
      <c r="P816" s="1">
        <v>92496</v>
      </c>
      <c r="Q816" s="1">
        <v>2015</v>
      </c>
      <c r="R816" s="1" t="s">
        <v>46</v>
      </c>
      <c r="S816" s="1">
        <v>1</v>
      </c>
      <c r="T816" s="1">
        <v>1</v>
      </c>
      <c r="U816" s="1" t="s">
        <v>4918</v>
      </c>
    </row>
    <row r="817" spans="1:36" ht="17.149999999999999" hidden="1" customHeight="1">
      <c r="A817" s="1" t="s">
        <v>4919</v>
      </c>
      <c r="B817" s="1"/>
      <c r="C817" s="1" t="s">
        <v>4920</v>
      </c>
      <c r="D817" s="1"/>
      <c r="E817" s="1"/>
      <c r="F817" s="1"/>
      <c r="G817" s="1"/>
      <c r="H817" s="1" t="s">
        <v>674</v>
      </c>
      <c r="I817" s="1" t="s">
        <v>46</v>
      </c>
      <c r="J817" s="1" t="s">
        <v>4921</v>
      </c>
      <c r="K817" s="1" t="s">
        <v>4922</v>
      </c>
      <c r="L817" s="1" t="s">
        <v>45</v>
      </c>
      <c r="M817" s="1" t="s">
        <v>46</v>
      </c>
      <c r="N817" s="1">
        <v>125456</v>
      </c>
      <c r="O817" s="1">
        <v>2016</v>
      </c>
      <c r="P817" s="1">
        <v>92273</v>
      </c>
      <c r="Q817" s="1">
        <v>2016</v>
      </c>
      <c r="R817" s="1" t="s">
        <v>46</v>
      </c>
      <c r="S817" s="1">
        <v>1</v>
      </c>
      <c r="T817" s="1">
        <v>1</v>
      </c>
      <c r="U817" s="1" t="s">
        <v>4923</v>
      </c>
    </row>
    <row r="818" spans="1:36" ht="17.149999999999999" hidden="1" customHeight="1">
      <c r="A818" s="1" t="s">
        <v>4924</v>
      </c>
      <c r="B818" s="1"/>
      <c r="C818" s="1" t="s">
        <v>4925</v>
      </c>
      <c r="D818" s="1"/>
      <c r="E818" s="1"/>
      <c r="F818" s="1"/>
      <c r="G818" s="1"/>
      <c r="H818" s="1" t="s">
        <v>128</v>
      </c>
      <c r="I818" s="1" t="s">
        <v>908</v>
      </c>
      <c r="J818" s="1" t="s">
        <v>4926</v>
      </c>
      <c r="K818" s="1" t="s">
        <v>4927</v>
      </c>
      <c r="L818" s="1" t="s">
        <v>118</v>
      </c>
      <c r="M818" s="1" t="s">
        <v>4928</v>
      </c>
      <c r="N818" s="1">
        <v>93858</v>
      </c>
      <c r="O818" s="1">
        <v>2015</v>
      </c>
      <c r="P818" s="1">
        <v>91981</v>
      </c>
      <c r="Q818" s="1">
        <v>2015</v>
      </c>
      <c r="R818" s="1" t="s">
        <v>46</v>
      </c>
      <c r="S818" s="1">
        <v>1</v>
      </c>
      <c r="T818" s="1" t="s">
        <v>46</v>
      </c>
      <c r="U818" s="1" t="s">
        <v>4929</v>
      </c>
    </row>
    <row r="819" spans="1:36" ht="17.149999999999999" hidden="1" customHeight="1">
      <c r="A819" s="1" t="s">
        <v>4930</v>
      </c>
      <c r="B819" s="1"/>
      <c r="C819" s="1" t="s">
        <v>4931</v>
      </c>
      <c r="D819" s="1"/>
      <c r="E819" s="1"/>
      <c r="F819" s="1"/>
      <c r="G819" s="1"/>
      <c r="H819" s="1" t="s">
        <v>1367</v>
      </c>
      <c r="I819" s="1" t="s">
        <v>46</v>
      </c>
      <c r="J819" s="1" t="s">
        <v>4932</v>
      </c>
      <c r="K819" s="1" t="s">
        <v>4933</v>
      </c>
      <c r="L819" s="1" t="s">
        <v>45</v>
      </c>
      <c r="M819" s="1" t="s">
        <v>46</v>
      </c>
      <c r="N819" s="1">
        <v>130752</v>
      </c>
      <c r="O819" s="1">
        <v>2017</v>
      </c>
      <c r="P819" s="1">
        <v>91875</v>
      </c>
      <c r="Q819" s="1">
        <v>2017</v>
      </c>
      <c r="R819" s="1" t="s">
        <v>46</v>
      </c>
      <c r="S819" s="1">
        <v>1</v>
      </c>
      <c r="T819" s="1">
        <v>1</v>
      </c>
      <c r="U819" s="1" t="s">
        <v>4934</v>
      </c>
    </row>
    <row r="820" spans="1:36" ht="17.149999999999999" hidden="1" customHeight="1">
      <c r="A820" s="1" t="s">
        <v>4935</v>
      </c>
      <c r="B820" s="1"/>
      <c r="C820" s="1" t="s">
        <v>4936</v>
      </c>
      <c r="D820" s="1"/>
      <c r="E820" s="1"/>
      <c r="F820" s="1"/>
      <c r="G820" s="1"/>
      <c r="H820" s="1" t="s">
        <v>249</v>
      </c>
      <c r="I820" s="1" t="s">
        <v>46</v>
      </c>
      <c r="J820" s="1" t="s">
        <v>4937</v>
      </c>
      <c r="K820" s="1" t="s">
        <v>4938</v>
      </c>
      <c r="L820" s="1" t="s">
        <v>46</v>
      </c>
      <c r="M820" s="1" t="s">
        <v>46</v>
      </c>
      <c r="N820" s="1">
        <v>111920</v>
      </c>
      <c r="O820" s="1">
        <v>2015</v>
      </c>
      <c r="P820" s="1">
        <v>111920</v>
      </c>
      <c r="Q820" s="1">
        <v>2015</v>
      </c>
      <c r="R820" s="1" t="s">
        <v>46</v>
      </c>
      <c r="S820" s="1">
        <v>1</v>
      </c>
      <c r="T820" s="1">
        <v>1</v>
      </c>
      <c r="U820" s="1" t="s">
        <v>1005</v>
      </c>
    </row>
    <row r="821" spans="1:36" ht="17.149999999999999" hidden="1" customHeight="1">
      <c r="A821" s="1" t="s">
        <v>4939</v>
      </c>
      <c r="B821" s="1"/>
      <c r="C821" s="1" t="s">
        <v>4940</v>
      </c>
      <c r="D821" s="1"/>
      <c r="E821" s="1"/>
      <c r="F821" s="1"/>
      <c r="G821" s="1"/>
      <c r="H821" s="1" t="s">
        <v>249</v>
      </c>
      <c r="I821" s="1" t="s">
        <v>1563</v>
      </c>
      <c r="J821" s="1" t="s">
        <v>4941</v>
      </c>
      <c r="K821" s="1" t="s">
        <v>4942</v>
      </c>
      <c r="L821" s="1" t="s">
        <v>45</v>
      </c>
      <c r="M821" s="1" t="s">
        <v>1566</v>
      </c>
      <c r="N821" s="1">
        <v>109481</v>
      </c>
      <c r="O821" s="1">
        <v>2018</v>
      </c>
      <c r="P821" s="1">
        <v>109418</v>
      </c>
      <c r="Q821" s="1">
        <v>2018</v>
      </c>
      <c r="R821" s="1" t="s">
        <v>46</v>
      </c>
      <c r="S821" s="1">
        <v>1</v>
      </c>
      <c r="T821" s="1">
        <v>1</v>
      </c>
      <c r="U821" s="1" t="s">
        <v>4943</v>
      </c>
    </row>
    <row r="822" spans="1:36" ht="17.149999999999999" hidden="1" customHeight="1">
      <c r="A822" s="1" t="s">
        <v>4944</v>
      </c>
      <c r="B822" s="1"/>
      <c r="C822" s="1" t="s">
        <v>4945</v>
      </c>
      <c r="D822" s="1"/>
      <c r="E822" s="1"/>
      <c r="F822" s="1"/>
      <c r="G822" s="1"/>
      <c r="H822" s="1" t="s">
        <v>249</v>
      </c>
      <c r="I822" s="1" t="s">
        <v>1728</v>
      </c>
      <c r="J822" s="1" t="s">
        <v>3508</v>
      </c>
      <c r="K822" s="1" t="s">
        <v>4276</v>
      </c>
      <c r="L822" s="1" t="s">
        <v>45</v>
      </c>
      <c r="M822" s="1" t="s">
        <v>4946</v>
      </c>
      <c r="N822" s="1">
        <v>109473</v>
      </c>
      <c r="O822" s="1">
        <v>2018</v>
      </c>
      <c r="P822" s="1">
        <v>57707</v>
      </c>
      <c r="Q822" s="1">
        <v>2018</v>
      </c>
      <c r="R822" s="1" t="s">
        <v>46</v>
      </c>
      <c r="S822" s="1">
        <v>1</v>
      </c>
      <c r="T822" s="1">
        <v>1</v>
      </c>
      <c r="U822" s="1" t="s">
        <v>4947</v>
      </c>
    </row>
    <row r="823" spans="1:36" ht="17.149999999999999" hidden="1" customHeight="1">
      <c r="A823" s="1" t="s">
        <v>4948</v>
      </c>
      <c r="B823" s="1"/>
      <c r="C823" s="1" t="s">
        <v>4949</v>
      </c>
      <c r="D823" s="1"/>
      <c r="E823" s="1"/>
      <c r="F823" s="1"/>
      <c r="G823" s="1"/>
      <c r="H823" s="1" t="s">
        <v>128</v>
      </c>
      <c r="I823" s="1" t="s">
        <v>4950</v>
      </c>
      <c r="J823" s="1" t="s">
        <v>4950</v>
      </c>
      <c r="K823" s="1" t="s">
        <v>4951</v>
      </c>
      <c r="L823" s="1" t="s">
        <v>45</v>
      </c>
      <c r="M823" s="1" t="s">
        <v>46</v>
      </c>
      <c r="N823" s="1">
        <v>114207</v>
      </c>
      <c r="O823" s="1">
        <v>2015</v>
      </c>
      <c r="P823" s="1">
        <v>91366</v>
      </c>
      <c r="Q823" s="1">
        <v>2015</v>
      </c>
      <c r="R823" s="1" t="s">
        <v>46</v>
      </c>
      <c r="S823" s="1">
        <v>1</v>
      </c>
      <c r="T823" s="1">
        <v>1</v>
      </c>
      <c r="U823" s="1" t="s">
        <v>4952</v>
      </c>
    </row>
    <row r="824" spans="1:36" ht="17.149999999999999" hidden="1" customHeight="1">
      <c r="A824" s="1" t="s">
        <v>4953</v>
      </c>
      <c r="B824" s="1"/>
      <c r="C824" s="1" t="s">
        <v>4954</v>
      </c>
      <c r="D824" s="1"/>
      <c r="E824" s="1"/>
      <c r="F824" s="1"/>
      <c r="G824" s="1"/>
      <c r="H824" s="1" t="s">
        <v>1171</v>
      </c>
      <c r="I824" s="1" t="s">
        <v>46</v>
      </c>
      <c r="J824" s="1" t="s">
        <v>4955</v>
      </c>
      <c r="K824" s="1" t="s">
        <v>4956</v>
      </c>
      <c r="L824" s="1" t="s">
        <v>118</v>
      </c>
      <c r="M824" s="1" t="s">
        <v>46</v>
      </c>
      <c r="N824" s="1">
        <v>106542</v>
      </c>
      <c r="O824" s="1">
        <v>2018</v>
      </c>
      <c r="P824" s="1">
        <v>90615</v>
      </c>
      <c r="Q824" s="1">
        <v>2018</v>
      </c>
      <c r="R824" s="1" t="s">
        <v>46</v>
      </c>
      <c r="S824" s="1">
        <v>1</v>
      </c>
      <c r="T824" s="1" t="s">
        <v>46</v>
      </c>
      <c r="U824" s="1" t="s">
        <v>4957</v>
      </c>
      <c r="AH824" s="73"/>
      <c r="AI824" s="73"/>
      <c r="AJ824" s="73"/>
    </row>
    <row r="825" spans="1:36" ht="17.149999999999999" hidden="1" customHeight="1">
      <c r="A825" s="1" t="s">
        <v>4958</v>
      </c>
      <c r="B825" s="1"/>
      <c r="C825" s="1" t="s">
        <v>4959</v>
      </c>
      <c r="D825" s="1"/>
      <c r="E825" s="1"/>
      <c r="F825" s="1"/>
      <c r="G825" s="1"/>
      <c r="H825" s="1" t="s">
        <v>110</v>
      </c>
      <c r="I825" s="1" t="s">
        <v>46</v>
      </c>
      <c r="J825" s="1" t="s">
        <v>4960</v>
      </c>
      <c r="K825" s="1" t="s">
        <v>4961</v>
      </c>
      <c r="L825" s="1" t="s">
        <v>45</v>
      </c>
      <c r="M825" s="1" t="s">
        <v>46</v>
      </c>
      <c r="N825" s="1">
        <v>90871</v>
      </c>
      <c r="O825" s="1">
        <v>2015</v>
      </c>
      <c r="P825" s="1">
        <v>90070</v>
      </c>
      <c r="Q825" s="1">
        <v>2015</v>
      </c>
      <c r="R825" s="1" t="s">
        <v>46</v>
      </c>
      <c r="S825" s="1">
        <v>1</v>
      </c>
      <c r="T825" s="1">
        <v>1</v>
      </c>
      <c r="U825" s="1" t="s">
        <v>4962</v>
      </c>
    </row>
    <row r="826" spans="1:36" ht="17.149999999999999" hidden="1" customHeight="1">
      <c r="A826" s="1" t="s">
        <v>4963</v>
      </c>
      <c r="B826" s="1"/>
      <c r="C826" s="1" t="s">
        <v>4964</v>
      </c>
      <c r="D826" s="1"/>
      <c r="E826" s="1"/>
      <c r="F826" s="1"/>
      <c r="G826" s="1"/>
      <c r="H826" s="1" t="s">
        <v>249</v>
      </c>
      <c r="I826" s="1" t="s">
        <v>1960</v>
      </c>
      <c r="J826" s="1" t="s">
        <v>4937</v>
      </c>
      <c r="K826" s="1" t="s">
        <v>4965</v>
      </c>
      <c r="L826" s="1" t="s">
        <v>45</v>
      </c>
      <c r="M826" s="1" t="s">
        <v>46</v>
      </c>
      <c r="N826" s="1">
        <v>108129</v>
      </c>
      <c r="O826" s="1">
        <v>2018</v>
      </c>
      <c r="P826" s="1">
        <v>118646</v>
      </c>
      <c r="Q826" s="1">
        <v>2018</v>
      </c>
      <c r="R826" s="1" t="s">
        <v>46</v>
      </c>
      <c r="S826" s="1">
        <v>1</v>
      </c>
      <c r="T826" s="1">
        <v>1</v>
      </c>
      <c r="U826" s="1" t="s">
        <v>4966</v>
      </c>
    </row>
    <row r="827" spans="1:36" ht="17.149999999999999" customHeight="1">
      <c r="A827" s="14" t="s">
        <v>4967</v>
      </c>
      <c r="B827" s="14" t="s">
        <v>37</v>
      </c>
      <c r="C827" s="56" t="s">
        <v>4968</v>
      </c>
      <c r="D827" s="17" t="s">
        <v>4968</v>
      </c>
      <c r="E827" s="17" t="s">
        <v>4969</v>
      </c>
      <c r="F827" s="17" t="s">
        <v>62</v>
      </c>
      <c r="G827" s="61" t="s">
        <v>40</v>
      </c>
      <c r="H827" s="14" t="s">
        <v>41</v>
      </c>
      <c r="I827" s="14" t="s">
        <v>63</v>
      </c>
      <c r="J827" s="14" t="s">
        <v>4970</v>
      </c>
      <c r="K827" s="14" t="s">
        <v>4971</v>
      </c>
      <c r="L827" s="14" t="s">
        <v>45</v>
      </c>
      <c r="M827" s="14" t="s">
        <v>46</v>
      </c>
      <c r="N827" s="14" t="s">
        <v>46</v>
      </c>
      <c r="O827" s="14" t="s">
        <v>46</v>
      </c>
      <c r="P827" s="14">
        <v>660200</v>
      </c>
      <c r="Q827" s="14">
        <v>2016</v>
      </c>
      <c r="R827" s="14" t="s">
        <v>46</v>
      </c>
      <c r="S827" s="14">
        <v>1</v>
      </c>
      <c r="T827" s="14">
        <v>1</v>
      </c>
      <c r="U827" s="14" t="s">
        <v>4972</v>
      </c>
      <c r="V827" s="6" t="s">
        <v>40</v>
      </c>
      <c r="W827" s="6" t="s">
        <v>4973</v>
      </c>
      <c r="X827" s="6" t="s">
        <v>40</v>
      </c>
      <c r="Y827" s="6"/>
      <c r="Z827" s="6" t="s">
        <v>4974</v>
      </c>
      <c r="AA827" s="28" t="s">
        <v>4975</v>
      </c>
      <c r="AB827" s="7" t="s">
        <v>4976</v>
      </c>
      <c r="AC827" s="6" t="s">
        <v>4977</v>
      </c>
      <c r="AD827" s="6" t="s">
        <v>40</v>
      </c>
      <c r="AE827" s="2">
        <v>1</v>
      </c>
      <c r="AF827" s="2" t="s">
        <v>53</v>
      </c>
      <c r="AH827" s="111" t="s">
        <v>4978</v>
      </c>
      <c r="AJ827" s="2" t="s">
        <v>57</v>
      </c>
    </row>
    <row r="828" spans="1:36" ht="17.149999999999999" hidden="1" customHeight="1">
      <c r="A828" s="1" t="s">
        <v>4979</v>
      </c>
      <c r="B828" s="1"/>
      <c r="C828" s="1" t="s">
        <v>4980</v>
      </c>
      <c r="D828" s="1"/>
      <c r="E828" s="1"/>
      <c r="F828" s="1"/>
      <c r="G828" s="1"/>
      <c r="H828" s="1" t="s">
        <v>1047</v>
      </c>
      <c r="I828" s="1" t="s">
        <v>46</v>
      </c>
      <c r="J828" s="1" t="s">
        <v>4981</v>
      </c>
      <c r="K828" s="1" t="s">
        <v>4982</v>
      </c>
      <c r="L828" s="1" t="s">
        <v>45</v>
      </c>
      <c r="M828" s="1" t="s">
        <v>46</v>
      </c>
      <c r="N828" s="1">
        <v>151000</v>
      </c>
      <c r="O828" s="1">
        <v>2015</v>
      </c>
      <c r="P828" s="1">
        <v>90000</v>
      </c>
      <c r="Q828" s="1">
        <v>2015</v>
      </c>
      <c r="R828" s="1" t="s">
        <v>46</v>
      </c>
      <c r="S828" s="1">
        <v>1</v>
      </c>
      <c r="T828" s="1">
        <v>1</v>
      </c>
      <c r="U828" s="1" t="s">
        <v>4983</v>
      </c>
    </row>
    <row r="829" spans="1:36" ht="17.149999999999999" hidden="1" customHeight="1">
      <c r="A829" s="1" t="s">
        <v>4984</v>
      </c>
      <c r="B829" s="1"/>
      <c r="C829" s="1" t="s">
        <v>4985</v>
      </c>
      <c r="D829" s="1"/>
      <c r="E829" s="1"/>
      <c r="F829" s="1"/>
      <c r="G829" s="1"/>
      <c r="H829" s="1" t="s">
        <v>249</v>
      </c>
      <c r="I829" s="1" t="s">
        <v>2070</v>
      </c>
      <c r="J829" s="1" t="s">
        <v>2070</v>
      </c>
      <c r="K829" s="1" t="s">
        <v>4986</v>
      </c>
      <c r="L829" s="1" t="s">
        <v>45</v>
      </c>
      <c r="M829" s="1" t="s">
        <v>46</v>
      </c>
      <c r="N829" s="1">
        <v>106681</v>
      </c>
      <c r="O829" s="1">
        <v>2018</v>
      </c>
      <c r="P829" s="1">
        <v>95676</v>
      </c>
      <c r="Q829" s="1">
        <v>2018</v>
      </c>
      <c r="R829" s="1" t="s">
        <v>46</v>
      </c>
      <c r="S829" s="1">
        <v>1</v>
      </c>
      <c r="T829" s="1" t="s">
        <v>46</v>
      </c>
      <c r="U829" s="1" t="s">
        <v>4987</v>
      </c>
    </row>
    <row r="830" spans="1:36" ht="17.149999999999999" hidden="1" customHeight="1">
      <c r="A830" s="1" t="s">
        <v>4988</v>
      </c>
      <c r="B830" s="1"/>
      <c r="C830" s="1" t="s">
        <v>4989</v>
      </c>
      <c r="D830" s="1"/>
      <c r="E830" s="1"/>
      <c r="F830" s="1"/>
      <c r="G830" s="1"/>
      <c r="H830" s="1" t="s">
        <v>249</v>
      </c>
      <c r="I830" s="1" t="s">
        <v>4462</v>
      </c>
      <c r="J830" s="1" t="s">
        <v>4990</v>
      </c>
      <c r="K830" s="1" t="s">
        <v>4555</v>
      </c>
      <c r="L830" s="1" t="s">
        <v>45</v>
      </c>
      <c r="M830" s="1" t="s">
        <v>46</v>
      </c>
      <c r="N830" s="1">
        <v>106104</v>
      </c>
      <c r="O830" s="1">
        <v>2018</v>
      </c>
      <c r="P830" s="1">
        <v>106104</v>
      </c>
      <c r="Q830" s="1">
        <v>2018</v>
      </c>
      <c r="R830" s="1" t="s">
        <v>46</v>
      </c>
      <c r="S830" s="1">
        <v>1</v>
      </c>
      <c r="T830" s="1">
        <v>1</v>
      </c>
      <c r="U830" s="1" t="s">
        <v>4991</v>
      </c>
    </row>
    <row r="831" spans="1:36" ht="17.149999999999999" hidden="1" customHeight="1">
      <c r="A831" s="1" t="s">
        <v>4992</v>
      </c>
      <c r="B831" s="1"/>
      <c r="C831" s="1" t="s">
        <v>4993</v>
      </c>
      <c r="D831" s="1"/>
      <c r="E831" s="1"/>
      <c r="F831" s="1"/>
      <c r="G831" s="1"/>
      <c r="H831" s="1" t="s">
        <v>1669</v>
      </c>
      <c r="I831" s="1" t="s">
        <v>46</v>
      </c>
      <c r="J831" s="1" t="s">
        <v>4994</v>
      </c>
      <c r="K831" s="1" t="s">
        <v>4995</v>
      </c>
      <c r="L831" s="1" t="s">
        <v>45</v>
      </c>
      <c r="M831" s="1" t="s">
        <v>46</v>
      </c>
      <c r="N831" s="1">
        <v>55982</v>
      </c>
      <c r="O831" s="1">
        <v>2017</v>
      </c>
      <c r="P831" s="1">
        <v>89598</v>
      </c>
      <c r="Q831" s="1">
        <v>2017</v>
      </c>
      <c r="R831" s="1" t="s">
        <v>46</v>
      </c>
      <c r="S831" s="1">
        <v>1</v>
      </c>
      <c r="T831" s="1" t="s">
        <v>46</v>
      </c>
      <c r="U831" s="1" t="s">
        <v>4996</v>
      </c>
    </row>
    <row r="832" spans="1:36" ht="17.149999999999999" customHeight="1">
      <c r="A832" s="14" t="s">
        <v>4997</v>
      </c>
      <c r="B832" s="14" t="s">
        <v>37</v>
      </c>
      <c r="C832" s="56" t="s">
        <v>4998</v>
      </c>
      <c r="D832" s="144" t="s">
        <v>4998</v>
      </c>
      <c r="E832" s="17" t="s">
        <v>4999</v>
      </c>
      <c r="F832" s="144" t="s">
        <v>5000</v>
      </c>
      <c r="G832" s="144" t="s">
        <v>40</v>
      </c>
      <c r="H832" s="14" t="s">
        <v>41</v>
      </c>
      <c r="I832" s="14" t="s">
        <v>63</v>
      </c>
      <c r="J832" s="14" t="s">
        <v>5001</v>
      </c>
      <c r="K832" s="14" t="s">
        <v>5002</v>
      </c>
      <c r="L832" s="14" t="s">
        <v>45</v>
      </c>
      <c r="M832" s="14" t="s">
        <v>46</v>
      </c>
      <c r="N832" s="14" t="s">
        <v>46</v>
      </c>
      <c r="O832" s="14" t="s">
        <v>46</v>
      </c>
      <c r="P832" s="14">
        <v>1098900</v>
      </c>
      <c r="Q832" s="14">
        <v>2016</v>
      </c>
      <c r="R832" s="14" t="s">
        <v>46</v>
      </c>
      <c r="S832" s="14">
        <v>1</v>
      </c>
      <c r="T832" s="14">
        <v>1</v>
      </c>
      <c r="U832" s="14" t="s">
        <v>5003</v>
      </c>
      <c r="V832" s="14" t="s">
        <v>40</v>
      </c>
      <c r="W832" s="14" t="s">
        <v>5004</v>
      </c>
      <c r="X832" s="14" t="s">
        <v>40</v>
      </c>
      <c r="Y832" s="14"/>
      <c r="Z832" s="6" t="s">
        <v>5005</v>
      </c>
      <c r="AA832" s="6" t="s">
        <v>5006</v>
      </c>
      <c r="AB832" s="6" t="s">
        <v>5007</v>
      </c>
      <c r="AC832" s="5" t="s">
        <v>5008</v>
      </c>
      <c r="AD832" s="6" t="s">
        <v>40</v>
      </c>
      <c r="AE832" s="2">
        <v>1</v>
      </c>
      <c r="AF832" s="2" t="s">
        <v>53</v>
      </c>
      <c r="AH832" s="2" t="s">
        <v>5009</v>
      </c>
      <c r="AI832" s="2" t="s">
        <v>5010</v>
      </c>
      <c r="AJ832" s="2" t="s">
        <v>57</v>
      </c>
    </row>
    <row r="833" spans="1:32" ht="17.149999999999999" hidden="1" customHeight="1">
      <c r="A833" s="1" t="s">
        <v>5011</v>
      </c>
      <c r="B833" s="1"/>
      <c r="C833" s="1" t="s">
        <v>5012</v>
      </c>
      <c r="D833" s="1"/>
      <c r="E833" s="1"/>
      <c r="F833" s="1"/>
      <c r="G833" s="1"/>
      <c r="H833" s="1" t="s">
        <v>1171</v>
      </c>
      <c r="I833" s="1" t="s">
        <v>46</v>
      </c>
      <c r="J833" s="1" t="s">
        <v>5013</v>
      </c>
      <c r="K833" s="1" t="s">
        <v>5014</v>
      </c>
      <c r="L833" s="1" t="s">
        <v>118</v>
      </c>
      <c r="M833" s="1" t="s">
        <v>46</v>
      </c>
      <c r="N833" s="1">
        <v>160000</v>
      </c>
      <c r="O833" s="1">
        <v>2015</v>
      </c>
      <c r="P833" s="1">
        <v>88560</v>
      </c>
      <c r="Q833" s="1">
        <v>2015</v>
      </c>
      <c r="R833" s="1" t="s">
        <v>46</v>
      </c>
      <c r="S833" s="1">
        <v>1</v>
      </c>
      <c r="T833" s="1" t="s">
        <v>46</v>
      </c>
      <c r="U833" s="1" t="s">
        <v>5015</v>
      </c>
    </row>
    <row r="834" spans="1:32" ht="17.149999999999999" hidden="1" customHeight="1">
      <c r="A834" s="1" t="s">
        <v>5016</v>
      </c>
      <c r="B834" s="1"/>
      <c r="C834" s="1" t="s">
        <v>5017</v>
      </c>
      <c r="D834" s="1"/>
      <c r="E834" s="1"/>
      <c r="F834" s="1"/>
      <c r="G834" s="1"/>
      <c r="H834" s="1" t="s">
        <v>249</v>
      </c>
      <c r="I834" s="1" t="s">
        <v>4532</v>
      </c>
      <c r="J834" s="1" t="s">
        <v>3616</v>
      </c>
      <c r="K834" s="1" t="s">
        <v>5018</v>
      </c>
      <c r="L834" s="1" t="s">
        <v>45</v>
      </c>
      <c r="M834" s="1" t="s">
        <v>46</v>
      </c>
      <c r="N834" s="1">
        <v>105153</v>
      </c>
      <c r="O834" s="1">
        <v>2018</v>
      </c>
      <c r="P834" s="1">
        <v>105154</v>
      </c>
      <c r="Q834" s="1">
        <v>2018</v>
      </c>
      <c r="R834" s="1" t="s">
        <v>46</v>
      </c>
      <c r="S834" s="1">
        <v>1</v>
      </c>
      <c r="T834" s="1" t="s">
        <v>46</v>
      </c>
      <c r="U834" s="1" t="s">
        <v>5019</v>
      </c>
    </row>
    <row r="835" spans="1:32" ht="17.149999999999999" hidden="1" customHeight="1">
      <c r="A835" s="1" t="s">
        <v>5020</v>
      </c>
      <c r="B835" s="1"/>
      <c r="C835" s="1" t="s">
        <v>5021</v>
      </c>
      <c r="D835" s="1"/>
      <c r="E835" s="1"/>
      <c r="F835" s="1"/>
      <c r="G835" s="1"/>
      <c r="H835" s="1" t="s">
        <v>249</v>
      </c>
      <c r="I835" s="1" t="s">
        <v>5022</v>
      </c>
      <c r="J835" s="1" t="s">
        <v>5023</v>
      </c>
      <c r="K835" s="1" t="s">
        <v>5024</v>
      </c>
      <c r="L835" s="1" t="s">
        <v>45</v>
      </c>
      <c r="M835" s="1" t="s">
        <v>46</v>
      </c>
      <c r="N835" s="1">
        <v>104763</v>
      </c>
      <c r="O835" s="1">
        <v>2018</v>
      </c>
      <c r="P835" s="1">
        <v>116342</v>
      </c>
      <c r="Q835" s="1">
        <v>2018</v>
      </c>
      <c r="R835" s="1" t="s">
        <v>46</v>
      </c>
      <c r="S835" s="1">
        <v>1</v>
      </c>
      <c r="T835" s="1" t="s">
        <v>46</v>
      </c>
      <c r="U835" s="1" t="s">
        <v>5025</v>
      </c>
    </row>
    <row r="836" spans="1:32" ht="17.149999999999999" hidden="1" customHeight="1">
      <c r="A836" s="1" t="s">
        <v>5026</v>
      </c>
      <c r="B836" s="1"/>
      <c r="C836" s="1" t="s">
        <v>5027</v>
      </c>
      <c r="D836" s="1"/>
      <c r="E836" s="1"/>
      <c r="F836" s="1"/>
      <c r="G836" s="1"/>
      <c r="H836" s="1" t="s">
        <v>249</v>
      </c>
      <c r="I836" s="1" t="s">
        <v>4667</v>
      </c>
      <c r="J836" s="1" t="s">
        <v>5028</v>
      </c>
      <c r="K836" s="1" t="s">
        <v>5029</v>
      </c>
      <c r="L836" s="1" t="s">
        <v>45</v>
      </c>
      <c r="M836" s="1" t="s">
        <v>46</v>
      </c>
      <c r="N836" s="1">
        <v>104077</v>
      </c>
      <c r="O836" s="1">
        <v>2018</v>
      </c>
      <c r="P836" s="1">
        <v>104077</v>
      </c>
      <c r="Q836" s="1">
        <v>2018</v>
      </c>
      <c r="R836" s="1" t="s">
        <v>46</v>
      </c>
      <c r="S836" s="1">
        <v>1</v>
      </c>
      <c r="T836" s="1" t="s">
        <v>46</v>
      </c>
      <c r="U836" s="1" t="s">
        <v>5030</v>
      </c>
    </row>
    <row r="837" spans="1:32" ht="17.149999999999999" hidden="1" customHeight="1">
      <c r="A837" s="1" t="s">
        <v>5031</v>
      </c>
      <c r="B837" s="1"/>
      <c r="C837" s="1" t="s">
        <v>5032</v>
      </c>
      <c r="D837" s="1"/>
      <c r="E837" s="1"/>
      <c r="F837" s="1"/>
      <c r="G837" s="1"/>
      <c r="H837" s="1" t="s">
        <v>674</v>
      </c>
      <c r="I837" s="1" t="s">
        <v>46</v>
      </c>
      <c r="J837" s="1" t="s">
        <v>5033</v>
      </c>
      <c r="K837" s="1" t="s">
        <v>5034</v>
      </c>
      <c r="L837" s="1" t="s">
        <v>45</v>
      </c>
      <c r="M837" s="1" t="s">
        <v>46</v>
      </c>
      <c r="N837" s="1">
        <v>168304</v>
      </c>
      <c r="O837" s="1">
        <v>2016</v>
      </c>
      <c r="P837" s="1">
        <v>86576</v>
      </c>
      <c r="Q837" s="1">
        <v>2016</v>
      </c>
      <c r="R837" s="1" t="s">
        <v>46</v>
      </c>
      <c r="S837" s="1">
        <v>1</v>
      </c>
      <c r="T837" s="1">
        <v>1</v>
      </c>
      <c r="U837" s="1" t="s">
        <v>5035</v>
      </c>
    </row>
    <row r="838" spans="1:32" ht="17.149999999999999" hidden="1" customHeight="1">
      <c r="A838" s="1" t="s">
        <v>5036</v>
      </c>
      <c r="B838" s="1"/>
      <c r="C838" s="1" t="s">
        <v>5037</v>
      </c>
      <c r="D838" s="1"/>
      <c r="E838" s="1"/>
      <c r="F838" s="1"/>
      <c r="G838" s="1"/>
      <c r="H838" s="1" t="s">
        <v>1367</v>
      </c>
      <c r="I838" s="1" t="s">
        <v>46</v>
      </c>
      <c r="J838" s="1" t="s">
        <v>3392</v>
      </c>
      <c r="K838" s="1" t="s">
        <v>5038</v>
      </c>
      <c r="L838" s="1" t="s">
        <v>45</v>
      </c>
      <c r="M838" s="1" t="s">
        <v>46</v>
      </c>
      <c r="N838" s="1">
        <v>240784</v>
      </c>
      <c r="O838" s="1">
        <v>2017</v>
      </c>
      <c r="P838" s="1">
        <v>86372</v>
      </c>
      <c r="Q838" s="1">
        <v>2017</v>
      </c>
      <c r="R838" s="1" t="s">
        <v>46</v>
      </c>
      <c r="S838" s="1">
        <v>1</v>
      </c>
      <c r="T838" s="1">
        <v>1</v>
      </c>
      <c r="U838" s="1" t="s">
        <v>5039</v>
      </c>
    </row>
    <row r="839" spans="1:32" ht="17.149999999999999" hidden="1" customHeight="1">
      <c r="A839" s="1" t="s">
        <v>5040</v>
      </c>
      <c r="B839" s="1"/>
      <c r="C839" s="1" t="s">
        <v>5041</v>
      </c>
      <c r="D839" s="1"/>
      <c r="E839" s="1"/>
      <c r="F839" s="1"/>
      <c r="G839" s="1"/>
      <c r="H839" s="1" t="s">
        <v>128</v>
      </c>
      <c r="I839" s="1" t="s">
        <v>5042</v>
      </c>
      <c r="J839" s="1" t="s">
        <v>5042</v>
      </c>
      <c r="K839" s="1" t="s">
        <v>5043</v>
      </c>
      <c r="L839" s="1" t="s">
        <v>45</v>
      </c>
      <c r="M839" s="1" t="s">
        <v>46</v>
      </c>
      <c r="N839" s="1">
        <v>99274</v>
      </c>
      <c r="O839" s="1">
        <v>2019</v>
      </c>
      <c r="P839" s="1">
        <v>86369</v>
      </c>
      <c r="Q839" s="1">
        <v>2015</v>
      </c>
      <c r="R839" s="1" t="s">
        <v>46</v>
      </c>
      <c r="S839" s="1">
        <v>1</v>
      </c>
      <c r="T839" s="1">
        <v>1</v>
      </c>
      <c r="U839" s="1" t="s">
        <v>5044</v>
      </c>
    </row>
    <row r="840" spans="1:32" ht="17.149999999999999" hidden="1" customHeight="1">
      <c r="A840" s="1" t="s">
        <v>5045</v>
      </c>
      <c r="B840" s="1"/>
      <c r="C840" s="1" t="s">
        <v>5046</v>
      </c>
      <c r="D840" s="1"/>
      <c r="E840" s="1"/>
      <c r="F840" s="1"/>
      <c r="G840" s="1"/>
      <c r="H840" s="1" t="s">
        <v>249</v>
      </c>
      <c r="I840" s="1" t="s">
        <v>3897</v>
      </c>
      <c r="J840" s="1" t="s">
        <v>5047</v>
      </c>
      <c r="K840" s="1" t="s">
        <v>5048</v>
      </c>
      <c r="L840" s="1" t="s">
        <v>45</v>
      </c>
      <c r="M840" s="1" t="s">
        <v>5049</v>
      </c>
      <c r="N840" s="1">
        <v>101997</v>
      </c>
      <c r="O840" s="1">
        <v>2018</v>
      </c>
      <c r="P840" s="1">
        <v>101996</v>
      </c>
      <c r="Q840" s="1">
        <v>2018</v>
      </c>
      <c r="R840" s="1" t="s">
        <v>46</v>
      </c>
      <c r="S840" s="1">
        <v>1</v>
      </c>
      <c r="T840" s="1">
        <v>1</v>
      </c>
      <c r="U840" s="1" t="s">
        <v>5050</v>
      </c>
    </row>
    <row r="841" spans="1:32" ht="17.149999999999999" hidden="1" customHeight="1">
      <c r="A841" s="1" t="s">
        <v>5051</v>
      </c>
      <c r="B841" s="1"/>
      <c r="C841" s="1" t="s">
        <v>5052</v>
      </c>
      <c r="D841" s="1"/>
      <c r="E841" s="1"/>
      <c r="F841" s="1"/>
      <c r="G841" s="1"/>
      <c r="H841" s="1" t="s">
        <v>1367</v>
      </c>
      <c r="I841" s="1" t="s">
        <v>46</v>
      </c>
      <c r="J841" s="1" t="s">
        <v>5053</v>
      </c>
      <c r="K841" s="1" t="s">
        <v>5054</v>
      </c>
      <c r="L841" s="1" t="s">
        <v>45</v>
      </c>
      <c r="M841" s="1" t="s">
        <v>46</v>
      </c>
      <c r="N841" s="1">
        <v>99400</v>
      </c>
      <c r="O841" s="1">
        <v>2017</v>
      </c>
      <c r="P841" s="1">
        <v>86000</v>
      </c>
      <c r="Q841" s="1">
        <v>2017</v>
      </c>
      <c r="R841" s="1" t="s">
        <v>46</v>
      </c>
      <c r="S841" s="1">
        <v>1</v>
      </c>
      <c r="T841" s="1">
        <v>1</v>
      </c>
      <c r="U841" s="1" t="s">
        <v>5055</v>
      </c>
    </row>
    <row r="842" spans="1:32" ht="17.149999999999999" hidden="1" customHeight="1">
      <c r="A842" s="1" t="s">
        <v>5056</v>
      </c>
      <c r="B842" s="1"/>
      <c r="C842" s="1" t="s">
        <v>5057</v>
      </c>
      <c r="D842" s="1"/>
      <c r="E842" s="1"/>
      <c r="F842" s="1"/>
      <c r="G842" s="1"/>
      <c r="H842" s="1" t="s">
        <v>1669</v>
      </c>
      <c r="I842" s="1" t="s">
        <v>46</v>
      </c>
      <c r="J842" s="1" t="s">
        <v>5058</v>
      </c>
      <c r="K842" s="1" t="s">
        <v>5059</v>
      </c>
      <c r="L842" s="1" t="s">
        <v>45</v>
      </c>
      <c r="M842" s="1" t="s">
        <v>46</v>
      </c>
      <c r="N842" s="1">
        <v>55332</v>
      </c>
      <c r="O842" s="1">
        <v>2017</v>
      </c>
      <c r="P842" s="1">
        <v>85587</v>
      </c>
      <c r="Q842" s="1">
        <v>2017</v>
      </c>
      <c r="R842" s="1" t="s">
        <v>46</v>
      </c>
      <c r="S842" s="1">
        <v>1</v>
      </c>
      <c r="T842" s="1" t="s">
        <v>46</v>
      </c>
      <c r="U842" s="1" t="s">
        <v>1005</v>
      </c>
    </row>
    <row r="843" spans="1:32" ht="17.149999999999999" hidden="1" customHeight="1">
      <c r="A843" s="1" t="s">
        <v>5060</v>
      </c>
      <c r="B843" s="1"/>
      <c r="C843" s="1" t="s">
        <v>5061</v>
      </c>
      <c r="D843" s="1"/>
      <c r="E843" s="1"/>
      <c r="F843" s="1"/>
      <c r="G843" s="1"/>
      <c r="H843" s="1" t="s">
        <v>110</v>
      </c>
      <c r="I843" s="1" t="s">
        <v>46</v>
      </c>
      <c r="J843" s="1" t="s">
        <v>5062</v>
      </c>
      <c r="K843" s="1" t="s">
        <v>5063</v>
      </c>
      <c r="L843" s="1" t="s">
        <v>45</v>
      </c>
      <c r="M843" s="1" t="s">
        <v>46</v>
      </c>
      <c r="N843" s="1">
        <v>92011</v>
      </c>
      <c r="O843" s="1">
        <v>2015</v>
      </c>
      <c r="P843" s="1">
        <v>85048</v>
      </c>
      <c r="Q843" s="1">
        <v>2015</v>
      </c>
      <c r="R843" s="1" t="s">
        <v>46</v>
      </c>
      <c r="S843" s="1">
        <v>1</v>
      </c>
      <c r="T843" s="1">
        <v>1</v>
      </c>
      <c r="U843" s="1" t="s">
        <v>5064</v>
      </c>
    </row>
    <row r="844" spans="1:32" ht="17.149999999999999" hidden="1" customHeight="1">
      <c r="A844" s="24" t="s">
        <v>5065</v>
      </c>
      <c r="B844" s="24" t="s">
        <v>37</v>
      </c>
      <c r="C844" s="62" t="s">
        <v>5066</v>
      </c>
      <c r="D844" s="61"/>
      <c r="E844" s="61"/>
      <c r="F844" s="61"/>
      <c r="G844" s="61"/>
      <c r="H844" s="24" t="s">
        <v>41</v>
      </c>
      <c r="I844" s="24" t="s">
        <v>135</v>
      </c>
      <c r="J844" s="24" t="s">
        <v>5067</v>
      </c>
      <c r="K844" s="24" t="s">
        <v>5068</v>
      </c>
      <c r="L844" s="24" t="s">
        <v>45</v>
      </c>
      <c r="M844" s="24" t="s">
        <v>46</v>
      </c>
      <c r="N844" s="24" t="s">
        <v>46</v>
      </c>
      <c r="O844" s="24" t="s">
        <v>46</v>
      </c>
      <c r="P844" s="24">
        <v>85000</v>
      </c>
      <c r="Q844" s="24">
        <v>2015</v>
      </c>
      <c r="R844" s="24" t="s">
        <v>46</v>
      </c>
      <c r="S844" s="24">
        <v>1</v>
      </c>
      <c r="T844" s="24">
        <v>1</v>
      </c>
      <c r="U844" s="24" t="s">
        <v>5069</v>
      </c>
      <c r="V844" s="25" t="s">
        <v>354</v>
      </c>
      <c r="W844" s="25" t="s">
        <v>1327</v>
      </c>
      <c r="X844" s="26" t="s">
        <v>103</v>
      </c>
      <c r="Y844" s="26"/>
      <c r="Z844" s="25" t="s">
        <v>5070</v>
      </c>
      <c r="AA844" s="27" t="s">
        <v>5071</v>
      </c>
      <c r="AB844" s="76" t="s">
        <v>5072</v>
      </c>
      <c r="AC844" s="25" t="s">
        <v>5073</v>
      </c>
      <c r="AD844" s="25"/>
      <c r="AE844" s="2">
        <v>1</v>
      </c>
      <c r="AF844" t="s">
        <v>53</v>
      </c>
    </row>
    <row r="845" spans="1:32" ht="17.149999999999999" hidden="1" customHeight="1">
      <c r="A845" s="1" t="s">
        <v>5074</v>
      </c>
      <c r="B845" s="1"/>
      <c r="C845" s="1" t="s">
        <v>5075</v>
      </c>
      <c r="D845" s="1"/>
      <c r="E845" s="1"/>
      <c r="F845" s="1"/>
      <c r="G845" s="1"/>
      <c r="H845" s="1" t="s">
        <v>177</v>
      </c>
      <c r="I845" s="1" t="s">
        <v>5076</v>
      </c>
      <c r="J845" s="1" t="s">
        <v>5076</v>
      </c>
      <c r="K845" s="1" t="s">
        <v>5077</v>
      </c>
      <c r="L845" s="1" t="s">
        <v>45</v>
      </c>
      <c r="M845" s="1" t="s">
        <v>46</v>
      </c>
      <c r="N845" s="1">
        <v>85000</v>
      </c>
      <c r="O845" s="1">
        <v>2019</v>
      </c>
      <c r="P845" s="1">
        <v>85000</v>
      </c>
      <c r="Q845" s="1">
        <v>2019</v>
      </c>
      <c r="R845" s="1" t="s">
        <v>46</v>
      </c>
      <c r="S845" s="1">
        <v>1</v>
      </c>
      <c r="T845" s="1">
        <v>1</v>
      </c>
      <c r="U845" s="1" t="s">
        <v>5078</v>
      </c>
    </row>
    <row r="846" spans="1:32" ht="17.149999999999999" hidden="1" customHeight="1">
      <c r="A846" s="1" t="s">
        <v>5079</v>
      </c>
      <c r="B846" s="1"/>
      <c r="C846" s="1" t="s">
        <v>5080</v>
      </c>
      <c r="D846" s="1"/>
      <c r="E846" s="1"/>
      <c r="F846" s="1"/>
      <c r="G846" s="1"/>
      <c r="H846" s="1" t="s">
        <v>500</v>
      </c>
      <c r="I846" s="1" t="s">
        <v>46</v>
      </c>
      <c r="J846" s="1" t="s">
        <v>5081</v>
      </c>
      <c r="K846" s="1" t="s">
        <v>5082</v>
      </c>
      <c r="L846" s="1" t="s">
        <v>45</v>
      </c>
      <c r="M846" s="1" t="s">
        <v>46</v>
      </c>
      <c r="N846" s="1">
        <v>95000</v>
      </c>
      <c r="O846" s="1">
        <v>2016</v>
      </c>
      <c r="P846" s="1">
        <v>85000</v>
      </c>
      <c r="Q846" s="1">
        <v>2016</v>
      </c>
      <c r="R846" s="1" t="s">
        <v>46</v>
      </c>
      <c r="S846" s="1">
        <v>1</v>
      </c>
      <c r="T846" s="1">
        <v>1</v>
      </c>
      <c r="U846" s="1" t="s">
        <v>5083</v>
      </c>
    </row>
    <row r="847" spans="1:32" ht="17.149999999999999" hidden="1" customHeight="1">
      <c r="A847" s="1" t="s">
        <v>5084</v>
      </c>
      <c r="B847" s="1"/>
      <c r="C847" s="1" t="s">
        <v>5085</v>
      </c>
      <c r="D847" s="1"/>
      <c r="E847" s="1"/>
      <c r="F847" s="1"/>
      <c r="G847" s="1"/>
      <c r="H847" s="1" t="s">
        <v>177</v>
      </c>
      <c r="I847" s="1" t="s">
        <v>1323</v>
      </c>
      <c r="J847" s="1" t="s">
        <v>5086</v>
      </c>
      <c r="K847" s="1" t="s">
        <v>5087</v>
      </c>
      <c r="L847" s="1" t="s">
        <v>45</v>
      </c>
      <c r="M847" s="1" t="s">
        <v>46</v>
      </c>
      <c r="N847" s="1">
        <v>85000</v>
      </c>
      <c r="O847" s="1">
        <v>2019</v>
      </c>
      <c r="P847" s="1">
        <v>85000</v>
      </c>
      <c r="Q847" s="1">
        <v>2019</v>
      </c>
      <c r="R847" s="1" t="s">
        <v>46</v>
      </c>
      <c r="S847" s="1">
        <v>1</v>
      </c>
      <c r="T847" s="1">
        <v>1</v>
      </c>
      <c r="U847" s="1" t="s">
        <v>5088</v>
      </c>
    </row>
    <row r="848" spans="1:32" ht="17.149999999999999" hidden="1" customHeight="1">
      <c r="A848" s="1" t="s">
        <v>5089</v>
      </c>
      <c r="B848" s="1"/>
      <c r="C848" s="1" t="s">
        <v>5090</v>
      </c>
      <c r="D848" s="1"/>
      <c r="E848" s="1"/>
      <c r="F848" s="1"/>
      <c r="G848" s="1"/>
      <c r="H848" s="1" t="s">
        <v>177</v>
      </c>
      <c r="I848" s="1" t="s">
        <v>3474</v>
      </c>
      <c r="J848" s="1" t="s">
        <v>5091</v>
      </c>
      <c r="K848" s="1" t="s">
        <v>5092</v>
      </c>
      <c r="L848" s="1" t="s">
        <v>118</v>
      </c>
      <c r="M848" s="1" t="s">
        <v>5093</v>
      </c>
      <c r="N848" s="1">
        <v>85000</v>
      </c>
      <c r="O848" s="1">
        <v>2015</v>
      </c>
      <c r="P848" s="1">
        <v>85000</v>
      </c>
      <c r="Q848" s="1">
        <v>2015</v>
      </c>
      <c r="R848" s="1" t="s">
        <v>46</v>
      </c>
      <c r="S848" s="1">
        <v>1</v>
      </c>
      <c r="T848" s="1">
        <v>1</v>
      </c>
      <c r="U848" s="1" t="s">
        <v>5094</v>
      </c>
    </row>
    <row r="849" spans="1:29" ht="17.149999999999999" hidden="1" customHeight="1">
      <c r="A849" s="1" t="s">
        <v>5095</v>
      </c>
      <c r="B849" s="1"/>
      <c r="C849" s="1" t="s">
        <v>5096</v>
      </c>
      <c r="D849" s="1"/>
      <c r="E849" s="1"/>
      <c r="F849" s="1"/>
      <c r="G849" s="1"/>
      <c r="H849" s="1" t="s">
        <v>249</v>
      </c>
      <c r="I849" s="1" t="s">
        <v>4091</v>
      </c>
      <c r="J849" s="1" t="s">
        <v>5097</v>
      </c>
      <c r="K849" s="1" t="s">
        <v>4801</v>
      </c>
      <c r="L849" s="1" t="s">
        <v>45</v>
      </c>
      <c r="M849" s="1" t="s">
        <v>5098</v>
      </c>
      <c r="N849" s="1">
        <v>101690</v>
      </c>
      <c r="O849" s="1">
        <v>2018</v>
      </c>
      <c r="P849" s="1">
        <v>105113</v>
      </c>
      <c r="Q849" s="1">
        <v>2018</v>
      </c>
      <c r="R849" s="1" t="s">
        <v>46</v>
      </c>
      <c r="S849" s="1">
        <v>1</v>
      </c>
      <c r="T849" s="1">
        <v>1</v>
      </c>
      <c r="U849" s="1" t="s">
        <v>5099</v>
      </c>
    </row>
    <row r="850" spans="1:29" ht="17.149999999999999" hidden="1" customHeight="1">
      <c r="A850" s="1" t="s">
        <v>5100</v>
      </c>
      <c r="B850" s="1"/>
      <c r="C850" s="1" t="s">
        <v>5101</v>
      </c>
      <c r="D850" s="1"/>
      <c r="E850" s="1"/>
      <c r="F850" s="1"/>
      <c r="G850" s="1"/>
      <c r="H850" s="1" t="s">
        <v>177</v>
      </c>
      <c r="I850" s="1" t="s">
        <v>1412</v>
      </c>
      <c r="J850" s="1" t="s">
        <v>5102</v>
      </c>
      <c r="K850" s="1" t="s">
        <v>5103</v>
      </c>
      <c r="L850" s="1" t="s">
        <v>118</v>
      </c>
      <c r="M850" s="1" t="s">
        <v>5104</v>
      </c>
      <c r="N850" s="1">
        <v>101000</v>
      </c>
      <c r="O850" s="1">
        <v>2019</v>
      </c>
      <c r="P850" s="1">
        <v>84660</v>
      </c>
      <c r="Q850" s="1">
        <v>2019</v>
      </c>
      <c r="R850" s="1" t="s">
        <v>46</v>
      </c>
      <c r="S850" s="1">
        <v>1</v>
      </c>
      <c r="T850" s="1">
        <v>1</v>
      </c>
      <c r="U850" s="1" t="s">
        <v>5105</v>
      </c>
    </row>
    <row r="851" spans="1:29" ht="17.149999999999999" hidden="1" customHeight="1">
      <c r="A851" s="1" t="s">
        <v>5106</v>
      </c>
      <c r="B851" s="1"/>
      <c r="C851" s="1" t="s">
        <v>5107</v>
      </c>
      <c r="D851" s="1"/>
      <c r="E851" s="1"/>
      <c r="F851" s="1"/>
      <c r="G851" s="1"/>
      <c r="H851" s="1" t="s">
        <v>249</v>
      </c>
      <c r="I851" s="1" t="s">
        <v>46</v>
      </c>
      <c r="J851" s="1" t="s">
        <v>4494</v>
      </c>
      <c r="K851" s="1" t="s">
        <v>5108</v>
      </c>
      <c r="L851" s="1" t="s">
        <v>46</v>
      </c>
      <c r="M851" s="1" t="s">
        <v>46</v>
      </c>
      <c r="N851" s="1">
        <v>100000</v>
      </c>
      <c r="O851" s="1">
        <v>2015</v>
      </c>
      <c r="P851" s="1">
        <v>100000</v>
      </c>
      <c r="Q851" s="1">
        <v>2015</v>
      </c>
      <c r="R851" s="1" t="s">
        <v>46</v>
      </c>
      <c r="S851" s="1">
        <v>1</v>
      </c>
      <c r="T851" s="1">
        <v>1</v>
      </c>
      <c r="U851" s="1" t="s">
        <v>1005</v>
      </c>
    </row>
    <row r="852" spans="1:29" ht="17.149999999999999" hidden="1" customHeight="1">
      <c r="A852" s="1" t="s">
        <v>5109</v>
      </c>
      <c r="B852" s="1"/>
      <c r="C852" s="1" t="s">
        <v>5110</v>
      </c>
      <c r="D852" s="1"/>
      <c r="E852" s="1"/>
      <c r="F852" s="1"/>
      <c r="G852" s="1"/>
      <c r="H852" s="1" t="s">
        <v>110</v>
      </c>
      <c r="I852" s="1" t="s">
        <v>46</v>
      </c>
      <c r="J852" s="1" t="s">
        <v>5111</v>
      </c>
      <c r="K852" s="1" t="s">
        <v>5112</v>
      </c>
      <c r="L852" s="1" t="s">
        <v>45</v>
      </c>
      <c r="M852" s="1" t="s">
        <v>46</v>
      </c>
      <c r="N852" s="1">
        <v>84497</v>
      </c>
      <c r="O852" s="1">
        <v>2015</v>
      </c>
      <c r="P852" s="1">
        <v>84497</v>
      </c>
      <c r="Q852" s="1">
        <v>2015</v>
      </c>
      <c r="R852" s="1" t="s">
        <v>46</v>
      </c>
      <c r="S852" s="1">
        <v>1</v>
      </c>
      <c r="T852" s="1">
        <v>1</v>
      </c>
      <c r="U852" s="1" t="s">
        <v>5113</v>
      </c>
    </row>
    <row r="853" spans="1:29" ht="17.149999999999999" hidden="1" customHeight="1">
      <c r="A853" s="1" t="s">
        <v>5114</v>
      </c>
      <c r="B853" s="1"/>
      <c r="C853" s="1" t="s">
        <v>5115</v>
      </c>
      <c r="D853" s="1"/>
      <c r="E853" s="1"/>
      <c r="F853" s="1"/>
      <c r="G853" s="1"/>
      <c r="H853" s="1" t="s">
        <v>177</v>
      </c>
      <c r="I853" s="1" t="s">
        <v>3474</v>
      </c>
      <c r="J853" s="1" t="s">
        <v>5116</v>
      </c>
      <c r="K853" s="1" t="s">
        <v>5117</v>
      </c>
      <c r="L853" s="1" t="s">
        <v>118</v>
      </c>
      <c r="M853" s="1" t="s">
        <v>5118</v>
      </c>
      <c r="N853" s="1">
        <v>84000</v>
      </c>
      <c r="O853" s="1">
        <v>2019</v>
      </c>
      <c r="P853" s="1">
        <v>84000</v>
      </c>
      <c r="Q853" s="1">
        <v>2019</v>
      </c>
      <c r="R853" s="1" t="s">
        <v>46</v>
      </c>
      <c r="S853" s="1">
        <v>1</v>
      </c>
      <c r="T853" s="1">
        <v>1</v>
      </c>
      <c r="U853" s="1" t="s">
        <v>5119</v>
      </c>
      <c r="AC853" s="96"/>
    </row>
    <row r="854" spans="1:29" ht="17.149999999999999" hidden="1" customHeight="1">
      <c r="A854" s="1" t="s">
        <v>5120</v>
      </c>
      <c r="B854" s="1"/>
      <c r="C854" s="1" t="s">
        <v>5121</v>
      </c>
      <c r="D854" s="1"/>
      <c r="E854" s="1"/>
      <c r="F854" s="1"/>
      <c r="G854" s="1"/>
      <c r="H854" s="1" t="s">
        <v>249</v>
      </c>
      <c r="I854" s="1" t="s">
        <v>5122</v>
      </c>
      <c r="J854" s="1" t="s">
        <v>5123</v>
      </c>
      <c r="K854" s="1" t="s">
        <v>5124</v>
      </c>
      <c r="L854" s="1" t="s">
        <v>45</v>
      </c>
      <c r="M854" s="1" t="s">
        <v>46</v>
      </c>
      <c r="N854" s="1">
        <v>99979</v>
      </c>
      <c r="O854" s="1">
        <v>2018</v>
      </c>
      <c r="P854" s="1">
        <v>100221</v>
      </c>
      <c r="Q854" s="1">
        <v>2018</v>
      </c>
      <c r="R854" s="1" t="s">
        <v>46</v>
      </c>
      <c r="S854" s="1">
        <v>1</v>
      </c>
      <c r="T854" s="1">
        <v>1</v>
      </c>
      <c r="U854" s="1" t="s">
        <v>5125</v>
      </c>
    </row>
    <row r="855" spans="1:29" ht="17.149999999999999" hidden="1" customHeight="1">
      <c r="A855" s="1" t="s">
        <v>5126</v>
      </c>
      <c r="B855" s="1"/>
      <c r="C855" s="1" t="s">
        <v>5127</v>
      </c>
      <c r="D855" s="1"/>
      <c r="E855" s="1"/>
      <c r="F855" s="1"/>
      <c r="G855" s="1"/>
      <c r="H855" s="1" t="s">
        <v>249</v>
      </c>
      <c r="I855" s="1" t="s">
        <v>5128</v>
      </c>
      <c r="J855" s="1" t="s">
        <v>5129</v>
      </c>
      <c r="K855" s="1" t="s">
        <v>5130</v>
      </c>
      <c r="L855" s="1" t="s">
        <v>45</v>
      </c>
      <c r="M855" s="1" t="s">
        <v>46</v>
      </c>
      <c r="N855" s="1">
        <v>99274</v>
      </c>
      <c r="O855" s="1">
        <v>2018</v>
      </c>
      <c r="P855" s="1">
        <v>107634</v>
      </c>
      <c r="Q855" s="1">
        <v>2018</v>
      </c>
      <c r="R855" s="1" t="s">
        <v>46</v>
      </c>
      <c r="S855" s="1">
        <v>1</v>
      </c>
      <c r="T855" s="1">
        <v>1</v>
      </c>
      <c r="U855" s="1" t="s">
        <v>5131</v>
      </c>
    </row>
    <row r="856" spans="1:29" ht="17.149999999999999" hidden="1" customHeight="1">
      <c r="A856" s="1" t="s">
        <v>5132</v>
      </c>
      <c r="B856" s="1"/>
      <c r="C856" s="1" t="s">
        <v>5133</v>
      </c>
      <c r="D856" s="1"/>
      <c r="E856" s="1"/>
      <c r="F856" s="1"/>
      <c r="G856" s="1"/>
      <c r="H856" s="1" t="s">
        <v>506</v>
      </c>
      <c r="I856" s="1" t="s">
        <v>46</v>
      </c>
      <c r="J856" s="1" t="s">
        <v>5134</v>
      </c>
      <c r="K856" s="1" t="s">
        <v>5135</v>
      </c>
      <c r="L856" s="1" t="s">
        <v>45</v>
      </c>
      <c r="M856" s="1" t="s">
        <v>46</v>
      </c>
      <c r="N856" s="1">
        <v>90000</v>
      </c>
      <c r="O856" s="1">
        <v>2018</v>
      </c>
      <c r="P856" s="1">
        <v>83450</v>
      </c>
      <c r="Q856" s="1">
        <v>2016</v>
      </c>
      <c r="R856" s="1" t="s">
        <v>46</v>
      </c>
      <c r="S856" s="1">
        <v>1</v>
      </c>
      <c r="T856" s="1">
        <v>1</v>
      </c>
      <c r="U856" s="1" t="s">
        <v>5136</v>
      </c>
    </row>
    <row r="857" spans="1:29" ht="17.149999999999999" hidden="1" customHeight="1">
      <c r="A857" s="1" t="s">
        <v>5137</v>
      </c>
      <c r="B857" s="1"/>
      <c r="C857" s="1" t="s">
        <v>5138</v>
      </c>
      <c r="D857" s="1"/>
      <c r="E857" s="1"/>
      <c r="F857" s="1"/>
      <c r="G857" s="1"/>
      <c r="H857" s="1" t="s">
        <v>249</v>
      </c>
      <c r="I857" s="1" t="s">
        <v>46</v>
      </c>
      <c r="J857" s="1" t="s">
        <v>5139</v>
      </c>
      <c r="K857" s="1" t="s">
        <v>5140</v>
      </c>
      <c r="L857" s="1" t="s">
        <v>46</v>
      </c>
      <c r="M857" s="1" t="s">
        <v>5141</v>
      </c>
      <c r="N857" s="1">
        <v>97936</v>
      </c>
      <c r="O857" s="1">
        <v>2015</v>
      </c>
      <c r="P857" s="1">
        <v>97936</v>
      </c>
      <c r="Q857" s="1">
        <v>2015</v>
      </c>
      <c r="R857" s="1" t="s">
        <v>46</v>
      </c>
      <c r="S857" s="1">
        <v>1</v>
      </c>
      <c r="T857" s="1">
        <v>1</v>
      </c>
      <c r="U857" s="1" t="s">
        <v>1005</v>
      </c>
    </row>
    <row r="858" spans="1:29" ht="17.149999999999999" hidden="1" customHeight="1">
      <c r="A858" s="1" t="s">
        <v>5142</v>
      </c>
      <c r="B858" s="1"/>
      <c r="C858" s="1" t="s">
        <v>5143</v>
      </c>
      <c r="D858" s="1"/>
      <c r="E858" s="1"/>
      <c r="F858" s="1"/>
      <c r="G858" s="1"/>
      <c r="H858" s="1" t="s">
        <v>1669</v>
      </c>
      <c r="I858" s="1" t="s">
        <v>46</v>
      </c>
      <c r="J858" s="1" t="s">
        <v>5144</v>
      </c>
      <c r="K858" s="1" t="s">
        <v>5145</v>
      </c>
      <c r="L858" s="1" t="s">
        <v>45</v>
      </c>
      <c r="M858" s="1" t="s">
        <v>46</v>
      </c>
      <c r="N858" s="1" t="s">
        <v>46</v>
      </c>
      <c r="O858" s="1" t="s">
        <v>46</v>
      </c>
      <c r="P858" s="1">
        <v>83118</v>
      </c>
      <c r="Q858" s="1">
        <v>2015</v>
      </c>
      <c r="R858" s="1" t="s">
        <v>46</v>
      </c>
      <c r="S858" s="1">
        <v>1</v>
      </c>
      <c r="T858" s="1" t="s">
        <v>46</v>
      </c>
      <c r="U858" s="1" t="s">
        <v>5146</v>
      </c>
    </row>
    <row r="859" spans="1:29" ht="17.149999999999999" hidden="1" customHeight="1">
      <c r="A859" s="1" t="s">
        <v>5147</v>
      </c>
      <c r="B859" s="1"/>
      <c r="C859" s="1" t="s">
        <v>5148</v>
      </c>
      <c r="D859" s="1"/>
      <c r="E859" s="1"/>
      <c r="F859" s="1"/>
      <c r="G859" s="1"/>
      <c r="H859" s="1" t="s">
        <v>177</v>
      </c>
      <c r="I859" s="1" t="s">
        <v>3007</v>
      </c>
      <c r="J859" s="1" t="s">
        <v>5149</v>
      </c>
      <c r="K859" s="1" t="s">
        <v>5150</v>
      </c>
      <c r="L859" s="1" t="s">
        <v>118</v>
      </c>
      <c r="M859" s="1" t="s">
        <v>5151</v>
      </c>
      <c r="N859" s="1">
        <v>83000</v>
      </c>
      <c r="O859" s="1">
        <v>2015</v>
      </c>
      <c r="P859" s="1">
        <v>83000</v>
      </c>
      <c r="Q859" s="1">
        <v>2015</v>
      </c>
      <c r="R859" s="1" t="s">
        <v>46</v>
      </c>
      <c r="S859" s="1">
        <v>1</v>
      </c>
      <c r="T859" s="1">
        <v>1</v>
      </c>
      <c r="U859" s="1" t="s">
        <v>5152</v>
      </c>
    </row>
    <row r="860" spans="1:29" ht="17.149999999999999" hidden="1" customHeight="1">
      <c r="A860" s="1" t="s">
        <v>5153</v>
      </c>
      <c r="B860" s="1"/>
      <c r="C860" s="1" t="s">
        <v>5154</v>
      </c>
      <c r="D860" s="1"/>
      <c r="E860" s="1"/>
      <c r="F860" s="1"/>
      <c r="G860" s="1"/>
      <c r="H860" s="1" t="s">
        <v>1367</v>
      </c>
      <c r="I860" s="1" t="s">
        <v>46</v>
      </c>
      <c r="J860" s="1" t="s">
        <v>5155</v>
      </c>
      <c r="K860" s="1" t="s">
        <v>5156</v>
      </c>
      <c r="L860" s="1" t="s">
        <v>45</v>
      </c>
      <c r="M860" s="1" t="s">
        <v>46</v>
      </c>
      <c r="N860" s="1">
        <v>100164</v>
      </c>
      <c r="O860" s="1">
        <v>2017</v>
      </c>
      <c r="P860" s="1">
        <v>82539</v>
      </c>
      <c r="Q860" s="1">
        <v>2017</v>
      </c>
      <c r="R860" s="1" t="s">
        <v>46</v>
      </c>
      <c r="S860" s="1">
        <v>1</v>
      </c>
      <c r="T860" s="1">
        <v>1</v>
      </c>
      <c r="U860" s="1" t="s">
        <v>5157</v>
      </c>
    </row>
    <row r="861" spans="1:29" ht="17.149999999999999" hidden="1" customHeight="1">
      <c r="A861" s="1" t="s">
        <v>5158</v>
      </c>
      <c r="B861" s="1"/>
      <c r="C861" s="1" t="s">
        <v>5159</v>
      </c>
      <c r="D861" s="1"/>
      <c r="E861" s="1"/>
      <c r="F861" s="1"/>
      <c r="G861" s="1"/>
      <c r="H861" s="1" t="s">
        <v>249</v>
      </c>
      <c r="I861" s="1" t="s">
        <v>5160</v>
      </c>
      <c r="J861" s="1" t="s">
        <v>5161</v>
      </c>
      <c r="K861" s="1" t="s">
        <v>5162</v>
      </c>
      <c r="L861" s="1" t="s">
        <v>45</v>
      </c>
      <c r="M861" s="1" t="s">
        <v>46</v>
      </c>
      <c r="N861" s="1">
        <v>97785</v>
      </c>
      <c r="O861" s="1">
        <v>2018</v>
      </c>
      <c r="P861" s="1">
        <v>117521</v>
      </c>
      <c r="Q861" s="1">
        <v>2018</v>
      </c>
      <c r="R861" s="1" t="s">
        <v>46</v>
      </c>
      <c r="S861" s="1">
        <v>1</v>
      </c>
      <c r="T861" s="1" t="s">
        <v>46</v>
      </c>
      <c r="U861" s="1" t="s">
        <v>5163</v>
      </c>
    </row>
    <row r="862" spans="1:29" ht="17.149999999999999" hidden="1" customHeight="1">
      <c r="A862" s="1" t="s">
        <v>5164</v>
      </c>
      <c r="B862" s="1"/>
      <c r="C862" s="1" t="s">
        <v>5165</v>
      </c>
      <c r="D862" s="1"/>
      <c r="E862" s="1"/>
      <c r="F862" s="1"/>
      <c r="G862" s="1"/>
      <c r="H862" s="1" t="s">
        <v>1938</v>
      </c>
      <c r="I862" s="1" t="s">
        <v>4156</v>
      </c>
      <c r="J862" s="1" t="s">
        <v>5166</v>
      </c>
      <c r="K862" s="1" t="s">
        <v>5167</v>
      </c>
      <c r="L862" s="1" t="s">
        <v>45</v>
      </c>
      <c r="M862" s="1" t="s">
        <v>46</v>
      </c>
      <c r="N862" s="1" t="s">
        <v>46</v>
      </c>
      <c r="O862" s="1" t="s">
        <v>46</v>
      </c>
      <c r="P862" s="1">
        <v>82285</v>
      </c>
      <c r="Q862" s="1">
        <v>2019</v>
      </c>
      <c r="R862" s="1" t="s">
        <v>46</v>
      </c>
      <c r="S862" s="1">
        <v>1</v>
      </c>
      <c r="T862" s="1">
        <v>1</v>
      </c>
      <c r="U862" s="1" t="s">
        <v>5168</v>
      </c>
    </row>
    <row r="863" spans="1:29" ht="17.149999999999999" hidden="1" customHeight="1">
      <c r="A863" s="1" t="s">
        <v>5169</v>
      </c>
      <c r="B863" s="1"/>
      <c r="C863" s="1" t="s">
        <v>5170</v>
      </c>
      <c r="D863" s="1"/>
      <c r="E863" s="1"/>
      <c r="F863" s="1"/>
      <c r="G863" s="1"/>
      <c r="H863" s="1" t="s">
        <v>506</v>
      </c>
      <c r="I863" s="1" t="s">
        <v>46</v>
      </c>
      <c r="J863" s="1" t="s">
        <v>5171</v>
      </c>
      <c r="K863" s="1" t="s">
        <v>5172</v>
      </c>
      <c r="L863" s="1" t="s">
        <v>45</v>
      </c>
      <c r="M863" s="1" t="s">
        <v>46</v>
      </c>
      <c r="N863" s="1">
        <v>82055</v>
      </c>
      <c r="O863" s="1">
        <v>2016</v>
      </c>
      <c r="P863" s="1">
        <v>82055</v>
      </c>
      <c r="Q863" s="1">
        <v>2016</v>
      </c>
      <c r="R863" s="1" t="s">
        <v>46</v>
      </c>
      <c r="S863" s="1">
        <v>1</v>
      </c>
      <c r="T863" s="1">
        <v>1</v>
      </c>
      <c r="U863" s="1" t="s">
        <v>5173</v>
      </c>
    </row>
    <row r="864" spans="1:29" ht="17.149999999999999" hidden="1" customHeight="1">
      <c r="A864" s="1" t="s">
        <v>5174</v>
      </c>
      <c r="B864" s="1"/>
      <c r="C864" s="1" t="s">
        <v>5175</v>
      </c>
      <c r="D864" s="1"/>
      <c r="E864" s="1"/>
      <c r="F864" s="1"/>
      <c r="G864" s="1"/>
      <c r="H864" s="1" t="s">
        <v>500</v>
      </c>
      <c r="I864" s="1" t="s">
        <v>46</v>
      </c>
      <c r="J864" s="1" t="s">
        <v>5176</v>
      </c>
      <c r="K864" s="1" t="s">
        <v>5177</v>
      </c>
      <c r="L864" s="1" t="s">
        <v>45</v>
      </c>
      <c r="M864" s="1" t="s">
        <v>46</v>
      </c>
      <c r="N864" s="1">
        <v>82000</v>
      </c>
      <c r="O864" s="1">
        <v>2016</v>
      </c>
      <c r="P864" s="1">
        <v>82000</v>
      </c>
      <c r="Q864" s="1">
        <v>2016</v>
      </c>
      <c r="R864" s="1" t="s">
        <v>46</v>
      </c>
      <c r="S864" s="1">
        <v>1</v>
      </c>
      <c r="T864" s="1">
        <v>1</v>
      </c>
      <c r="U864" s="1" t="s">
        <v>5178</v>
      </c>
    </row>
    <row r="865" spans="1:32" ht="17.149999999999999" hidden="1" customHeight="1">
      <c r="A865" s="21" t="s">
        <v>5179</v>
      </c>
      <c r="B865" s="21" t="s">
        <v>37</v>
      </c>
      <c r="C865" s="60" t="s">
        <v>5180</v>
      </c>
      <c r="D865" s="65"/>
      <c r="E865" s="65"/>
      <c r="F865" s="65"/>
      <c r="G865" s="65"/>
      <c r="H865" s="21" t="s">
        <v>41</v>
      </c>
      <c r="I865" s="21" t="s">
        <v>2785</v>
      </c>
      <c r="J865" s="21" t="s">
        <v>5181</v>
      </c>
      <c r="K865" s="21" t="s">
        <v>5182</v>
      </c>
      <c r="L865" s="21" t="s">
        <v>45</v>
      </c>
      <c r="M865" s="21" t="s">
        <v>46</v>
      </c>
      <c r="N865" s="21">
        <v>82665</v>
      </c>
      <c r="O865" s="21">
        <v>2016</v>
      </c>
      <c r="P865" s="21">
        <v>82000</v>
      </c>
      <c r="Q865" s="21">
        <v>2016</v>
      </c>
      <c r="R865" s="21" t="s">
        <v>46</v>
      </c>
      <c r="S865" s="21">
        <v>1</v>
      </c>
      <c r="T865" s="21">
        <v>1</v>
      </c>
      <c r="U865" s="21" t="s">
        <v>5183</v>
      </c>
      <c r="V865" s="22" t="s">
        <v>103</v>
      </c>
      <c r="W865" s="22"/>
      <c r="X865" s="22"/>
      <c r="Y865" s="22"/>
      <c r="Z865" s="22"/>
      <c r="AA865" s="22"/>
      <c r="AB865" s="22"/>
      <c r="AC865" s="22" t="s">
        <v>5184</v>
      </c>
      <c r="AD865" s="22"/>
    </row>
    <row r="866" spans="1:32" ht="17.149999999999999" customHeight="1">
      <c r="A866" s="14" t="s">
        <v>5185</v>
      </c>
      <c r="B866" s="14" t="s">
        <v>37</v>
      </c>
      <c r="C866" s="90" t="s">
        <v>5186</v>
      </c>
      <c r="D866" s="166" t="s">
        <v>5186</v>
      </c>
      <c r="E866" s="167" t="s">
        <v>5186</v>
      </c>
      <c r="F866" s="17" t="s">
        <v>62</v>
      </c>
      <c r="G866" s="17" t="s">
        <v>57</v>
      </c>
      <c r="H866" s="14" t="s">
        <v>41</v>
      </c>
      <c r="I866" s="14" t="s">
        <v>63</v>
      </c>
      <c r="J866" s="14" t="s">
        <v>5187</v>
      </c>
      <c r="K866" s="14" t="s">
        <v>5188</v>
      </c>
      <c r="L866" s="14" t="s">
        <v>45</v>
      </c>
      <c r="M866" s="14" t="s">
        <v>46</v>
      </c>
      <c r="N866" s="14" t="s">
        <v>46</v>
      </c>
      <c r="O866" s="14" t="s">
        <v>46</v>
      </c>
      <c r="P866" s="16">
        <v>81857</v>
      </c>
      <c r="Q866" s="16">
        <v>2021</v>
      </c>
      <c r="R866" s="14" t="s">
        <v>46</v>
      </c>
      <c r="S866" s="14">
        <v>1</v>
      </c>
      <c r="T866" s="14">
        <v>1</v>
      </c>
      <c r="U866" s="14" t="s">
        <v>5189</v>
      </c>
      <c r="V866" s="6" t="s">
        <v>40</v>
      </c>
      <c r="W866" s="6" t="s">
        <v>323</v>
      </c>
      <c r="X866" s="165" t="s">
        <v>40</v>
      </c>
      <c r="Y866" s="165" t="s">
        <v>140</v>
      </c>
      <c r="Z866" s="6" t="s">
        <v>5190</v>
      </c>
      <c r="AA866" s="5" t="s">
        <v>5191</v>
      </c>
      <c r="AB866" s="6"/>
      <c r="AC866" s="5" t="s">
        <v>5192</v>
      </c>
      <c r="AD866" s="165" t="s">
        <v>40</v>
      </c>
      <c r="AE866" s="2">
        <v>1</v>
      </c>
      <c r="AF866" s="2" t="s">
        <v>53</v>
      </c>
    </row>
    <row r="867" spans="1:32" ht="17.149999999999999" hidden="1" customHeight="1">
      <c r="A867" s="1" t="s">
        <v>5193</v>
      </c>
      <c r="B867" s="1"/>
      <c r="C867" s="1" t="s">
        <v>5194</v>
      </c>
      <c r="D867" s="1"/>
      <c r="E867" s="1"/>
      <c r="F867" s="1"/>
      <c r="G867" s="1"/>
      <c r="H867" s="1" t="s">
        <v>1669</v>
      </c>
      <c r="I867" s="1" t="s">
        <v>46</v>
      </c>
      <c r="J867" s="1" t="s">
        <v>5195</v>
      </c>
      <c r="K867" s="1" t="s">
        <v>5196</v>
      </c>
      <c r="L867" s="1" t="s">
        <v>45</v>
      </c>
      <c r="M867" s="1" t="s">
        <v>46</v>
      </c>
      <c r="N867" s="1">
        <v>73413</v>
      </c>
      <c r="O867" s="1">
        <v>2023</v>
      </c>
      <c r="P867" s="1">
        <v>81833</v>
      </c>
      <c r="Q867" s="1">
        <v>2023</v>
      </c>
      <c r="R867" s="1" t="s">
        <v>46</v>
      </c>
      <c r="S867" s="1">
        <v>1</v>
      </c>
      <c r="T867" s="1" t="s">
        <v>46</v>
      </c>
      <c r="U867" s="1" t="s">
        <v>5197</v>
      </c>
    </row>
    <row r="868" spans="1:32" ht="17.149999999999999" hidden="1" customHeight="1">
      <c r="A868" s="1" t="s">
        <v>5198</v>
      </c>
      <c r="B868" s="1"/>
      <c r="C868" s="1" t="s">
        <v>5199</v>
      </c>
      <c r="D868" s="1"/>
      <c r="E868" s="1"/>
      <c r="F868" s="1"/>
      <c r="G868" s="1"/>
      <c r="H868" s="1" t="s">
        <v>1753</v>
      </c>
      <c r="I868" s="1" t="s">
        <v>46</v>
      </c>
      <c r="J868" s="1" t="s">
        <v>5200</v>
      </c>
      <c r="K868" s="1" t="s">
        <v>5201</v>
      </c>
      <c r="L868" s="1" t="s">
        <v>45</v>
      </c>
      <c r="M868" s="1" t="s">
        <v>46</v>
      </c>
      <c r="N868" s="1">
        <v>108118</v>
      </c>
      <c r="O868" s="1">
        <v>2017</v>
      </c>
      <c r="P868" s="1">
        <v>81609</v>
      </c>
      <c r="Q868" s="1">
        <v>2017</v>
      </c>
      <c r="R868" s="1" t="s">
        <v>46</v>
      </c>
      <c r="S868" s="1">
        <v>1</v>
      </c>
      <c r="T868" s="1" t="s">
        <v>46</v>
      </c>
      <c r="U868" s="1" t="s">
        <v>5202</v>
      </c>
    </row>
    <row r="869" spans="1:32" ht="17.149999999999999" hidden="1" customHeight="1">
      <c r="A869" s="1" t="s">
        <v>5203</v>
      </c>
      <c r="B869" s="1"/>
      <c r="C869" s="1" t="s">
        <v>5204</v>
      </c>
      <c r="D869" s="1"/>
      <c r="E869" s="1"/>
      <c r="F869" s="1"/>
      <c r="G869" s="1"/>
      <c r="H869" s="1" t="s">
        <v>110</v>
      </c>
      <c r="I869" s="1" t="s">
        <v>46</v>
      </c>
      <c r="J869" s="1" t="s">
        <v>258</v>
      </c>
      <c r="K869" s="1" t="s">
        <v>5205</v>
      </c>
      <c r="L869" s="1" t="s">
        <v>45</v>
      </c>
      <c r="M869" s="1" t="s">
        <v>46</v>
      </c>
      <c r="N869" s="1" t="s">
        <v>46</v>
      </c>
      <c r="O869" s="1" t="s">
        <v>46</v>
      </c>
      <c r="P869" s="1">
        <v>81579</v>
      </c>
      <c r="Q869" s="1">
        <v>2015</v>
      </c>
      <c r="R869" s="1" t="s">
        <v>46</v>
      </c>
      <c r="S869" s="1">
        <v>1</v>
      </c>
      <c r="T869" s="1">
        <v>1</v>
      </c>
      <c r="U869" s="1" t="s">
        <v>5206</v>
      </c>
    </row>
    <row r="870" spans="1:32" ht="17.149999999999999" hidden="1" customHeight="1">
      <c r="A870" s="1" t="s">
        <v>5207</v>
      </c>
      <c r="B870" s="1"/>
      <c r="C870" s="1" t="s">
        <v>5208</v>
      </c>
      <c r="D870" s="1"/>
      <c r="E870" s="1"/>
      <c r="F870" s="1"/>
      <c r="G870" s="1"/>
      <c r="H870" s="1" t="s">
        <v>249</v>
      </c>
      <c r="I870" s="1" t="s">
        <v>1563</v>
      </c>
      <c r="J870" s="1" t="s">
        <v>5209</v>
      </c>
      <c r="K870" s="1" t="s">
        <v>5210</v>
      </c>
      <c r="L870" s="1" t="s">
        <v>45</v>
      </c>
      <c r="M870" s="1" t="s">
        <v>5211</v>
      </c>
      <c r="N870" s="1">
        <v>97383</v>
      </c>
      <c r="O870" s="1">
        <v>2018</v>
      </c>
      <c r="P870" s="1">
        <v>82475</v>
      </c>
      <c r="Q870" s="1">
        <v>2018</v>
      </c>
      <c r="R870" s="1" t="s">
        <v>46</v>
      </c>
      <c r="S870" s="1">
        <v>1</v>
      </c>
      <c r="T870" s="1">
        <v>1</v>
      </c>
      <c r="U870" s="1" t="s">
        <v>5212</v>
      </c>
    </row>
    <row r="871" spans="1:32" ht="17.149999999999999" hidden="1" customHeight="1">
      <c r="A871" s="1" t="s">
        <v>5213</v>
      </c>
      <c r="B871" s="1"/>
      <c r="C871" s="1" t="s">
        <v>5214</v>
      </c>
      <c r="D871" s="1"/>
      <c r="E871" s="1"/>
      <c r="F871" s="1"/>
      <c r="G871" s="1"/>
      <c r="H871" s="1" t="s">
        <v>177</v>
      </c>
      <c r="I871" s="1" t="s">
        <v>345</v>
      </c>
      <c r="J871" s="1" t="s">
        <v>4141</v>
      </c>
      <c r="K871" s="1" t="s">
        <v>5215</v>
      </c>
      <c r="L871" s="1" t="s">
        <v>45</v>
      </c>
      <c r="M871" s="1" t="s">
        <v>46</v>
      </c>
      <c r="N871" s="1">
        <v>81000</v>
      </c>
      <c r="O871" s="1">
        <v>2015</v>
      </c>
      <c r="P871" s="1">
        <v>81000</v>
      </c>
      <c r="Q871" s="1">
        <v>2015</v>
      </c>
      <c r="R871" s="1" t="s">
        <v>46</v>
      </c>
      <c r="S871" s="1">
        <v>1</v>
      </c>
      <c r="T871" s="1">
        <v>1</v>
      </c>
      <c r="U871" s="1" t="s">
        <v>5216</v>
      </c>
    </row>
    <row r="872" spans="1:32" ht="17.149999999999999" hidden="1" customHeight="1">
      <c r="A872" s="1" t="s">
        <v>5217</v>
      </c>
      <c r="B872" s="1"/>
      <c r="C872" s="1" t="s">
        <v>5218</v>
      </c>
      <c r="D872" s="1"/>
      <c r="E872" s="1"/>
      <c r="F872" s="1"/>
      <c r="G872" s="1"/>
      <c r="H872" s="1" t="s">
        <v>1669</v>
      </c>
      <c r="I872" s="1" t="s">
        <v>46</v>
      </c>
      <c r="J872" s="1" t="s">
        <v>5219</v>
      </c>
      <c r="K872" s="1" t="s">
        <v>5220</v>
      </c>
      <c r="L872" s="1" t="s">
        <v>45</v>
      </c>
      <c r="M872" s="1" t="s">
        <v>46</v>
      </c>
      <c r="N872" s="1">
        <v>44666</v>
      </c>
      <c r="O872" s="1">
        <v>2023</v>
      </c>
      <c r="P872" s="1">
        <v>80352</v>
      </c>
      <c r="Q872" s="1">
        <v>2023</v>
      </c>
      <c r="R872" s="1" t="s">
        <v>46</v>
      </c>
      <c r="S872" s="1">
        <v>1</v>
      </c>
      <c r="T872" s="1" t="s">
        <v>46</v>
      </c>
      <c r="U872" s="1" t="s">
        <v>5221</v>
      </c>
    </row>
    <row r="873" spans="1:32" ht="17.149999999999999" hidden="1" customHeight="1">
      <c r="A873" s="1" t="s">
        <v>5222</v>
      </c>
      <c r="B873" s="1"/>
      <c r="C873" s="1" t="s">
        <v>5223</v>
      </c>
      <c r="D873" s="1"/>
      <c r="E873" s="1"/>
      <c r="F873" s="1"/>
      <c r="G873" s="1"/>
      <c r="H873" s="1" t="s">
        <v>1171</v>
      </c>
      <c r="I873" s="1" t="s">
        <v>46</v>
      </c>
      <c r="J873" s="1" t="s">
        <v>5224</v>
      </c>
      <c r="K873" s="1" t="s">
        <v>5225</v>
      </c>
      <c r="L873" s="1" t="s">
        <v>45</v>
      </c>
      <c r="M873" s="1" t="s">
        <v>46</v>
      </c>
      <c r="N873" s="1">
        <v>109047</v>
      </c>
      <c r="O873" s="1">
        <v>2017</v>
      </c>
      <c r="P873" s="1">
        <v>80177</v>
      </c>
      <c r="Q873" s="1">
        <v>2017</v>
      </c>
      <c r="R873" s="1" t="s">
        <v>46</v>
      </c>
      <c r="S873" s="1">
        <v>1</v>
      </c>
      <c r="T873" s="1" t="s">
        <v>46</v>
      </c>
      <c r="U873" s="1" t="s">
        <v>5226</v>
      </c>
    </row>
    <row r="874" spans="1:32" ht="17.149999999999999" hidden="1" customHeight="1">
      <c r="A874" s="1" t="s">
        <v>5227</v>
      </c>
      <c r="B874" s="1"/>
      <c r="C874" s="1" t="s">
        <v>5228</v>
      </c>
      <c r="D874" s="1"/>
      <c r="E874" s="1"/>
      <c r="F874" s="1"/>
      <c r="G874" s="1"/>
      <c r="H874" s="1" t="s">
        <v>110</v>
      </c>
      <c r="I874" s="1" t="s">
        <v>46</v>
      </c>
      <c r="J874" s="1" t="s">
        <v>5229</v>
      </c>
      <c r="K874" s="1" t="s">
        <v>5230</v>
      </c>
      <c r="L874" s="1" t="s">
        <v>45</v>
      </c>
      <c r="M874" s="1" t="s">
        <v>46</v>
      </c>
      <c r="N874" s="1" t="s">
        <v>46</v>
      </c>
      <c r="O874" s="1" t="s">
        <v>46</v>
      </c>
      <c r="P874" s="1">
        <v>80000</v>
      </c>
      <c r="Q874" s="1">
        <v>2019</v>
      </c>
      <c r="R874" s="1" t="s">
        <v>46</v>
      </c>
      <c r="S874" s="1">
        <v>1</v>
      </c>
      <c r="T874" s="1">
        <v>1</v>
      </c>
      <c r="U874" s="1" t="s">
        <v>5231</v>
      </c>
    </row>
    <row r="875" spans="1:32" ht="17.149999999999999" hidden="1" customHeight="1">
      <c r="A875" s="1" t="s">
        <v>5232</v>
      </c>
      <c r="B875" s="1"/>
      <c r="C875" s="1" t="s">
        <v>5233</v>
      </c>
      <c r="D875" s="1"/>
      <c r="E875" s="1"/>
      <c r="F875" s="1"/>
      <c r="G875" s="1"/>
      <c r="H875" s="1" t="s">
        <v>506</v>
      </c>
      <c r="I875" s="1" t="s">
        <v>46</v>
      </c>
      <c r="J875" s="1" t="s">
        <v>5234</v>
      </c>
      <c r="K875" s="1" t="s">
        <v>5235</v>
      </c>
      <c r="L875" s="1" t="s">
        <v>45</v>
      </c>
      <c r="M875" s="1" t="s">
        <v>46</v>
      </c>
      <c r="N875" s="1">
        <v>80000</v>
      </c>
      <c r="O875" s="1">
        <v>2016</v>
      </c>
      <c r="P875" s="1">
        <v>80000</v>
      </c>
      <c r="Q875" s="1">
        <v>2016</v>
      </c>
      <c r="R875" s="1" t="s">
        <v>46</v>
      </c>
      <c r="S875" s="1">
        <v>1</v>
      </c>
      <c r="T875" s="1">
        <v>1</v>
      </c>
      <c r="U875" s="1" t="s">
        <v>5236</v>
      </c>
    </row>
    <row r="876" spans="1:32" ht="17.149999999999999" hidden="1" customHeight="1">
      <c r="A876" s="1" t="s">
        <v>5237</v>
      </c>
      <c r="B876" s="1"/>
      <c r="C876" s="1" t="s">
        <v>5238</v>
      </c>
      <c r="D876" s="1"/>
      <c r="E876" s="1"/>
      <c r="F876" s="1"/>
      <c r="G876" s="1"/>
      <c r="H876" s="1" t="s">
        <v>177</v>
      </c>
      <c r="I876" s="1" t="s">
        <v>5239</v>
      </c>
      <c r="J876" s="1" t="s">
        <v>5239</v>
      </c>
      <c r="K876" s="1" t="s">
        <v>5240</v>
      </c>
      <c r="L876" s="1" t="s">
        <v>45</v>
      </c>
      <c r="M876" s="1" t="s">
        <v>46</v>
      </c>
      <c r="N876" s="1">
        <v>80000</v>
      </c>
      <c r="O876" s="1">
        <v>2019</v>
      </c>
      <c r="P876" s="1">
        <v>80000</v>
      </c>
      <c r="Q876" s="1">
        <v>2019</v>
      </c>
      <c r="R876" s="1" t="s">
        <v>46</v>
      </c>
      <c r="S876" s="1">
        <v>1</v>
      </c>
      <c r="T876" s="1">
        <v>1</v>
      </c>
      <c r="U876" s="1" t="s">
        <v>5241</v>
      </c>
    </row>
    <row r="877" spans="1:32" ht="17.149999999999999" hidden="1" customHeight="1">
      <c r="A877" s="14" t="s">
        <v>5242</v>
      </c>
      <c r="B877" s="14" t="s">
        <v>37</v>
      </c>
      <c r="C877" s="90" t="s">
        <v>5243</v>
      </c>
      <c r="D877" s="61"/>
      <c r="E877" s="61"/>
      <c r="F877" s="61"/>
      <c r="G877" s="61"/>
      <c r="H877" s="14" t="s">
        <v>41</v>
      </c>
      <c r="I877" s="14" t="s">
        <v>63</v>
      </c>
      <c r="J877" s="14" t="s">
        <v>5244</v>
      </c>
      <c r="K877" s="14" t="s">
        <v>5245</v>
      </c>
      <c r="L877" s="14" t="s">
        <v>45</v>
      </c>
      <c r="M877" s="14" t="s">
        <v>46</v>
      </c>
      <c r="N877" s="14" t="s">
        <v>46</v>
      </c>
      <c r="O877" s="14" t="s">
        <v>46</v>
      </c>
      <c r="P877" s="14">
        <v>80000</v>
      </c>
      <c r="Q877" s="14">
        <v>2015</v>
      </c>
      <c r="R877" s="14" t="s">
        <v>46</v>
      </c>
      <c r="S877" s="14">
        <v>1</v>
      </c>
      <c r="T877" s="14">
        <v>1</v>
      </c>
      <c r="U877" s="14" t="s">
        <v>5246</v>
      </c>
      <c r="V877" s="6" t="s">
        <v>5247</v>
      </c>
      <c r="W877" s="6" t="s">
        <v>5248</v>
      </c>
      <c r="X877" s="8" t="s">
        <v>103</v>
      </c>
      <c r="Y877" s="8"/>
      <c r="Z877" s="6" t="s">
        <v>5249</v>
      </c>
      <c r="AA877" s="6" t="s">
        <v>5250</v>
      </c>
      <c r="AB877" s="76" t="s">
        <v>5251</v>
      </c>
      <c r="AC877" s="6" t="s">
        <v>5252</v>
      </c>
      <c r="AD877" s="8" t="s">
        <v>286</v>
      </c>
    </row>
    <row r="878" spans="1:32" ht="17.149999999999999" hidden="1" customHeight="1">
      <c r="A878" s="1" t="s">
        <v>5253</v>
      </c>
      <c r="B878" s="1"/>
      <c r="C878" s="1" t="s">
        <v>5254</v>
      </c>
      <c r="D878" s="1"/>
      <c r="E878" s="1"/>
      <c r="F878" s="1"/>
      <c r="G878" s="1"/>
      <c r="H878" s="1" t="s">
        <v>1279</v>
      </c>
      <c r="I878" s="1" t="s">
        <v>46</v>
      </c>
      <c r="J878" s="1" t="s">
        <v>5255</v>
      </c>
      <c r="K878" s="1" t="s">
        <v>5256</v>
      </c>
      <c r="L878" s="1" t="s">
        <v>45</v>
      </c>
      <c r="M878" s="1" t="s">
        <v>46</v>
      </c>
      <c r="N878" s="1">
        <v>138000</v>
      </c>
      <c r="O878" s="1">
        <v>2019</v>
      </c>
      <c r="P878" s="1">
        <v>80000</v>
      </c>
      <c r="Q878" s="1">
        <v>2019</v>
      </c>
      <c r="R878" s="1" t="s">
        <v>46</v>
      </c>
      <c r="S878" s="1">
        <v>1</v>
      </c>
      <c r="T878" s="1" t="s">
        <v>46</v>
      </c>
      <c r="U878" s="1" t="s">
        <v>5257</v>
      </c>
    </row>
    <row r="879" spans="1:32" ht="17.149999999999999" hidden="1" customHeight="1">
      <c r="A879" s="1" t="s">
        <v>5258</v>
      </c>
      <c r="B879" s="1"/>
      <c r="C879" s="1" t="s">
        <v>5259</v>
      </c>
      <c r="D879" s="1"/>
      <c r="E879" s="1"/>
      <c r="F879" s="1"/>
      <c r="G879" s="1"/>
      <c r="H879" s="1" t="s">
        <v>506</v>
      </c>
      <c r="I879" s="1" t="s">
        <v>46</v>
      </c>
      <c r="J879" s="1" t="s">
        <v>5260</v>
      </c>
      <c r="K879" s="1" t="s">
        <v>5261</v>
      </c>
      <c r="L879" s="1" t="s">
        <v>45</v>
      </c>
      <c r="M879" s="1" t="s">
        <v>46</v>
      </c>
      <c r="N879" s="1">
        <v>130000</v>
      </c>
      <c r="O879" s="1">
        <v>2018</v>
      </c>
      <c r="P879" s="1">
        <v>80000</v>
      </c>
      <c r="Q879" s="1">
        <v>2016</v>
      </c>
      <c r="R879" s="1" t="s">
        <v>46</v>
      </c>
      <c r="S879" s="1">
        <v>1</v>
      </c>
      <c r="T879" s="1">
        <v>1</v>
      </c>
      <c r="U879" s="1" t="s">
        <v>5262</v>
      </c>
    </row>
    <row r="880" spans="1:32" s="44" customFormat="1" ht="17.149999999999999" hidden="1" customHeight="1">
      <c r="A880" s="21" t="s">
        <v>5263</v>
      </c>
      <c r="B880" s="21"/>
      <c r="C880" s="21" t="s">
        <v>5264</v>
      </c>
      <c r="D880" s="17"/>
      <c r="E880" s="17"/>
      <c r="F880" s="17"/>
      <c r="G880" s="17"/>
      <c r="H880" s="21" t="s">
        <v>41</v>
      </c>
      <c r="I880" s="21" t="s">
        <v>42</v>
      </c>
      <c r="J880" s="21" t="s">
        <v>5265</v>
      </c>
      <c r="K880" s="21" t="s">
        <v>5266</v>
      </c>
      <c r="L880" s="21" t="s">
        <v>45</v>
      </c>
      <c r="M880" s="21" t="s">
        <v>46</v>
      </c>
      <c r="N880" s="21" t="s">
        <v>46</v>
      </c>
      <c r="O880" s="21" t="s">
        <v>46</v>
      </c>
      <c r="P880" s="21">
        <v>80000</v>
      </c>
      <c r="Q880" s="21">
        <v>2015</v>
      </c>
      <c r="R880" s="21" t="s">
        <v>46</v>
      </c>
      <c r="S880" s="21">
        <v>1</v>
      </c>
      <c r="T880" s="21">
        <v>1</v>
      </c>
      <c r="U880" s="21" t="s">
        <v>5267</v>
      </c>
      <c r="V880" s="22"/>
      <c r="W880" s="22"/>
      <c r="X880" s="22"/>
      <c r="Y880" s="22"/>
      <c r="Z880" s="22"/>
      <c r="AA880" s="22"/>
      <c r="AB880" s="22"/>
      <c r="AC880" s="22"/>
      <c r="AD880" s="22"/>
    </row>
    <row r="881" spans="1:36" ht="17.149999999999999" hidden="1" customHeight="1">
      <c r="A881" s="1" t="s">
        <v>5268</v>
      </c>
      <c r="B881" s="1"/>
      <c r="C881" s="1" t="s">
        <v>5269</v>
      </c>
      <c r="D881" s="1"/>
      <c r="E881" s="1"/>
      <c r="F881" s="1"/>
      <c r="G881" s="1"/>
      <c r="H881" s="1" t="s">
        <v>506</v>
      </c>
      <c r="I881" s="1" t="s">
        <v>46</v>
      </c>
      <c r="J881" s="1" t="s">
        <v>5270</v>
      </c>
      <c r="K881" s="1" t="s">
        <v>5271</v>
      </c>
      <c r="L881" s="1" t="s">
        <v>45</v>
      </c>
      <c r="M881" s="1" t="s">
        <v>46</v>
      </c>
      <c r="N881" s="1">
        <v>90000</v>
      </c>
      <c r="O881" s="1">
        <v>2016</v>
      </c>
      <c r="P881" s="1">
        <v>80000</v>
      </c>
      <c r="Q881" s="1">
        <v>2016</v>
      </c>
      <c r="R881" s="1" t="s">
        <v>46</v>
      </c>
      <c r="S881" s="1">
        <v>1</v>
      </c>
      <c r="T881" s="1">
        <v>1</v>
      </c>
      <c r="U881" s="1" t="s">
        <v>5272</v>
      </c>
    </row>
    <row r="882" spans="1:36" ht="17.149999999999999" hidden="1" customHeight="1">
      <c r="A882" s="1" t="s">
        <v>5273</v>
      </c>
      <c r="B882" s="1"/>
      <c r="C882" s="1" t="s">
        <v>5274</v>
      </c>
      <c r="D882" s="1"/>
      <c r="E882" s="1"/>
      <c r="F882" s="1"/>
      <c r="G882" s="1"/>
      <c r="H882" s="1" t="s">
        <v>249</v>
      </c>
      <c r="I882" s="1" t="s">
        <v>5275</v>
      </c>
      <c r="J882" s="1" t="s">
        <v>5276</v>
      </c>
      <c r="K882" s="1" t="s">
        <v>5277</v>
      </c>
      <c r="L882" s="1" t="s">
        <v>45</v>
      </c>
      <c r="M882" s="1" t="s">
        <v>4496</v>
      </c>
      <c r="N882" s="1">
        <v>97323</v>
      </c>
      <c r="O882" s="1">
        <v>2018</v>
      </c>
      <c r="P882" s="1">
        <v>110061</v>
      </c>
      <c r="Q882" s="1">
        <v>2018</v>
      </c>
      <c r="R882" s="1" t="s">
        <v>46</v>
      </c>
      <c r="S882" s="1">
        <v>1</v>
      </c>
      <c r="T882" s="1">
        <v>1</v>
      </c>
      <c r="U882" s="1" t="s">
        <v>5278</v>
      </c>
    </row>
    <row r="883" spans="1:36" ht="17.149999999999999" hidden="1" customHeight="1">
      <c r="A883" s="1" t="s">
        <v>5279</v>
      </c>
      <c r="B883" s="1"/>
      <c r="C883" s="1" t="s">
        <v>5280</v>
      </c>
      <c r="D883" s="1"/>
      <c r="E883" s="1"/>
      <c r="F883" s="1"/>
      <c r="G883" s="1"/>
      <c r="H883" s="1" t="s">
        <v>249</v>
      </c>
      <c r="I883" s="1" t="s">
        <v>4425</v>
      </c>
      <c r="J883" s="1" t="s">
        <v>5281</v>
      </c>
      <c r="K883" s="1" t="s">
        <v>5282</v>
      </c>
      <c r="L883" s="1" t="s">
        <v>45</v>
      </c>
      <c r="M883" s="1" t="s">
        <v>4496</v>
      </c>
      <c r="N883" s="1">
        <v>95087</v>
      </c>
      <c r="O883" s="1">
        <v>2018</v>
      </c>
      <c r="P883" s="1">
        <v>87551</v>
      </c>
      <c r="Q883" s="1">
        <v>2018</v>
      </c>
      <c r="R883" s="1" t="s">
        <v>46</v>
      </c>
      <c r="S883" s="1">
        <v>1</v>
      </c>
      <c r="T883" s="1">
        <v>1</v>
      </c>
      <c r="U883" s="1" t="s">
        <v>5283</v>
      </c>
    </row>
    <row r="884" spans="1:36" ht="17.149999999999999" customHeight="1">
      <c r="A884" s="14" t="s">
        <v>5284</v>
      </c>
      <c r="B884" s="14" t="s">
        <v>37</v>
      </c>
      <c r="C884" s="93" t="s">
        <v>133</v>
      </c>
      <c r="D884" s="144" t="s">
        <v>133</v>
      </c>
      <c r="E884" s="144" t="s">
        <v>134</v>
      </c>
      <c r="F884" s="17" t="s">
        <v>62</v>
      </c>
      <c r="G884" s="17" t="s">
        <v>40</v>
      </c>
      <c r="H884" s="14" t="s">
        <v>41</v>
      </c>
      <c r="I884" s="14" t="s">
        <v>135</v>
      </c>
      <c r="J884" s="14" t="s">
        <v>136</v>
      </c>
      <c r="K884" s="14" t="s">
        <v>5285</v>
      </c>
      <c r="L884" s="14" t="s">
        <v>45</v>
      </c>
      <c r="M884" s="14" t="s">
        <v>46</v>
      </c>
      <c r="N884" s="14" t="s">
        <v>46</v>
      </c>
      <c r="O884" s="14" t="s">
        <v>46</v>
      </c>
      <c r="P884" s="16">
        <v>68400</v>
      </c>
      <c r="Q884" s="16">
        <v>2024</v>
      </c>
      <c r="R884" s="14" t="s">
        <v>46</v>
      </c>
      <c r="S884" s="14">
        <v>1</v>
      </c>
      <c r="T884" s="14">
        <v>1</v>
      </c>
      <c r="U884" s="14" t="s">
        <v>5286</v>
      </c>
      <c r="V884" s="6" t="s">
        <v>40</v>
      </c>
      <c r="W884" s="6" t="s">
        <v>323</v>
      </c>
      <c r="X884" s="14" t="s">
        <v>40</v>
      </c>
      <c r="Y884" s="14"/>
      <c r="Z884" s="6" t="s">
        <v>5287</v>
      </c>
      <c r="AA884" s="6" t="s">
        <v>5288</v>
      </c>
      <c r="AB884" s="6"/>
      <c r="AC884" s="6" t="s">
        <v>5288</v>
      </c>
      <c r="AD884" s="6" t="s">
        <v>40</v>
      </c>
      <c r="AE884" s="2">
        <v>1</v>
      </c>
      <c r="AF884" s="2" t="s">
        <v>53</v>
      </c>
      <c r="AG884" s="2" t="s">
        <v>145</v>
      </c>
      <c r="AH884" s="2" t="s">
        <v>55</v>
      </c>
      <c r="AJ884" s="2" t="s">
        <v>57</v>
      </c>
    </row>
    <row r="885" spans="1:36" ht="17.149999999999999" customHeight="1">
      <c r="A885" s="92">
        <v>3375</v>
      </c>
      <c r="B885" s="14" t="s">
        <v>37</v>
      </c>
      <c r="C885" s="63" t="s">
        <v>5289</v>
      </c>
      <c r="D885" s="17" t="s">
        <v>5290</v>
      </c>
      <c r="E885" s="17" t="s">
        <v>5290</v>
      </c>
      <c r="F885" s="17" t="s">
        <v>5291</v>
      </c>
      <c r="G885" s="61" t="s">
        <v>40</v>
      </c>
      <c r="H885" s="14" t="s">
        <v>41</v>
      </c>
      <c r="I885" s="14" t="s">
        <v>680</v>
      </c>
      <c r="J885" s="14" t="s">
        <v>5292</v>
      </c>
      <c r="K885" s="14" t="s">
        <v>5293</v>
      </c>
      <c r="L885" s="14" t="s">
        <v>45</v>
      </c>
      <c r="M885" s="14" t="s">
        <v>46</v>
      </c>
      <c r="N885" s="14">
        <v>70000</v>
      </c>
      <c r="O885" s="14">
        <v>2015</v>
      </c>
      <c r="P885" s="14" t="s">
        <v>46</v>
      </c>
      <c r="Q885" s="14" t="s">
        <v>46</v>
      </c>
      <c r="R885" s="14" t="s">
        <v>46</v>
      </c>
      <c r="S885" s="14">
        <v>1</v>
      </c>
      <c r="T885" s="14">
        <v>1</v>
      </c>
      <c r="U885" s="14" t="s">
        <v>5294</v>
      </c>
      <c r="V885" s="6" t="s">
        <v>40</v>
      </c>
      <c r="W885" s="6" t="s">
        <v>1327</v>
      </c>
      <c r="X885" s="6" t="s">
        <v>40</v>
      </c>
      <c r="Y885" s="6"/>
      <c r="Z885" s="6" t="s">
        <v>5295</v>
      </c>
      <c r="AA885" s="6" t="s">
        <v>5296</v>
      </c>
      <c r="AB885" s="6"/>
      <c r="AC885" s="6" t="s">
        <v>5297</v>
      </c>
      <c r="AD885" s="6" t="s">
        <v>40</v>
      </c>
      <c r="AG885" s="2" t="s">
        <v>145</v>
      </c>
      <c r="AH885" s="2" t="s">
        <v>55</v>
      </c>
      <c r="AJ885" s="2" t="s">
        <v>57</v>
      </c>
    </row>
    <row r="886" spans="1:36" ht="17.149999999999999" hidden="1" customHeight="1">
      <c r="A886" s="1" t="s">
        <v>5298</v>
      </c>
      <c r="B886" s="1"/>
      <c r="C886" s="1" t="s">
        <v>5299</v>
      </c>
      <c r="D886" s="1"/>
      <c r="E886" s="1"/>
      <c r="F886" s="1"/>
      <c r="G886" s="1"/>
      <c r="H886" s="1" t="s">
        <v>1171</v>
      </c>
      <c r="I886" s="1" t="s">
        <v>5300</v>
      </c>
      <c r="J886" s="1" t="s">
        <v>5301</v>
      </c>
      <c r="K886" s="1" t="s">
        <v>5302</v>
      </c>
      <c r="L886" s="1" t="s">
        <v>151</v>
      </c>
      <c r="M886" s="1" t="s">
        <v>5303</v>
      </c>
      <c r="N886" s="1">
        <v>85000</v>
      </c>
      <c r="O886" s="1">
        <v>2018</v>
      </c>
      <c r="P886" s="1">
        <v>79400</v>
      </c>
      <c r="Q886" s="1">
        <v>2018</v>
      </c>
      <c r="R886" s="1" t="s">
        <v>46</v>
      </c>
      <c r="S886" s="1">
        <v>1</v>
      </c>
      <c r="T886" s="1" t="s">
        <v>46</v>
      </c>
      <c r="U886" s="1" t="s">
        <v>5304</v>
      </c>
    </row>
    <row r="887" spans="1:36" ht="17.149999999999999" hidden="1" customHeight="1">
      <c r="A887" s="1" t="s">
        <v>5305</v>
      </c>
      <c r="B887" s="1"/>
      <c r="C887" s="1" t="s">
        <v>5306</v>
      </c>
      <c r="D887" s="1"/>
      <c r="E887" s="1"/>
      <c r="F887" s="1"/>
      <c r="G887" s="1"/>
      <c r="H887" s="1" t="s">
        <v>249</v>
      </c>
      <c r="I887" s="1" t="s">
        <v>4794</v>
      </c>
      <c r="J887" s="1" t="s">
        <v>5307</v>
      </c>
      <c r="K887" s="1" t="s">
        <v>5308</v>
      </c>
      <c r="L887" s="1" t="s">
        <v>45</v>
      </c>
      <c r="M887" s="1" t="s">
        <v>46</v>
      </c>
      <c r="N887" s="1">
        <v>93807</v>
      </c>
      <c r="O887" s="1">
        <v>2018</v>
      </c>
      <c r="P887" s="1">
        <v>127757</v>
      </c>
      <c r="Q887" s="1">
        <v>2018</v>
      </c>
      <c r="R887" s="1" t="s">
        <v>46</v>
      </c>
      <c r="S887" s="1">
        <v>1</v>
      </c>
      <c r="T887" s="1" t="s">
        <v>46</v>
      </c>
      <c r="U887" s="1" t="s">
        <v>5309</v>
      </c>
    </row>
    <row r="888" spans="1:36" ht="17.149999999999999" hidden="1" customHeight="1">
      <c r="A888" s="1" t="s">
        <v>5310</v>
      </c>
      <c r="B888" s="1"/>
      <c r="C888" s="1" t="s">
        <v>5311</v>
      </c>
      <c r="D888" s="1"/>
      <c r="E888" s="1"/>
      <c r="F888" s="1"/>
      <c r="G888" s="1"/>
      <c r="H888" s="1" t="s">
        <v>1367</v>
      </c>
      <c r="I888" s="1" t="s">
        <v>46</v>
      </c>
      <c r="J888" s="1" t="s">
        <v>5312</v>
      </c>
      <c r="K888" s="1" t="s">
        <v>5313</v>
      </c>
      <c r="L888" s="1" t="s">
        <v>45</v>
      </c>
      <c r="M888" s="1" t="s">
        <v>46</v>
      </c>
      <c r="N888" s="1">
        <v>96589</v>
      </c>
      <c r="O888" s="1">
        <v>2017</v>
      </c>
      <c r="P888" s="1">
        <v>78984</v>
      </c>
      <c r="Q888" s="1">
        <v>2017</v>
      </c>
      <c r="R888" s="1" t="s">
        <v>46</v>
      </c>
      <c r="S888" s="1">
        <v>1</v>
      </c>
      <c r="T888" s="1">
        <v>1</v>
      </c>
      <c r="U888" s="1" t="s">
        <v>5314</v>
      </c>
    </row>
    <row r="889" spans="1:36" ht="17.149999999999999" hidden="1" customHeight="1">
      <c r="A889" s="1" t="s">
        <v>5315</v>
      </c>
      <c r="B889" s="1"/>
      <c r="C889" s="1" t="s">
        <v>5316</v>
      </c>
      <c r="D889" s="1"/>
      <c r="E889" s="1"/>
      <c r="F889" s="1"/>
      <c r="G889" s="1"/>
      <c r="H889" s="1" t="s">
        <v>110</v>
      </c>
      <c r="I889" s="1" t="s">
        <v>46</v>
      </c>
      <c r="J889" s="1" t="s">
        <v>5317</v>
      </c>
      <c r="K889" s="1" t="s">
        <v>5318</v>
      </c>
      <c r="L889" s="1" t="s">
        <v>45</v>
      </c>
      <c r="M889" s="1" t="s">
        <v>46</v>
      </c>
      <c r="N889" s="1">
        <v>78891</v>
      </c>
      <c r="O889" s="1">
        <v>2015</v>
      </c>
      <c r="P889" s="1">
        <v>78891</v>
      </c>
      <c r="Q889" s="1">
        <v>2015</v>
      </c>
      <c r="R889" s="1" t="s">
        <v>46</v>
      </c>
      <c r="S889" s="1">
        <v>1</v>
      </c>
      <c r="T889" s="1">
        <v>1</v>
      </c>
      <c r="U889" s="1" t="s">
        <v>5319</v>
      </c>
    </row>
    <row r="890" spans="1:36" ht="17.149999999999999" hidden="1" customHeight="1">
      <c r="A890" s="1" t="s">
        <v>5320</v>
      </c>
      <c r="B890" s="1"/>
      <c r="C890" s="1" t="s">
        <v>5321</v>
      </c>
      <c r="D890" s="1"/>
      <c r="E890" s="1"/>
      <c r="F890" s="1"/>
      <c r="G890" s="1"/>
      <c r="H890" s="1" t="s">
        <v>249</v>
      </c>
      <c r="I890" s="1" t="s">
        <v>4493</v>
      </c>
      <c r="J890" s="1" t="s">
        <v>4494</v>
      </c>
      <c r="K890" s="1" t="s">
        <v>5322</v>
      </c>
      <c r="L890" s="1" t="s">
        <v>118</v>
      </c>
      <c r="M890" s="1" t="s">
        <v>5323</v>
      </c>
      <c r="N890" s="1">
        <v>91190</v>
      </c>
      <c r="O890" s="1">
        <v>2018</v>
      </c>
      <c r="P890" s="1">
        <v>99409</v>
      </c>
      <c r="Q890" s="1">
        <v>2018</v>
      </c>
      <c r="R890" s="1" t="s">
        <v>46</v>
      </c>
      <c r="S890" s="1">
        <v>1</v>
      </c>
      <c r="T890" s="1">
        <v>1</v>
      </c>
      <c r="U890" s="1" t="s">
        <v>5324</v>
      </c>
    </row>
    <row r="891" spans="1:36" ht="17.149999999999999" hidden="1" customHeight="1">
      <c r="A891" s="1" t="s">
        <v>5325</v>
      </c>
      <c r="B891" s="1"/>
      <c r="C891" s="1" t="s">
        <v>5326</v>
      </c>
      <c r="D891" s="1"/>
      <c r="E891" s="1"/>
      <c r="F891" s="1"/>
      <c r="G891" s="1"/>
      <c r="H891" s="1" t="s">
        <v>640</v>
      </c>
      <c r="I891" s="1" t="s">
        <v>46</v>
      </c>
      <c r="J891" s="1" t="s">
        <v>5327</v>
      </c>
      <c r="K891" s="1" t="s">
        <v>5328</v>
      </c>
      <c r="L891" s="1" t="s">
        <v>45</v>
      </c>
      <c r="M891" s="1" t="s">
        <v>46</v>
      </c>
      <c r="N891" s="1">
        <v>78514</v>
      </c>
      <c r="O891" s="1">
        <v>2016</v>
      </c>
      <c r="P891" s="1">
        <v>78514</v>
      </c>
      <c r="Q891" s="1">
        <v>2016</v>
      </c>
      <c r="R891" s="1" t="s">
        <v>46</v>
      </c>
      <c r="S891" s="1">
        <v>1</v>
      </c>
      <c r="T891" s="1">
        <v>1</v>
      </c>
      <c r="U891" s="1" t="s">
        <v>5329</v>
      </c>
    </row>
    <row r="892" spans="1:36" ht="17.149999999999999" hidden="1" customHeight="1">
      <c r="A892" s="1" t="s">
        <v>5330</v>
      </c>
      <c r="B892" s="1"/>
      <c r="C892" s="1" t="s">
        <v>5331</v>
      </c>
      <c r="D892" s="1"/>
      <c r="E892" s="1"/>
      <c r="F892" s="1"/>
      <c r="G892" s="1"/>
      <c r="H892" s="1" t="s">
        <v>1367</v>
      </c>
      <c r="I892" s="1" t="s">
        <v>46</v>
      </c>
      <c r="J892" s="1" t="s">
        <v>5332</v>
      </c>
      <c r="K892" s="1" t="s">
        <v>5333</v>
      </c>
      <c r="L892" s="1" t="s">
        <v>45</v>
      </c>
      <c r="M892" s="1" t="s">
        <v>46</v>
      </c>
      <c r="N892" s="1">
        <v>121060</v>
      </c>
      <c r="O892" s="1">
        <v>2017</v>
      </c>
      <c r="P892" s="1">
        <v>78393</v>
      </c>
      <c r="Q892" s="1">
        <v>2017</v>
      </c>
      <c r="R892" s="1" t="s">
        <v>46</v>
      </c>
      <c r="S892" s="1">
        <v>1</v>
      </c>
      <c r="T892" s="1">
        <v>1</v>
      </c>
      <c r="U892" s="1" t="s">
        <v>5334</v>
      </c>
    </row>
    <row r="893" spans="1:36" ht="17.149999999999999" hidden="1" customHeight="1">
      <c r="A893" s="1" t="s">
        <v>5335</v>
      </c>
      <c r="B893" s="1"/>
      <c r="C893" s="1" t="s">
        <v>5336</v>
      </c>
      <c r="D893" s="1"/>
      <c r="E893" s="1"/>
      <c r="F893" s="1"/>
      <c r="G893" s="1"/>
      <c r="H893" s="1" t="s">
        <v>249</v>
      </c>
      <c r="I893" s="1" t="s">
        <v>5160</v>
      </c>
      <c r="J893" s="1" t="s">
        <v>5337</v>
      </c>
      <c r="K893" s="1" t="s">
        <v>5338</v>
      </c>
      <c r="L893" s="1" t="s">
        <v>45</v>
      </c>
      <c r="M893" s="1" t="s">
        <v>1566</v>
      </c>
      <c r="N893" s="1">
        <v>91115</v>
      </c>
      <c r="O893" s="1">
        <v>2018</v>
      </c>
      <c r="P893" s="1">
        <v>96634</v>
      </c>
      <c r="Q893" s="1">
        <v>2018</v>
      </c>
      <c r="R893" s="1" t="s">
        <v>46</v>
      </c>
      <c r="S893" s="1">
        <v>1</v>
      </c>
      <c r="T893" s="1">
        <v>1</v>
      </c>
      <c r="U893" s="1" t="s">
        <v>5339</v>
      </c>
    </row>
    <row r="894" spans="1:36" ht="17.149999999999999" hidden="1" customHeight="1">
      <c r="A894" s="1" t="s">
        <v>5340</v>
      </c>
      <c r="B894" s="1"/>
      <c r="C894" s="1" t="s">
        <v>5341</v>
      </c>
      <c r="D894" s="1"/>
      <c r="E894" s="1"/>
      <c r="F894" s="1"/>
      <c r="G894" s="1"/>
      <c r="H894" s="1" t="s">
        <v>249</v>
      </c>
      <c r="I894" s="1" t="s">
        <v>1735</v>
      </c>
      <c r="J894" s="1" t="s">
        <v>5342</v>
      </c>
      <c r="K894" s="1" t="s">
        <v>5343</v>
      </c>
      <c r="L894" s="1" t="s">
        <v>45</v>
      </c>
      <c r="M894" s="1" t="s">
        <v>46</v>
      </c>
      <c r="N894" s="1">
        <v>90045</v>
      </c>
      <c r="O894" s="1">
        <v>2018</v>
      </c>
      <c r="P894" s="1">
        <v>90045</v>
      </c>
      <c r="Q894" s="1">
        <v>2018</v>
      </c>
      <c r="R894" s="1" t="s">
        <v>46</v>
      </c>
      <c r="S894" s="1">
        <v>1</v>
      </c>
      <c r="T894" s="1">
        <v>1</v>
      </c>
      <c r="U894" s="1" t="s">
        <v>5344</v>
      </c>
    </row>
    <row r="895" spans="1:36" ht="17.149999999999999" hidden="1" customHeight="1">
      <c r="A895" s="1" t="s">
        <v>5345</v>
      </c>
      <c r="B895" s="1"/>
      <c r="C895" s="1" t="s">
        <v>5346</v>
      </c>
      <c r="D895" s="1"/>
      <c r="E895" s="1"/>
      <c r="F895" s="1"/>
      <c r="G895" s="1"/>
      <c r="H895" s="1" t="s">
        <v>674</v>
      </c>
      <c r="I895" s="1" t="s">
        <v>46</v>
      </c>
      <c r="J895" s="1" t="s">
        <v>5347</v>
      </c>
      <c r="K895" s="1" t="s">
        <v>5348</v>
      </c>
      <c r="L895" s="1" t="s">
        <v>45</v>
      </c>
      <c r="M895" s="1" t="s">
        <v>46</v>
      </c>
      <c r="N895" s="1">
        <v>111601</v>
      </c>
      <c r="O895" s="1">
        <v>2016</v>
      </c>
      <c r="P895" s="1">
        <v>78021</v>
      </c>
      <c r="Q895" s="1">
        <v>2016</v>
      </c>
      <c r="R895" s="1" t="s">
        <v>46</v>
      </c>
      <c r="S895" s="1">
        <v>1</v>
      </c>
      <c r="T895" s="1">
        <v>1</v>
      </c>
      <c r="U895" s="1" t="s">
        <v>5349</v>
      </c>
    </row>
    <row r="896" spans="1:36" ht="17.149999999999999" hidden="1" customHeight="1">
      <c r="A896" s="1" t="s">
        <v>5350</v>
      </c>
      <c r="B896" s="1"/>
      <c r="C896" s="1" t="s">
        <v>5351</v>
      </c>
      <c r="D896" s="1"/>
      <c r="E896" s="1"/>
      <c r="F896" s="1"/>
      <c r="G896" s="1"/>
      <c r="H896" s="1" t="s">
        <v>110</v>
      </c>
      <c r="I896" s="1" t="s">
        <v>46</v>
      </c>
      <c r="J896" s="1" t="s">
        <v>5352</v>
      </c>
      <c r="K896" s="1" t="s">
        <v>5353</v>
      </c>
      <c r="L896" s="1" t="s">
        <v>45</v>
      </c>
      <c r="M896" s="1" t="s">
        <v>46</v>
      </c>
      <c r="N896" s="1">
        <v>77767</v>
      </c>
      <c r="O896" s="1">
        <v>2015</v>
      </c>
      <c r="P896" s="1">
        <v>77767</v>
      </c>
      <c r="Q896" s="1">
        <v>2015</v>
      </c>
      <c r="R896" s="1" t="s">
        <v>46</v>
      </c>
      <c r="S896" s="1">
        <v>1</v>
      </c>
      <c r="T896" s="1">
        <v>1</v>
      </c>
      <c r="U896" s="1" t="s">
        <v>5354</v>
      </c>
    </row>
    <row r="897" spans="1:36" ht="17.149999999999999" hidden="1" customHeight="1">
      <c r="A897" s="1" t="s">
        <v>5355</v>
      </c>
      <c r="B897" s="1"/>
      <c r="C897" s="1" t="s">
        <v>5356</v>
      </c>
      <c r="D897" s="1"/>
      <c r="E897" s="1"/>
      <c r="F897" s="1"/>
      <c r="G897" s="1"/>
      <c r="H897" s="1" t="s">
        <v>249</v>
      </c>
      <c r="I897" s="1" t="s">
        <v>5357</v>
      </c>
      <c r="J897" s="1" t="s">
        <v>5358</v>
      </c>
      <c r="K897" s="1" t="s">
        <v>5359</v>
      </c>
      <c r="L897" s="1" t="s">
        <v>45</v>
      </c>
      <c r="M897" s="1" t="s">
        <v>5360</v>
      </c>
      <c r="N897" s="1">
        <v>89702</v>
      </c>
      <c r="O897" s="1">
        <v>2018</v>
      </c>
      <c r="P897" s="1">
        <v>89938</v>
      </c>
      <c r="Q897" s="1">
        <v>2018</v>
      </c>
      <c r="R897" s="1" t="s">
        <v>46</v>
      </c>
      <c r="S897" s="1">
        <v>1</v>
      </c>
      <c r="T897" s="1">
        <v>1</v>
      </c>
      <c r="U897" s="1" t="s">
        <v>5361</v>
      </c>
    </row>
    <row r="898" spans="1:36" ht="17.149999999999999" hidden="1" customHeight="1">
      <c r="A898" s="21" t="s">
        <v>5362</v>
      </c>
      <c r="B898" s="21" t="s">
        <v>37</v>
      </c>
      <c r="C898" s="58" t="s">
        <v>5363</v>
      </c>
      <c r="D898" s="61"/>
      <c r="E898" s="61"/>
      <c r="F898" s="61"/>
      <c r="G898" s="61"/>
      <c r="H898" s="21" t="s">
        <v>41</v>
      </c>
      <c r="I898" s="21" t="s">
        <v>966</v>
      </c>
      <c r="J898" s="21" t="s">
        <v>5364</v>
      </c>
      <c r="K898" s="21" t="s">
        <v>5365</v>
      </c>
      <c r="L898" s="21" t="s">
        <v>45</v>
      </c>
      <c r="M898" s="21" t="s">
        <v>5366</v>
      </c>
      <c r="N898" s="21">
        <v>169089</v>
      </c>
      <c r="O898" s="21">
        <v>2016</v>
      </c>
      <c r="P898" s="21">
        <v>77600</v>
      </c>
      <c r="Q898" s="21">
        <v>2016</v>
      </c>
      <c r="R898" s="21" t="s">
        <v>46</v>
      </c>
      <c r="S898" s="21">
        <v>1</v>
      </c>
      <c r="T898" s="21">
        <v>1</v>
      </c>
      <c r="U898" s="21" t="s">
        <v>5367</v>
      </c>
      <c r="V898" s="22" t="s">
        <v>103</v>
      </c>
      <c r="W898" s="22"/>
      <c r="X898" s="22"/>
      <c r="Y898" s="22"/>
      <c r="Z898" s="22"/>
      <c r="AA898" s="22"/>
      <c r="AB898" s="22"/>
      <c r="AC898" s="22"/>
      <c r="AD898" s="22"/>
    </row>
    <row r="899" spans="1:36" ht="17.149999999999999" customHeight="1">
      <c r="A899" s="14" t="s">
        <v>5368</v>
      </c>
      <c r="B899" s="14" t="s">
        <v>37</v>
      </c>
      <c r="C899" s="56" t="s">
        <v>5369</v>
      </c>
      <c r="D899" s="144" t="s">
        <v>5370</v>
      </c>
      <c r="E899" s="144" t="s">
        <v>5370</v>
      </c>
      <c r="F899" s="144" t="s">
        <v>5371</v>
      </c>
      <c r="G899" s="61" t="s">
        <v>40</v>
      </c>
      <c r="H899" s="14" t="s">
        <v>41</v>
      </c>
      <c r="I899" s="14" t="s">
        <v>63</v>
      </c>
      <c r="J899" s="14" t="s">
        <v>5372</v>
      </c>
      <c r="K899" s="14" t="s">
        <v>5373</v>
      </c>
      <c r="L899" s="14" t="s">
        <v>45</v>
      </c>
      <c r="M899" s="14" t="s">
        <v>46</v>
      </c>
      <c r="N899" s="14" t="s">
        <v>46</v>
      </c>
      <c r="O899" s="14" t="s">
        <v>46</v>
      </c>
      <c r="P899" s="51">
        <v>77209</v>
      </c>
      <c r="Q899" s="51">
        <v>2023</v>
      </c>
      <c r="R899" s="14" t="s">
        <v>46</v>
      </c>
      <c r="S899" s="14">
        <v>1</v>
      </c>
      <c r="T899" s="14">
        <v>1</v>
      </c>
      <c r="U899" s="14" t="s">
        <v>5374</v>
      </c>
      <c r="V899" s="6" t="s">
        <v>40</v>
      </c>
      <c r="W899" s="6" t="s">
        <v>323</v>
      </c>
      <c r="X899" s="6" t="s">
        <v>40</v>
      </c>
      <c r="Y899" s="6" t="s">
        <v>412</v>
      </c>
      <c r="Z899" s="6" t="s">
        <v>2915</v>
      </c>
      <c r="AA899" s="6" t="s">
        <v>5375</v>
      </c>
      <c r="AB899" s="6" t="s">
        <v>5376</v>
      </c>
      <c r="AC899" s="6" t="s">
        <v>5377</v>
      </c>
      <c r="AD899" s="6" t="s">
        <v>40</v>
      </c>
      <c r="AE899" s="2">
        <v>1</v>
      </c>
      <c r="AF899" s="2" t="s">
        <v>53</v>
      </c>
    </row>
    <row r="900" spans="1:36" ht="17.149999999999999" hidden="1" customHeight="1">
      <c r="A900" s="1" t="s">
        <v>5378</v>
      </c>
      <c r="B900" s="1"/>
      <c r="C900" s="1" t="s">
        <v>5379</v>
      </c>
      <c r="D900" s="1"/>
      <c r="E900" s="1"/>
      <c r="F900" s="1"/>
      <c r="G900" s="1"/>
      <c r="H900" s="1" t="s">
        <v>249</v>
      </c>
      <c r="I900" s="1" t="s">
        <v>2610</v>
      </c>
      <c r="J900" s="1" t="s">
        <v>5380</v>
      </c>
      <c r="K900" s="1" t="s">
        <v>5381</v>
      </c>
      <c r="L900" s="1" t="s">
        <v>45</v>
      </c>
      <c r="M900" s="1" t="s">
        <v>5382</v>
      </c>
      <c r="N900" s="1">
        <v>88357</v>
      </c>
      <c r="O900" s="1">
        <v>2018</v>
      </c>
      <c r="P900" s="1">
        <v>110206</v>
      </c>
      <c r="Q900" s="1">
        <v>2018</v>
      </c>
      <c r="R900" s="1" t="s">
        <v>46</v>
      </c>
      <c r="S900" s="1">
        <v>1</v>
      </c>
      <c r="T900" s="1">
        <v>1</v>
      </c>
      <c r="U900" s="1" t="s">
        <v>5383</v>
      </c>
    </row>
    <row r="901" spans="1:36" ht="17.149999999999999" hidden="1" customHeight="1">
      <c r="A901" s="1" t="s">
        <v>5384</v>
      </c>
      <c r="B901" s="1"/>
      <c r="C901" s="1" t="s">
        <v>5385</v>
      </c>
      <c r="D901" s="1"/>
      <c r="E901" s="1"/>
      <c r="F901" s="1"/>
      <c r="G901" s="1"/>
      <c r="H901" s="1" t="s">
        <v>249</v>
      </c>
      <c r="I901" s="1" t="s">
        <v>46</v>
      </c>
      <c r="J901" s="1" t="s">
        <v>5386</v>
      </c>
      <c r="K901" s="1" t="s">
        <v>5387</v>
      </c>
      <c r="L901" s="1" t="s">
        <v>46</v>
      </c>
      <c r="M901" s="1" t="s">
        <v>46</v>
      </c>
      <c r="N901" s="1">
        <v>87747</v>
      </c>
      <c r="O901" s="1">
        <v>2015</v>
      </c>
      <c r="P901" s="1">
        <v>79858</v>
      </c>
      <c r="Q901" s="1">
        <v>2015</v>
      </c>
      <c r="R901" s="1" t="s">
        <v>46</v>
      </c>
      <c r="S901" s="1">
        <v>1</v>
      </c>
      <c r="T901" s="1">
        <v>1</v>
      </c>
      <c r="U901" s="1" t="s">
        <v>1005</v>
      </c>
    </row>
    <row r="902" spans="1:36" ht="17.149999999999999" hidden="1" customHeight="1">
      <c r="A902" s="1" t="s">
        <v>5388</v>
      </c>
      <c r="B902" s="1"/>
      <c r="C902" s="1" t="s">
        <v>5389</v>
      </c>
      <c r="D902" s="1"/>
      <c r="E902" s="1"/>
      <c r="F902" s="1"/>
      <c r="G902" s="1"/>
      <c r="H902" s="1" t="s">
        <v>249</v>
      </c>
      <c r="I902" s="1" t="s">
        <v>3897</v>
      </c>
      <c r="J902" s="1" t="s">
        <v>5390</v>
      </c>
      <c r="K902" s="1" t="s">
        <v>5391</v>
      </c>
      <c r="L902" s="1" t="s">
        <v>45</v>
      </c>
      <c r="M902" s="1" t="s">
        <v>5392</v>
      </c>
      <c r="N902" s="1">
        <v>86466</v>
      </c>
      <c r="O902" s="1">
        <v>2018</v>
      </c>
      <c r="P902" s="1">
        <v>86240</v>
      </c>
      <c r="Q902" s="1">
        <v>2018</v>
      </c>
      <c r="R902" s="1" t="s">
        <v>46</v>
      </c>
      <c r="S902" s="1">
        <v>1</v>
      </c>
      <c r="T902" s="1">
        <v>1</v>
      </c>
      <c r="U902" s="1" t="s">
        <v>5393</v>
      </c>
    </row>
    <row r="903" spans="1:36" ht="17.149999999999999" hidden="1" customHeight="1">
      <c r="A903" s="1" t="s">
        <v>5394</v>
      </c>
      <c r="B903" s="1"/>
      <c r="C903" s="1" t="s">
        <v>5395</v>
      </c>
      <c r="D903" s="1"/>
      <c r="E903" s="1"/>
      <c r="F903" s="1"/>
      <c r="G903" s="1"/>
      <c r="H903" s="1" t="s">
        <v>500</v>
      </c>
      <c r="I903" s="1" t="s">
        <v>46</v>
      </c>
      <c r="J903" s="1" t="s">
        <v>5396</v>
      </c>
      <c r="K903" s="1" t="s">
        <v>5397</v>
      </c>
      <c r="L903" s="1" t="s">
        <v>45</v>
      </c>
      <c r="M903" s="1" t="s">
        <v>46</v>
      </c>
      <c r="N903" s="1">
        <v>82333</v>
      </c>
      <c r="O903" s="1">
        <v>2016</v>
      </c>
      <c r="P903" s="1">
        <v>76512</v>
      </c>
      <c r="Q903" s="1">
        <v>2016</v>
      </c>
      <c r="R903" s="1" t="s">
        <v>46</v>
      </c>
      <c r="S903" s="1">
        <v>1</v>
      </c>
      <c r="T903" s="1">
        <v>1</v>
      </c>
      <c r="U903" s="1" t="s">
        <v>5398</v>
      </c>
    </row>
    <row r="904" spans="1:36" ht="17.149999999999999" hidden="1" customHeight="1">
      <c r="A904" s="1" t="s">
        <v>5399</v>
      </c>
      <c r="B904" s="1"/>
      <c r="C904" s="1" t="s">
        <v>5400</v>
      </c>
      <c r="D904" s="1"/>
      <c r="E904" s="1"/>
      <c r="F904" s="1"/>
      <c r="G904" s="1"/>
      <c r="H904" s="1" t="s">
        <v>177</v>
      </c>
      <c r="I904" s="1" t="s">
        <v>178</v>
      </c>
      <c r="J904" s="1" t="s">
        <v>5401</v>
      </c>
      <c r="K904" s="1" t="s">
        <v>5402</v>
      </c>
      <c r="L904" s="1" t="s">
        <v>45</v>
      </c>
      <c r="M904" s="1" t="s">
        <v>46</v>
      </c>
      <c r="N904" s="1">
        <v>76500</v>
      </c>
      <c r="O904" s="1">
        <v>2015</v>
      </c>
      <c r="P904" s="1">
        <v>76500</v>
      </c>
      <c r="Q904" s="1">
        <v>2015</v>
      </c>
      <c r="R904" s="1" t="s">
        <v>46</v>
      </c>
      <c r="S904" s="1">
        <v>1</v>
      </c>
      <c r="T904" s="1">
        <v>1</v>
      </c>
      <c r="U904" s="1" t="s">
        <v>5403</v>
      </c>
    </row>
    <row r="905" spans="1:36" ht="17.149999999999999" hidden="1" customHeight="1">
      <c r="A905" s="1" t="s">
        <v>5404</v>
      </c>
      <c r="B905" s="1"/>
      <c r="C905" s="1" t="s">
        <v>5405</v>
      </c>
      <c r="D905" s="1"/>
      <c r="E905" s="1"/>
      <c r="F905" s="1"/>
      <c r="G905" s="1"/>
      <c r="H905" s="1" t="s">
        <v>249</v>
      </c>
      <c r="I905" s="1" t="s">
        <v>5406</v>
      </c>
      <c r="J905" s="1" t="s">
        <v>5407</v>
      </c>
      <c r="K905" s="1" t="s">
        <v>5408</v>
      </c>
      <c r="L905" s="1" t="s">
        <v>45</v>
      </c>
      <c r="M905" s="1" t="s">
        <v>46</v>
      </c>
      <c r="N905" s="1">
        <v>85906</v>
      </c>
      <c r="O905" s="1">
        <v>2018</v>
      </c>
      <c r="P905" s="1">
        <v>57110</v>
      </c>
      <c r="Q905" s="1">
        <v>2018</v>
      </c>
      <c r="R905" s="1" t="s">
        <v>46</v>
      </c>
      <c r="S905" s="1">
        <v>1</v>
      </c>
      <c r="T905" s="1">
        <v>1</v>
      </c>
      <c r="U905" s="1" t="s">
        <v>5409</v>
      </c>
    </row>
    <row r="906" spans="1:36" ht="17.149999999999999" hidden="1" customHeight="1">
      <c r="A906" s="1" t="s">
        <v>5410</v>
      </c>
      <c r="B906" s="1"/>
      <c r="C906" s="1" t="s">
        <v>5411</v>
      </c>
      <c r="D906" s="1"/>
      <c r="E906" s="1"/>
      <c r="F906" s="1"/>
      <c r="G906" s="1"/>
      <c r="H906" s="1" t="s">
        <v>249</v>
      </c>
      <c r="I906" s="1" t="s">
        <v>5412</v>
      </c>
      <c r="J906" s="1" t="s">
        <v>5413</v>
      </c>
      <c r="K906" s="1" t="s">
        <v>5414</v>
      </c>
      <c r="L906" s="1" t="s">
        <v>45</v>
      </c>
      <c r="M906" s="1" t="s">
        <v>46</v>
      </c>
      <c r="N906" s="1">
        <v>85419</v>
      </c>
      <c r="O906" s="1">
        <v>2018</v>
      </c>
      <c r="P906" s="1">
        <v>88470</v>
      </c>
      <c r="Q906" s="1">
        <v>2018</v>
      </c>
      <c r="R906" s="1" t="s">
        <v>46</v>
      </c>
      <c r="S906" s="1">
        <v>1</v>
      </c>
      <c r="T906" s="1">
        <v>1</v>
      </c>
      <c r="U906" s="1" t="s">
        <v>5415</v>
      </c>
    </row>
    <row r="907" spans="1:36" ht="17.149999999999999" hidden="1" customHeight="1">
      <c r="A907" s="1" t="s">
        <v>5416</v>
      </c>
      <c r="B907" s="1"/>
      <c r="C907" s="1" t="s">
        <v>5417</v>
      </c>
      <c r="D907" s="1"/>
      <c r="E907" s="1"/>
      <c r="F907" s="1"/>
      <c r="G907" s="1"/>
      <c r="H907" s="1" t="s">
        <v>249</v>
      </c>
      <c r="I907" s="1" t="s">
        <v>5418</v>
      </c>
      <c r="J907" s="1" t="s">
        <v>5419</v>
      </c>
      <c r="K907" s="1" t="s">
        <v>5420</v>
      </c>
      <c r="L907" s="1" t="s">
        <v>45</v>
      </c>
      <c r="M907" s="1" t="s">
        <v>1566</v>
      </c>
      <c r="N907" s="1">
        <v>84867</v>
      </c>
      <c r="O907" s="1">
        <v>2018</v>
      </c>
      <c r="P907" s="1">
        <v>84502</v>
      </c>
      <c r="Q907" s="1">
        <v>2018</v>
      </c>
      <c r="R907" s="1" t="s">
        <v>46</v>
      </c>
      <c r="S907" s="1">
        <v>1</v>
      </c>
      <c r="T907" s="1">
        <v>1</v>
      </c>
      <c r="U907" s="1" t="s">
        <v>5421</v>
      </c>
    </row>
    <row r="908" spans="1:36" ht="17.149999999999999" hidden="1" customHeight="1">
      <c r="A908" s="1" t="s">
        <v>5422</v>
      </c>
      <c r="B908" s="1"/>
      <c r="C908" s="1" t="s">
        <v>5423</v>
      </c>
      <c r="D908" s="1"/>
      <c r="E908" s="1"/>
      <c r="F908" s="1"/>
      <c r="G908" s="1"/>
      <c r="H908" s="1" t="s">
        <v>177</v>
      </c>
      <c r="I908" s="1" t="s">
        <v>178</v>
      </c>
      <c r="J908" s="1" t="s">
        <v>5424</v>
      </c>
      <c r="K908" s="1" t="s">
        <v>5425</v>
      </c>
      <c r="L908" s="1" t="s">
        <v>118</v>
      </c>
      <c r="M908" s="1" t="s">
        <v>5426</v>
      </c>
      <c r="N908" s="1">
        <v>76000</v>
      </c>
      <c r="O908" s="1">
        <v>2019</v>
      </c>
      <c r="P908" s="1">
        <v>76000</v>
      </c>
      <c r="Q908" s="1">
        <v>2019</v>
      </c>
      <c r="R908" s="1" t="s">
        <v>46</v>
      </c>
      <c r="S908" s="1">
        <v>1</v>
      </c>
      <c r="T908" s="1">
        <v>1</v>
      </c>
      <c r="U908" s="1" t="s">
        <v>5427</v>
      </c>
    </row>
    <row r="909" spans="1:36" ht="17.149999999999999" hidden="1" customHeight="1">
      <c r="A909" s="1" t="s">
        <v>5428</v>
      </c>
      <c r="B909" s="1"/>
      <c r="C909" s="1" t="s">
        <v>5429</v>
      </c>
      <c r="D909" s="1"/>
      <c r="E909" s="1"/>
      <c r="F909" s="1"/>
      <c r="G909" s="1"/>
      <c r="H909" s="1" t="s">
        <v>249</v>
      </c>
      <c r="I909" s="1" t="s">
        <v>2746</v>
      </c>
      <c r="J909" s="1" t="s">
        <v>3435</v>
      </c>
      <c r="K909" s="1" t="s">
        <v>5430</v>
      </c>
      <c r="L909" s="1" t="s">
        <v>45</v>
      </c>
      <c r="M909" s="1" t="s">
        <v>1566</v>
      </c>
      <c r="N909" s="1">
        <v>84408</v>
      </c>
      <c r="O909" s="1">
        <v>2018</v>
      </c>
      <c r="P909" s="1">
        <v>54258</v>
      </c>
      <c r="Q909" s="1">
        <v>2015</v>
      </c>
      <c r="R909" s="1" t="s">
        <v>46</v>
      </c>
      <c r="S909" s="1">
        <v>1</v>
      </c>
      <c r="T909" s="1">
        <v>1</v>
      </c>
      <c r="U909" s="1" t="s">
        <v>5431</v>
      </c>
    </row>
    <row r="910" spans="1:36" ht="17.149999999999999" hidden="1" customHeight="1">
      <c r="A910" s="1" t="s">
        <v>5432</v>
      </c>
      <c r="B910" s="1"/>
      <c r="C910" s="1" t="s">
        <v>5433</v>
      </c>
      <c r="D910" s="1"/>
      <c r="E910" s="1"/>
      <c r="F910" s="1"/>
      <c r="G910" s="1"/>
      <c r="H910" s="1" t="s">
        <v>249</v>
      </c>
      <c r="I910" s="1" t="s">
        <v>4091</v>
      </c>
      <c r="J910" s="1" t="s">
        <v>5434</v>
      </c>
      <c r="K910" s="1" t="s">
        <v>5435</v>
      </c>
      <c r="L910" s="1" t="s">
        <v>45</v>
      </c>
      <c r="M910" s="1" t="s">
        <v>46</v>
      </c>
      <c r="N910" s="1">
        <v>84349</v>
      </c>
      <c r="O910" s="1">
        <v>2018</v>
      </c>
      <c r="P910" s="1">
        <v>91583</v>
      </c>
      <c r="Q910" s="1">
        <v>2018</v>
      </c>
      <c r="R910" s="1" t="s">
        <v>46</v>
      </c>
      <c r="S910" s="1">
        <v>1</v>
      </c>
      <c r="T910" s="1">
        <v>1</v>
      </c>
      <c r="U910" s="1" t="s">
        <v>5436</v>
      </c>
    </row>
    <row r="911" spans="1:36" ht="17.149999999999999" customHeight="1">
      <c r="A911" s="14" t="s">
        <v>5437</v>
      </c>
      <c r="B911" s="14" t="s">
        <v>37</v>
      </c>
      <c r="C911" s="56" t="s">
        <v>5438</v>
      </c>
      <c r="D911" s="144" t="s">
        <v>5438</v>
      </c>
      <c r="E911" s="144" t="s">
        <v>5439</v>
      </c>
      <c r="F911" s="144" t="s">
        <v>5440</v>
      </c>
      <c r="G911" s="61"/>
      <c r="H911" s="14" t="s">
        <v>41</v>
      </c>
      <c r="I911" s="14" t="s">
        <v>63</v>
      </c>
      <c r="J911" s="14" t="s">
        <v>5441</v>
      </c>
      <c r="K911" s="14" t="s">
        <v>5442</v>
      </c>
      <c r="L911" s="14" t="s">
        <v>45</v>
      </c>
      <c r="M911" s="14" t="s">
        <v>46</v>
      </c>
      <c r="N911" s="14">
        <v>53300</v>
      </c>
      <c r="O911" s="14">
        <v>2015</v>
      </c>
      <c r="P911" s="14">
        <v>53300</v>
      </c>
      <c r="Q911" s="14">
        <v>2015</v>
      </c>
      <c r="R911" s="14" t="s">
        <v>46</v>
      </c>
      <c r="S911" s="14">
        <v>1</v>
      </c>
      <c r="T911" s="14">
        <v>1</v>
      </c>
      <c r="U911" s="14" t="s">
        <v>5443</v>
      </c>
      <c r="V911" s="6"/>
      <c r="W911" s="6" t="s">
        <v>78</v>
      </c>
      <c r="X911" s="6" t="s">
        <v>40</v>
      </c>
      <c r="Y911" s="6"/>
      <c r="Z911" s="6" t="s">
        <v>5444</v>
      </c>
      <c r="AA911" s="6" t="s">
        <v>5445</v>
      </c>
      <c r="AB911" s="6"/>
      <c r="AC911" s="6" t="s">
        <v>5446</v>
      </c>
      <c r="AD911" s="6" t="s">
        <v>40</v>
      </c>
      <c r="AG911" s="2" t="s">
        <v>71</v>
      </c>
      <c r="AJ911" s="2" t="s">
        <v>57</v>
      </c>
    </row>
    <row r="912" spans="1:36" ht="17.149999999999999" hidden="1" customHeight="1">
      <c r="A912" s="1" t="s">
        <v>5447</v>
      </c>
      <c r="B912" s="1"/>
      <c r="C912" s="1" t="s">
        <v>5448</v>
      </c>
      <c r="D912" s="1"/>
      <c r="E912" s="1"/>
      <c r="F912" s="1"/>
      <c r="G912" s="1"/>
      <c r="H912" s="1" t="s">
        <v>110</v>
      </c>
      <c r="I912" s="1" t="s">
        <v>46</v>
      </c>
      <c r="J912" s="1" t="s">
        <v>5449</v>
      </c>
      <c r="K912" s="1" t="s">
        <v>5450</v>
      </c>
      <c r="L912" s="1" t="s">
        <v>45</v>
      </c>
      <c r="M912" s="1" t="s">
        <v>46</v>
      </c>
      <c r="N912" s="1" t="s">
        <v>46</v>
      </c>
      <c r="O912" s="1" t="s">
        <v>46</v>
      </c>
      <c r="P912" s="1">
        <v>75504</v>
      </c>
      <c r="Q912" s="1">
        <v>2015</v>
      </c>
      <c r="R912" s="1" t="s">
        <v>46</v>
      </c>
      <c r="S912" s="1">
        <v>1</v>
      </c>
      <c r="T912" s="1">
        <v>1</v>
      </c>
      <c r="U912" s="1" t="s">
        <v>5451</v>
      </c>
    </row>
    <row r="913" spans="1:30" ht="17.149999999999999" hidden="1" customHeight="1">
      <c r="A913" s="1" t="s">
        <v>5452</v>
      </c>
      <c r="B913" s="1"/>
      <c r="C913" s="1" t="s">
        <v>5453</v>
      </c>
      <c r="D913" s="1"/>
      <c r="E913" s="1"/>
      <c r="F913" s="1"/>
      <c r="G913" s="1"/>
      <c r="H913" s="1" t="s">
        <v>249</v>
      </c>
      <c r="I913" s="1" t="s">
        <v>4667</v>
      </c>
      <c r="J913" s="1" t="s">
        <v>5454</v>
      </c>
      <c r="K913" s="1" t="s">
        <v>5455</v>
      </c>
      <c r="L913" s="1" t="s">
        <v>45</v>
      </c>
      <c r="M913" s="1" t="s">
        <v>46</v>
      </c>
      <c r="N913" s="1">
        <v>83186</v>
      </c>
      <c r="O913" s="1">
        <v>2018</v>
      </c>
      <c r="P913" s="1">
        <v>83186</v>
      </c>
      <c r="Q913" s="1">
        <v>2018</v>
      </c>
      <c r="R913" s="1" t="s">
        <v>46</v>
      </c>
      <c r="S913" s="1">
        <v>1</v>
      </c>
      <c r="T913" s="1" t="s">
        <v>46</v>
      </c>
      <c r="U913" s="1" t="s">
        <v>5456</v>
      </c>
    </row>
    <row r="914" spans="1:30" ht="17.149999999999999" hidden="1" customHeight="1">
      <c r="A914" s="1" t="s">
        <v>5457</v>
      </c>
      <c r="B914" s="1"/>
      <c r="C914" s="1" t="s">
        <v>5458</v>
      </c>
      <c r="D914" s="1"/>
      <c r="E914" s="1"/>
      <c r="F914" s="1"/>
      <c r="G914" s="1"/>
      <c r="H914" s="1" t="s">
        <v>110</v>
      </c>
      <c r="I914" s="1" t="s">
        <v>46</v>
      </c>
      <c r="J914" s="1" t="s">
        <v>5062</v>
      </c>
      <c r="K914" s="1" t="s">
        <v>5459</v>
      </c>
      <c r="L914" s="1" t="s">
        <v>118</v>
      </c>
      <c r="M914" s="1" t="s">
        <v>5460</v>
      </c>
      <c r="N914" s="1">
        <v>74039</v>
      </c>
      <c r="O914" s="1">
        <v>2015</v>
      </c>
      <c r="P914" s="1">
        <v>75246</v>
      </c>
      <c r="Q914" s="1">
        <v>2015</v>
      </c>
      <c r="R914" s="1" t="s">
        <v>46</v>
      </c>
      <c r="S914" s="1">
        <v>1</v>
      </c>
      <c r="T914" s="1">
        <v>1</v>
      </c>
      <c r="U914" s="1" t="s">
        <v>5461</v>
      </c>
    </row>
    <row r="915" spans="1:30" ht="17.149999999999999" hidden="1" customHeight="1">
      <c r="A915" s="21" t="s">
        <v>5462</v>
      </c>
      <c r="B915" s="21"/>
      <c r="C915" s="58" t="s">
        <v>5463</v>
      </c>
      <c r="D915" s="61"/>
      <c r="E915" s="61"/>
      <c r="F915" s="61"/>
      <c r="G915" s="61"/>
      <c r="H915" s="21" t="s">
        <v>41</v>
      </c>
      <c r="I915" s="21" t="s">
        <v>63</v>
      </c>
      <c r="J915" s="21" t="s">
        <v>5464</v>
      </c>
      <c r="K915" s="21" t="s">
        <v>5465</v>
      </c>
      <c r="L915" s="21" t="s">
        <v>45</v>
      </c>
      <c r="M915" s="21" t="s">
        <v>46</v>
      </c>
      <c r="N915" s="21" t="s">
        <v>46</v>
      </c>
      <c r="O915" s="21" t="s">
        <v>46</v>
      </c>
      <c r="P915" s="21">
        <v>75224</v>
      </c>
      <c r="Q915" s="21">
        <v>2015</v>
      </c>
      <c r="R915" s="21" t="s">
        <v>46</v>
      </c>
      <c r="S915" s="21">
        <v>1</v>
      </c>
      <c r="T915" s="21">
        <v>1</v>
      </c>
      <c r="U915" s="21" t="s">
        <v>5466</v>
      </c>
      <c r="V915" s="22" t="s">
        <v>5467</v>
      </c>
      <c r="W915" s="22"/>
      <c r="X915" s="22"/>
      <c r="Y915" s="22"/>
      <c r="Z915" s="22"/>
      <c r="AA915" s="22"/>
      <c r="AB915" s="22"/>
      <c r="AC915" s="22"/>
      <c r="AD915" s="22"/>
    </row>
    <row r="916" spans="1:30" ht="17.149999999999999" hidden="1" customHeight="1">
      <c r="A916" s="1" t="s">
        <v>5468</v>
      </c>
      <c r="B916" s="1"/>
      <c r="C916" s="1" t="s">
        <v>5469</v>
      </c>
      <c r="D916" s="1"/>
      <c r="E916" s="1"/>
      <c r="F916" s="1"/>
      <c r="G916" s="1"/>
      <c r="H916" s="1" t="s">
        <v>249</v>
      </c>
      <c r="I916" s="1" t="s">
        <v>3897</v>
      </c>
      <c r="J916" s="1" t="s">
        <v>5470</v>
      </c>
      <c r="K916" s="1" t="s">
        <v>5471</v>
      </c>
      <c r="L916" s="1" t="s">
        <v>45</v>
      </c>
      <c r="M916" s="1" t="s">
        <v>3058</v>
      </c>
      <c r="N916" s="1">
        <v>82858</v>
      </c>
      <c r="O916" s="1">
        <v>2018</v>
      </c>
      <c r="P916" s="1">
        <v>105341</v>
      </c>
      <c r="Q916" s="1">
        <v>2018</v>
      </c>
      <c r="R916" s="1" t="s">
        <v>46</v>
      </c>
      <c r="S916" s="1">
        <v>1</v>
      </c>
      <c r="T916" s="1">
        <v>1</v>
      </c>
      <c r="U916" s="1" t="s">
        <v>5472</v>
      </c>
      <c r="AA916" s="94" t="s">
        <v>963</v>
      </c>
      <c r="AB916" s="22"/>
      <c r="AC916" s="44"/>
      <c r="AD916" s="44"/>
    </row>
    <row r="917" spans="1:30" ht="17.149999999999999" hidden="1" customHeight="1">
      <c r="A917" s="1" t="s">
        <v>5473</v>
      </c>
      <c r="B917" s="1"/>
      <c r="C917" s="1" t="s">
        <v>5474</v>
      </c>
      <c r="D917" s="1"/>
      <c r="E917" s="1"/>
      <c r="F917" s="1"/>
      <c r="G917" s="1"/>
      <c r="H917" s="1" t="s">
        <v>249</v>
      </c>
      <c r="I917" s="1" t="s">
        <v>2316</v>
      </c>
      <c r="J917" s="1" t="s">
        <v>5475</v>
      </c>
      <c r="K917" s="1" t="s">
        <v>5476</v>
      </c>
      <c r="L917" s="1" t="s">
        <v>45</v>
      </c>
      <c r="M917" s="1" t="s">
        <v>5477</v>
      </c>
      <c r="N917" s="1">
        <v>82723</v>
      </c>
      <c r="O917" s="1">
        <v>2015</v>
      </c>
      <c r="P917" s="1">
        <v>96180</v>
      </c>
      <c r="Q917" s="1">
        <v>2018</v>
      </c>
      <c r="R917" s="1" t="s">
        <v>46</v>
      </c>
      <c r="S917" s="1">
        <v>1</v>
      </c>
      <c r="T917" s="1">
        <v>1</v>
      </c>
      <c r="U917" s="1" t="s">
        <v>5478</v>
      </c>
    </row>
    <row r="918" spans="1:30" ht="17.149999999999999" hidden="1" customHeight="1">
      <c r="A918" s="1" t="s">
        <v>5479</v>
      </c>
      <c r="B918" s="1"/>
      <c r="C918" s="1" t="s">
        <v>5480</v>
      </c>
      <c r="D918" s="1"/>
      <c r="E918" s="1"/>
      <c r="F918" s="1"/>
      <c r="G918" s="1"/>
      <c r="H918" s="1" t="s">
        <v>128</v>
      </c>
      <c r="I918" s="1" t="s">
        <v>5481</v>
      </c>
      <c r="J918" s="1" t="s">
        <v>5482</v>
      </c>
      <c r="K918" s="1" t="s">
        <v>5483</v>
      </c>
      <c r="L918" s="1" t="s">
        <v>118</v>
      </c>
      <c r="M918" s="1" t="s">
        <v>5484</v>
      </c>
      <c r="N918" s="1" t="s">
        <v>46</v>
      </c>
      <c r="O918" s="1" t="s">
        <v>46</v>
      </c>
      <c r="P918" s="1">
        <v>75000</v>
      </c>
      <c r="Q918" s="1">
        <v>2019</v>
      </c>
      <c r="R918" s="1">
        <v>1</v>
      </c>
      <c r="S918" s="1" t="s">
        <v>46</v>
      </c>
      <c r="T918" s="1" t="s">
        <v>46</v>
      </c>
      <c r="U918" s="1" t="s">
        <v>5485</v>
      </c>
    </row>
    <row r="919" spans="1:30" ht="17.149999999999999" hidden="1" customHeight="1">
      <c r="A919" s="1" t="s">
        <v>5486</v>
      </c>
      <c r="B919" s="1"/>
      <c r="C919" s="1" t="s">
        <v>5487</v>
      </c>
      <c r="D919" s="1"/>
      <c r="E919" s="1"/>
      <c r="F919" s="1"/>
      <c r="G919" s="1"/>
      <c r="H919" s="1" t="s">
        <v>177</v>
      </c>
      <c r="I919" s="1" t="s">
        <v>392</v>
      </c>
      <c r="J919" s="1" t="s">
        <v>5488</v>
      </c>
      <c r="K919" s="1" t="s">
        <v>5489</v>
      </c>
      <c r="L919" s="1" t="s">
        <v>118</v>
      </c>
      <c r="M919" s="1" t="s">
        <v>5490</v>
      </c>
      <c r="N919" s="1">
        <v>75000</v>
      </c>
      <c r="O919" s="1">
        <v>2017</v>
      </c>
      <c r="P919" s="1">
        <v>75000</v>
      </c>
      <c r="Q919" s="1">
        <v>2017</v>
      </c>
      <c r="R919" s="1" t="s">
        <v>46</v>
      </c>
      <c r="S919" s="1">
        <v>1</v>
      </c>
      <c r="T919" s="1" t="s">
        <v>46</v>
      </c>
      <c r="U919" s="1" t="s">
        <v>5491</v>
      </c>
    </row>
    <row r="920" spans="1:30" ht="17.149999999999999" hidden="1" customHeight="1">
      <c r="A920" s="1" t="s">
        <v>5492</v>
      </c>
      <c r="B920" s="1"/>
      <c r="C920" s="1" t="s">
        <v>5493</v>
      </c>
      <c r="D920" s="1"/>
      <c r="E920" s="1"/>
      <c r="F920" s="1"/>
      <c r="G920" s="1"/>
      <c r="H920" s="1" t="s">
        <v>128</v>
      </c>
      <c r="I920" s="1" t="s">
        <v>3513</v>
      </c>
      <c r="J920" s="1" t="s">
        <v>5494</v>
      </c>
      <c r="K920" s="1" t="s">
        <v>5495</v>
      </c>
      <c r="L920" s="1" t="s">
        <v>45</v>
      </c>
      <c r="M920" s="1" t="s">
        <v>46</v>
      </c>
      <c r="N920" s="1">
        <v>75000</v>
      </c>
      <c r="O920" s="1">
        <v>2019</v>
      </c>
      <c r="P920" s="1">
        <v>75000</v>
      </c>
      <c r="Q920" s="1">
        <v>2019</v>
      </c>
      <c r="R920" s="1" t="s">
        <v>46</v>
      </c>
      <c r="S920" s="1">
        <v>1</v>
      </c>
      <c r="T920" s="1">
        <v>1</v>
      </c>
      <c r="U920" s="1" t="s">
        <v>5496</v>
      </c>
    </row>
    <row r="921" spans="1:30" ht="17.149999999999999" hidden="1" customHeight="1">
      <c r="A921" s="1" t="s">
        <v>5497</v>
      </c>
      <c r="B921" s="1"/>
      <c r="C921" s="1" t="s">
        <v>5498</v>
      </c>
      <c r="D921" s="1"/>
      <c r="E921" s="1"/>
      <c r="F921" s="1"/>
      <c r="G921" s="1"/>
      <c r="H921" s="1" t="s">
        <v>110</v>
      </c>
      <c r="I921" s="1" t="s">
        <v>46</v>
      </c>
      <c r="J921" s="1" t="s">
        <v>5499</v>
      </c>
      <c r="K921" s="1" t="s">
        <v>5500</v>
      </c>
      <c r="L921" s="1" t="s">
        <v>45</v>
      </c>
      <c r="M921" s="1" t="s">
        <v>46</v>
      </c>
      <c r="N921" s="1">
        <v>75000</v>
      </c>
      <c r="O921" s="1">
        <v>2015</v>
      </c>
      <c r="P921" s="1">
        <v>75000</v>
      </c>
      <c r="Q921" s="1">
        <v>2015</v>
      </c>
      <c r="R921" s="1" t="s">
        <v>46</v>
      </c>
      <c r="S921" s="1">
        <v>1</v>
      </c>
      <c r="T921" s="1">
        <v>1</v>
      </c>
      <c r="U921" s="1" t="s">
        <v>5501</v>
      </c>
    </row>
    <row r="922" spans="1:30" ht="17.149999999999999" hidden="1" customHeight="1">
      <c r="A922" s="1" t="s">
        <v>5502</v>
      </c>
      <c r="B922" s="1"/>
      <c r="C922" s="1" t="s">
        <v>5503</v>
      </c>
      <c r="D922" s="1"/>
      <c r="E922" s="1"/>
      <c r="F922" s="1"/>
      <c r="G922" s="1"/>
      <c r="H922" s="1" t="s">
        <v>249</v>
      </c>
      <c r="I922" s="1" t="s">
        <v>1960</v>
      </c>
      <c r="J922" s="1" t="s">
        <v>5504</v>
      </c>
      <c r="K922" s="1" t="s">
        <v>5505</v>
      </c>
      <c r="L922" s="1" t="s">
        <v>45</v>
      </c>
      <c r="M922" s="1" t="s">
        <v>5506</v>
      </c>
      <c r="N922" s="1">
        <v>81508</v>
      </c>
      <c r="O922" s="1">
        <v>2018</v>
      </c>
      <c r="P922" s="1">
        <v>116426</v>
      </c>
      <c r="Q922" s="1">
        <v>2018</v>
      </c>
      <c r="R922" s="1" t="s">
        <v>46</v>
      </c>
      <c r="S922" s="1">
        <v>1</v>
      </c>
      <c r="T922" s="1">
        <v>1</v>
      </c>
      <c r="U922" s="1" t="s">
        <v>5507</v>
      </c>
    </row>
    <row r="923" spans="1:30" ht="17.149999999999999" hidden="1" customHeight="1">
      <c r="A923" s="1" t="s">
        <v>5508</v>
      </c>
      <c r="B923" s="1"/>
      <c r="C923" s="1" t="s">
        <v>5509</v>
      </c>
      <c r="D923" s="1"/>
      <c r="E923" s="1"/>
      <c r="F923" s="1"/>
      <c r="G923" s="1"/>
      <c r="H923" s="1" t="s">
        <v>177</v>
      </c>
      <c r="I923" s="1" t="s">
        <v>3474</v>
      </c>
      <c r="J923" s="1" t="s">
        <v>5510</v>
      </c>
      <c r="K923" s="1" t="s">
        <v>5511</v>
      </c>
      <c r="L923" s="1" t="s">
        <v>118</v>
      </c>
      <c r="M923" s="1" t="s">
        <v>5151</v>
      </c>
      <c r="N923" s="1">
        <v>74700</v>
      </c>
      <c r="O923" s="1">
        <v>2015</v>
      </c>
      <c r="P923" s="1">
        <v>74700</v>
      </c>
      <c r="Q923" s="1">
        <v>2015</v>
      </c>
      <c r="R923" s="1" t="s">
        <v>46</v>
      </c>
      <c r="S923" s="1">
        <v>1</v>
      </c>
      <c r="T923" s="1">
        <v>1</v>
      </c>
      <c r="U923" s="1" t="s">
        <v>5152</v>
      </c>
    </row>
    <row r="924" spans="1:30" ht="17.149999999999999" hidden="1" customHeight="1">
      <c r="A924" s="1" t="s">
        <v>5512</v>
      </c>
      <c r="B924" s="1"/>
      <c r="C924" s="1" t="s">
        <v>5513</v>
      </c>
      <c r="D924" s="1"/>
      <c r="E924" s="1"/>
      <c r="F924" s="1"/>
      <c r="G924" s="1"/>
      <c r="H924" s="1" t="s">
        <v>249</v>
      </c>
      <c r="I924" s="1" t="s">
        <v>5514</v>
      </c>
      <c r="J924" s="1" t="s">
        <v>5515</v>
      </c>
      <c r="K924" s="1" t="s">
        <v>5516</v>
      </c>
      <c r="L924" s="1" t="s">
        <v>45</v>
      </c>
      <c r="M924" s="1" t="s">
        <v>46</v>
      </c>
      <c r="N924" s="1">
        <v>77372</v>
      </c>
      <c r="O924" s="1">
        <v>2018</v>
      </c>
      <c r="P924" s="1">
        <v>78713</v>
      </c>
      <c r="Q924" s="1">
        <v>2018</v>
      </c>
      <c r="R924" s="1" t="s">
        <v>46</v>
      </c>
      <c r="S924" s="1">
        <v>1</v>
      </c>
      <c r="T924" s="1">
        <v>1</v>
      </c>
      <c r="U924" s="1" t="s">
        <v>5517</v>
      </c>
    </row>
    <row r="925" spans="1:30" ht="17.149999999999999" hidden="1" customHeight="1">
      <c r="A925" s="1" t="s">
        <v>5518</v>
      </c>
      <c r="B925" s="1"/>
      <c r="C925" s="1" t="s">
        <v>5519</v>
      </c>
      <c r="D925" s="1"/>
      <c r="E925" s="1"/>
      <c r="F925" s="1"/>
      <c r="G925" s="1"/>
      <c r="H925" s="1" t="s">
        <v>249</v>
      </c>
      <c r="I925" s="1" t="s">
        <v>46</v>
      </c>
      <c r="J925" s="1" t="s">
        <v>5520</v>
      </c>
      <c r="K925" s="1" t="s">
        <v>5521</v>
      </c>
      <c r="L925" s="1" t="s">
        <v>46</v>
      </c>
      <c r="M925" s="1" t="s">
        <v>46</v>
      </c>
      <c r="N925" s="1">
        <v>76698</v>
      </c>
      <c r="O925" s="1">
        <v>2015</v>
      </c>
      <c r="P925" s="1">
        <v>76698</v>
      </c>
      <c r="Q925" s="1">
        <v>2015</v>
      </c>
      <c r="R925" s="1" t="s">
        <v>46</v>
      </c>
      <c r="S925" s="1">
        <v>1</v>
      </c>
      <c r="T925" s="1">
        <v>1</v>
      </c>
      <c r="U925" s="1" t="s">
        <v>1005</v>
      </c>
    </row>
    <row r="926" spans="1:30" ht="17.149999999999999" hidden="1" customHeight="1">
      <c r="A926" s="1" t="s">
        <v>5522</v>
      </c>
      <c r="B926" s="1"/>
      <c r="C926" s="1" t="s">
        <v>5523</v>
      </c>
      <c r="D926" s="1"/>
      <c r="E926" s="1"/>
      <c r="F926" s="1"/>
      <c r="G926" s="1"/>
      <c r="H926" s="1" t="s">
        <v>110</v>
      </c>
      <c r="I926" s="1" t="s">
        <v>46</v>
      </c>
      <c r="J926" s="1" t="s">
        <v>5524</v>
      </c>
      <c r="K926" s="1" t="s">
        <v>3205</v>
      </c>
      <c r="L926" s="1" t="s">
        <v>45</v>
      </c>
      <c r="M926" s="1" t="s">
        <v>46</v>
      </c>
      <c r="N926" s="1">
        <v>100000</v>
      </c>
      <c r="O926" s="1">
        <v>2019</v>
      </c>
      <c r="P926" s="1">
        <v>74616</v>
      </c>
      <c r="Q926" s="1">
        <v>2015</v>
      </c>
      <c r="R926" s="1" t="s">
        <v>46</v>
      </c>
      <c r="S926" s="1">
        <v>1</v>
      </c>
      <c r="T926" s="1">
        <v>1</v>
      </c>
      <c r="U926" s="1" t="s">
        <v>5525</v>
      </c>
    </row>
    <row r="927" spans="1:30" ht="17.149999999999999" hidden="1" customHeight="1">
      <c r="A927" s="1" t="s">
        <v>5526</v>
      </c>
      <c r="B927" s="1"/>
      <c r="C927" s="1" t="s">
        <v>5527</v>
      </c>
      <c r="D927" s="1"/>
      <c r="E927" s="1"/>
      <c r="F927" s="1"/>
      <c r="G927" s="1"/>
      <c r="H927" s="1" t="s">
        <v>128</v>
      </c>
      <c r="I927" s="1" t="s">
        <v>926</v>
      </c>
      <c r="J927" s="1" t="s">
        <v>5528</v>
      </c>
      <c r="K927" s="1" t="s">
        <v>5529</v>
      </c>
      <c r="L927" s="1" t="s">
        <v>45</v>
      </c>
      <c r="M927" s="1" t="s">
        <v>46</v>
      </c>
      <c r="N927" s="1">
        <v>79028</v>
      </c>
      <c r="O927" s="1">
        <v>2018</v>
      </c>
      <c r="P927" s="1">
        <v>74602</v>
      </c>
      <c r="Q927" s="1">
        <v>2018</v>
      </c>
      <c r="R927" s="1" t="s">
        <v>46</v>
      </c>
      <c r="S927" s="1">
        <v>1</v>
      </c>
      <c r="T927" s="1">
        <v>1</v>
      </c>
      <c r="U927" s="1" t="s">
        <v>5530</v>
      </c>
    </row>
    <row r="928" spans="1:30" ht="17.149999999999999" hidden="1" customHeight="1">
      <c r="A928" s="1" t="s">
        <v>5531</v>
      </c>
      <c r="B928" s="1"/>
      <c r="C928" s="1" t="s">
        <v>5532</v>
      </c>
      <c r="D928" s="1"/>
      <c r="E928" s="1"/>
      <c r="F928" s="1"/>
      <c r="G928" s="1"/>
      <c r="H928" s="1" t="s">
        <v>1669</v>
      </c>
      <c r="I928" s="1" t="s">
        <v>46</v>
      </c>
      <c r="J928" s="1" t="s">
        <v>5533</v>
      </c>
      <c r="K928" s="1" t="s">
        <v>5534</v>
      </c>
      <c r="L928" s="1" t="s">
        <v>45</v>
      </c>
      <c r="M928" s="1" t="s">
        <v>46</v>
      </c>
      <c r="N928" s="1">
        <v>36899</v>
      </c>
      <c r="O928" s="1">
        <v>2023</v>
      </c>
      <c r="P928" s="1">
        <v>74380</v>
      </c>
      <c r="Q928" s="1">
        <v>2023</v>
      </c>
      <c r="R928" s="1" t="s">
        <v>46</v>
      </c>
      <c r="S928" s="1">
        <v>1</v>
      </c>
      <c r="T928" s="1" t="s">
        <v>46</v>
      </c>
      <c r="U928" s="1" t="s">
        <v>5535</v>
      </c>
    </row>
    <row r="929" spans="1:41" ht="17.149999999999999" customHeight="1">
      <c r="A929" s="14" t="s">
        <v>5536</v>
      </c>
      <c r="B929" s="14" t="s">
        <v>37</v>
      </c>
      <c r="C929" s="63" t="s">
        <v>5537</v>
      </c>
      <c r="D929" s="17" t="s">
        <v>1460</v>
      </c>
      <c r="E929" s="17" t="s">
        <v>1461</v>
      </c>
      <c r="F929" s="17" t="s">
        <v>62</v>
      </c>
      <c r="G929" s="61" t="s">
        <v>40</v>
      </c>
      <c r="H929" s="14" t="s">
        <v>41</v>
      </c>
      <c r="I929" s="14" t="s">
        <v>135</v>
      </c>
      <c r="J929" s="14" t="s">
        <v>1463</v>
      </c>
      <c r="K929" s="14" t="s">
        <v>5538</v>
      </c>
      <c r="L929" s="14" t="s">
        <v>45</v>
      </c>
      <c r="M929" s="14" t="s">
        <v>46</v>
      </c>
      <c r="N929" s="14">
        <v>180000</v>
      </c>
      <c r="O929" s="14">
        <v>2015</v>
      </c>
      <c r="P929" s="14">
        <v>25000</v>
      </c>
      <c r="Q929" s="14">
        <v>2015</v>
      </c>
      <c r="R929" s="14" t="s">
        <v>46</v>
      </c>
      <c r="S929" s="14">
        <v>1</v>
      </c>
      <c r="T929" s="14" t="s">
        <v>46</v>
      </c>
      <c r="U929" s="14" t="s">
        <v>5539</v>
      </c>
      <c r="V929" s="6" t="s">
        <v>40</v>
      </c>
      <c r="W929" s="6" t="s">
        <v>323</v>
      </c>
      <c r="X929" s="33" t="s">
        <v>40</v>
      </c>
      <c r="Y929" s="33"/>
      <c r="Z929" s="6" t="s">
        <v>5540</v>
      </c>
      <c r="AA929" s="6" t="s">
        <v>1467</v>
      </c>
      <c r="AB929" s="6" t="s">
        <v>5541</v>
      </c>
      <c r="AC929" s="6" t="s">
        <v>5542</v>
      </c>
      <c r="AD929" s="6" t="s">
        <v>40</v>
      </c>
      <c r="AE929" s="2">
        <v>1</v>
      </c>
      <c r="AF929" s="2" t="s">
        <v>53</v>
      </c>
      <c r="AH929" s="2" t="s">
        <v>55</v>
      </c>
      <c r="AJ929" s="2" t="s">
        <v>57</v>
      </c>
    </row>
    <row r="930" spans="1:41" ht="17.149999999999999" hidden="1" customHeight="1">
      <c r="A930" s="1" t="s">
        <v>5543</v>
      </c>
      <c r="B930" s="1"/>
      <c r="C930" s="1" t="s">
        <v>5544</v>
      </c>
      <c r="D930" s="1"/>
      <c r="E930" s="1"/>
      <c r="F930" s="1"/>
      <c r="G930" s="1"/>
      <c r="H930" s="1" t="s">
        <v>249</v>
      </c>
      <c r="I930" s="1" t="s">
        <v>2899</v>
      </c>
      <c r="J930" s="1" t="s">
        <v>2900</v>
      </c>
      <c r="K930" s="1" t="s">
        <v>5545</v>
      </c>
      <c r="L930" s="1" t="s">
        <v>45</v>
      </c>
      <c r="M930" s="1" t="s">
        <v>46</v>
      </c>
      <c r="N930" s="1">
        <v>76330</v>
      </c>
      <c r="O930" s="1">
        <v>2018</v>
      </c>
      <c r="P930" s="1">
        <v>76067</v>
      </c>
      <c r="Q930" s="1">
        <v>2015</v>
      </c>
      <c r="R930" s="1" t="s">
        <v>46</v>
      </c>
      <c r="S930" s="1">
        <v>1</v>
      </c>
      <c r="T930" s="1">
        <v>1</v>
      </c>
      <c r="U930" s="1" t="s">
        <v>5546</v>
      </c>
    </row>
    <row r="931" spans="1:41" ht="17.149999999999999" hidden="1" customHeight="1">
      <c r="A931" s="1" t="s">
        <v>5547</v>
      </c>
      <c r="B931" s="1"/>
      <c r="C931" s="1" t="s">
        <v>5548</v>
      </c>
      <c r="D931" s="1"/>
      <c r="E931" s="1"/>
      <c r="F931" s="1"/>
      <c r="G931" s="1"/>
      <c r="H931" s="1" t="s">
        <v>110</v>
      </c>
      <c r="I931" s="1" t="s">
        <v>46</v>
      </c>
      <c r="J931" s="1" t="s">
        <v>5549</v>
      </c>
      <c r="K931" s="1" t="s">
        <v>5550</v>
      </c>
      <c r="L931" s="1" t="s">
        <v>45</v>
      </c>
      <c r="M931" s="1" t="s">
        <v>46</v>
      </c>
      <c r="N931" s="1">
        <v>73743</v>
      </c>
      <c r="O931" s="1">
        <v>2015</v>
      </c>
      <c r="P931" s="1">
        <v>73743</v>
      </c>
      <c r="Q931" s="1">
        <v>2015</v>
      </c>
      <c r="R931" s="1" t="s">
        <v>46</v>
      </c>
      <c r="S931" s="1">
        <v>1</v>
      </c>
      <c r="T931" s="1">
        <v>1</v>
      </c>
      <c r="U931" s="1" t="s">
        <v>5551</v>
      </c>
    </row>
    <row r="932" spans="1:41" ht="17.149999999999999" hidden="1" customHeight="1">
      <c r="A932" s="1" t="s">
        <v>5552</v>
      </c>
      <c r="B932" s="1"/>
      <c r="C932" s="1" t="s">
        <v>5553</v>
      </c>
      <c r="D932" s="1"/>
      <c r="E932" s="1"/>
      <c r="F932" s="1"/>
      <c r="G932" s="1"/>
      <c r="H932" s="1" t="s">
        <v>506</v>
      </c>
      <c r="I932" s="1" t="s">
        <v>46</v>
      </c>
      <c r="J932" s="1" t="s">
        <v>5554</v>
      </c>
      <c r="K932" s="1" t="s">
        <v>5555</v>
      </c>
      <c r="L932" s="1" t="s">
        <v>45</v>
      </c>
      <c r="M932" s="1" t="s">
        <v>46</v>
      </c>
      <c r="N932" s="1">
        <v>73333</v>
      </c>
      <c r="O932" s="1">
        <v>2016</v>
      </c>
      <c r="P932" s="1">
        <v>73333</v>
      </c>
      <c r="Q932" s="1">
        <v>2016</v>
      </c>
      <c r="R932" s="1" t="s">
        <v>46</v>
      </c>
      <c r="S932" s="1">
        <v>1</v>
      </c>
      <c r="T932" s="1">
        <v>1</v>
      </c>
      <c r="U932" s="1" t="s">
        <v>5556</v>
      </c>
    </row>
    <row r="933" spans="1:41" ht="17.149999999999999" hidden="1" customHeight="1">
      <c r="A933" s="1" t="s">
        <v>5557</v>
      </c>
      <c r="B933" s="1"/>
      <c r="C933" s="1" t="s">
        <v>5558</v>
      </c>
      <c r="D933" s="1"/>
      <c r="E933" s="1"/>
      <c r="F933" s="1"/>
      <c r="G933" s="1"/>
      <c r="H933" s="1" t="s">
        <v>249</v>
      </c>
      <c r="I933" s="1" t="s">
        <v>1747</v>
      </c>
      <c r="J933" s="1" t="s">
        <v>5559</v>
      </c>
      <c r="K933" s="1" t="s">
        <v>5560</v>
      </c>
      <c r="L933" s="1" t="s">
        <v>45</v>
      </c>
      <c r="M933" s="1" t="s">
        <v>5561</v>
      </c>
      <c r="N933" s="1">
        <v>76161</v>
      </c>
      <c r="O933" s="1">
        <v>2018</v>
      </c>
      <c r="P933" s="1">
        <v>39484</v>
      </c>
      <c r="Q933" s="1">
        <v>2018</v>
      </c>
      <c r="R933" s="1" t="s">
        <v>46</v>
      </c>
      <c r="S933" s="1">
        <v>1</v>
      </c>
      <c r="T933" s="1">
        <v>1</v>
      </c>
      <c r="U933" s="1" t="s">
        <v>5562</v>
      </c>
    </row>
    <row r="934" spans="1:41" s="42" customFormat="1" ht="17.149999999999999" customHeight="1">
      <c r="A934" s="41" t="s">
        <v>5563</v>
      </c>
      <c r="B934" s="41" t="s">
        <v>1198</v>
      </c>
      <c r="C934" s="41" t="s">
        <v>5564</v>
      </c>
      <c r="D934" s="144" t="s">
        <v>5565</v>
      </c>
      <c r="E934" s="144" t="s">
        <v>5565</v>
      </c>
      <c r="F934" s="1" t="s">
        <v>5566</v>
      </c>
      <c r="G934" s="1"/>
      <c r="H934" s="41" t="s">
        <v>506</v>
      </c>
      <c r="I934" s="41" t="s">
        <v>46</v>
      </c>
      <c r="J934" s="41" t="s">
        <v>5567</v>
      </c>
      <c r="K934" s="41" t="s">
        <v>5568</v>
      </c>
      <c r="L934" s="41" t="s">
        <v>45</v>
      </c>
      <c r="M934" s="41" t="s">
        <v>46</v>
      </c>
      <c r="N934" s="41">
        <v>1400000</v>
      </c>
      <c r="O934" s="41">
        <v>2017</v>
      </c>
      <c r="P934" s="41">
        <v>1400000</v>
      </c>
      <c r="Q934" s="41">
        <v>2017</v>
      </c>
      <c r="R934" s="41" t="s">
        <v>46</v>
      </c>
      <c r="S934" s="41">
        <v>1</v>
      </c>
      <c r="T934" s="41">
        <v>1</v>
      </c>
      <c r="U934" s="41" t="s">
        <v>5569</v>
      </c>
      <c r="V934" s="42" t="s">
        <v>40</v>
      </c>
      <c r="W934" s="42" t="s">
        <v>1216</v>
      </c>
      <c r="X934" s="42" t="s">
        <v>40</v>
      </c>
      <c r="Z934" s="42" t="s">
        <v>5570</v>
      </c>
      <c r="AE934" s="42">
        <v>2</v>
      </c>
      <c r="AF934" s="42" t="s">
        <v>1263</v>
      </c>
      <c r="AJ934" s="2" t="s">
        <v>57</v>
      </c>
      <c r="AK934" s="2"/>
      <c r="AL934" s="2"/>
      <c r="AM934" s="2"/>
      <c r="AN934" s="2"/>
      <c r="AO934" s="2"/>
    </row>
    <row r="935" spans="1:41" ht="17.149999999999999" hidden="1" customHeight="1">
      <c r="A935" s="1" t="s">
        <v>5571</v>
      </c>
      <c r="B935" s="1"/>
      <c r="C935" s="1" t="s">
        <v>5572</v>
      </c>
      <c r="D935" s="1"/>
      <c r="E935" s="1"/>
      <c r="F935" s="1"/>
      <c r="G935" s="1"/>
      <c r="H935" s="1" t="s">
        <v>110</v>
      </c>
      <c r="I935" s="1" t="s">
        <v>46</v>
      </c>
      <c r="J935" s="1" t="s">
        <v>3221</v>
      </c>
      <c r="K935" s="1" t="s">
        <v>5573</v>
      </c>
      <c r="L935" s="1" t="s">
        <v>45</v>
      </c>
      <c r="M935" s="1" t="s">
        <v>46</v>
      </c>
      <c r="N935" s="1" t="s">
        <v>46</v>
      </c>
      <c r="O935" s="1" t="s">
        <v>46</v>
      </c>
      <c r="P935" s="1">
        <v>72840</v>
      </c>
      <c r="Q935" s="1">
        <v>2015</v>
      </c>
      <c r="R935" s="1" t="s">
        <v>46</v>
      </c>
      <c r="S935" s="1">
        <v>1</v>
      </c>
      <c r="T935" s="1">
        <v>1</v>
      </c>
      <c r="U935" s="1" t="s">
        <v>5574</v>
      </c>
      <c r="AH935" s="39"/>
      <c r="AI935" s="39"/>
      <c r="AJ935" s="39"/>
    </row>
    <row r="936" spans="1:41" ht="17.149999999999999" hidden="1" customHeight="1">
      <c r="A936" s="1" t="s">
        <v>5575</v>
      </c>
      <c r="B936" s="1"/>
      <c r="C936" s="1" t="s">
        <v>5576</v>
      </c>
      <c r="D936" s="1"/>
      <c r="E936" s="1"/>
      <c r="F936" s="1"/>
      <c r="G936" s="1"/>
      <c r="H936" s="1" t="s">
        <v>334</v>
      </c>
      <c r="I936" s="1" t="s">
        <v>46</v>
      </c>
      <c r="J936" s="1" t="s">
        <v>460</v>
      </c>
      <c r="K936" s="1" t="s">
        <v>5577</v>
      </c>
      <c r="L936" s="1" t="s">
        <v>45</v>
      </c>
      <c r="M936" s="1" t="s">
        <v>46</v>
      </c>
      <c r="N936" s="1">
        <v>75715</v>
      </c>
      <c r="O936" s="1">
        <v>2015</v>
      </c>
      <c r="P936" s="1">
        <v>72715</v>
      </c>
      <c r="Q936" s="1">
        <v>2015</v>
      </c>
      <c r="R936" s="1" t="s">
        <v>46</v>
      </c>
      <c r="S936" s="1">
        <v>1</v>
      </c>
      <c r="T936" s="1" t="s">
        <v>46</v>
      </c>
      <c r="U936" s="1" t="s">
        <v>5578</v>
      </c>
    </row>
    <row r="937" spans="1:41" ht="17.149999999999999" hidden="1" customHeight="1">
      <c r="A937" s="1" t="s">
        <v>5579</v>
      </c>
      <c r="B937" s="1"/>
      <c r="C937" s="1" t="s">
        <v>5580</v>
      </c>
      <c r="D937" s="1"/>
      <c r="E937" s="1"/>
      <c r="F937" s="1"/>
      <c r="G937" s="1"/>
      <c r="H937" s="1" t="s">
        <v>249</v>
      </c>
      <c r="I937" s="1" t="s">
        <v>3305</v>
      </c>
      <c r="J937" s="1" t="s">
        <v>5581</v>
      </c>
      <c r="K937" s="1" t="s">
        <v>5582</v>
      </c>
      <c r="L937" s="1" t="s">
        <v>45</v>
      </c>
      <c r="M937" s="1" t="s">
        <v>1311</v>
      </c>
      <c r="N937" s="1">
        <v>75770</v>
      </c>
      <c r="O937" s="1">
        <v>2018</v>
      </c>
      <c r="P937" s="1">
        <v>74689</v>
      </c>
      <c r="Q937" s="1">
        <v>2018</v>
      </c>
      <c r="R937" s="1" t="s">
        <v>46</v>
      </c>
      <c r="S937" s="1">
        <v>1</v>
      </c>
      <c r="T937" s="1">
        <v>1</v>
      </c>
      <c r="U937" s="1" t="s">
        <v>5583</v>
      </c>
    </row>
    <row r="938" spans="1:41" ht="17.149999999999999" hidden="1" customHeight="1">
      <c r="A938" s="1" t="s">
        <v>5584</v>
      </c>
      <c r="B938" s="1"/>
      <c r="C938" s="1" t="s">
        <v>5585</v>
      </c>
      <c r="D938" s="1"/>
      <c r="E938" s="1"/>
      <c r="F938" s="1"/>
      <c r="G938" s="1"/>
      <c r="H938" s="1" t="s">
        <v>177</v>
      </c>
      <c r="I938" s="1" t="s">
        <v>1242</v>
      </c>
      <c r="J938" s="1" t="s">
        <v>5586</v>
      </c>
      <c r="K938" s="1" t="s">
        <v>5587</v>
      </c>
      <c r="L938" s="1" t="s">
        <v>118</v>
      </c>
      <c r="M938" s="1" t="s">
        <v>5588</v>
      </c>
      <c r="N938" s="1">
        <v>72000</v>
      </c>
      <c r="O938" s="1">
        <v>2019</v>
      </c>
      <c r="P938" s="1">
        <v>72000</v>
      </c>
      <c r="Q938" s="1">
        <v>2019</v>
      </c>
      <c r="R938" s="1" t="s">
        <v>46</v>
      </c>
      <c r="S938" s="1">
        <v>1</v>
      </c>
      <c r="T938" s="1">
        <v>1</v>
      </c>
      <c r="U938" s="1" t="s">
        <v>5589</v>
      </c>
    </row>
    <row r="939" spans="1:41" ht="17.149999999999999" hidden="1" customHeight="1">
      <c r="A939" s="1" t="s">
        <v>5590</v>
      </c>
      <c r="B939" s="1"/>
      <c r="C939" s="1" t="s">
        <v>5591</v>
      </c>
      <c r="D939" s="1"/>
      <c r="E939" s="1"/>
      <c r="F939" s="1"/>
      <c r="G939" s="1"/>
      <c r="H939" s="1" t="s">
        <v>500</v>
      </c>
      <c r="I939" s="1" t="s">
        <v>46</v>
      </c>
      <c r="J939" s="1" t="s">
        <v>5592</v>
      </c>
      <c r="K939" s="1" t="s">
        <v>5593</v>
      </c>
      <c r="L939" s="1" t="s">
        <v>45</v>
      </c>
      <c r="M939" s="1" t="s">
        <v>46</v>
      </c>
      <c r="N939" s="1">
        <v>72000</v>
      </c>
      <c r="O939" s="1">
        <v>2016</v>
      </c>
      <c r="P939" s="1">
        <v>72000</v>
      </c>
      <c r="Q939" s="1">
        <v>2016</v>
      </c>
      <c r="R939" s="1" t="s">
        <v>46</v>
      </c>
      <c r="S939" s="1">
        <v>1</v>
      </c>
      <c r="T939" s="1">
        <v>1</v>
      </c>
      <c r="U939" s="1" t="s">
        <v>5594</v>
      </c>
    </row>
    <row r="940" spans="1:41" ht="17.149999999999999" hidden="1" customHeight="1">
      <c r="A940" s="1" t="s">
        <v>5595</v>
      </c>
      <c r="B940" s="1"/>
      <c r="C940" s="1" t="s">
        <v>5596</v>
      </c>
      <c r="D940" s="1"/>
      <c r="E940" s="1"/>
      <c r="F940" s="1"/>
      <c r="G940" s="1"/>
      <c r="H940" s="1" t="s">
        <v>1669</v>
      </c>
      <c r="I940" s="1" t="s">
        <v>46</v>
      </c>
      <c r="J940" s="1" t="s">
        <v>5597</v>
      </c>
      <c r="K940" s="1" t="s">
        <v>5598</v>
      </c>
      <c r="L940" s="1" t="s">
        <v>45</v>
      </c>
      <c r="M940" s="1" t="s">
        <v>46</v>
      </c>
      <c r="N940" s="1">
        <v>45000</v>
      </c>
      <c r="O940" s="1">
        <v>2017</v>
      </c>
      <c r="P940" s="1">
        <v>71500</v>
      </c>
      <c r="Q940" s="1">
        <v>2017</v>
      </c>
      <c r="R940" s="1" t="s">
        <v>46</v>
      </c>
      <c r="S940" s="1">
        <v>1</v>
      </c>
      <c r="T940" s="1" t="s">
        <v>46</v>
      </c>
      <c r="U940" s="1" t="s">
        <v>5599</v>
      </c>
    </row>
    <row r="941" spans="1:41" ht="17.149999999999999" hidden="1" customHeight="1">
      <c r="A941" s="1" t="s">
        <v>5600</v>
      </c>
      <c r="B941" s="1"/>
      <c r="C941" s="1" t="s">
        <v>5601</v>
      </c>
      <c r="D941" s="1"/>
      <c r="E941" s="1"/>
      <c r="F941" s="1"/>
      <c r="G941" s="1"/>
      <c r="H941" s="1" t="s">
        <v>110</v>
      </c>
      <c r="I941" s="1" t="s">
        <v>46</v>
      </c>
      <c r="J941" s="1" t="s">
        <v>5602</v>
      </c>
      <c r="K941" s="1" t="s">
        <v>5603</v>
      </c>
      <c r="L941" s="1" t="s">
        <v>45</v>
      </c>
      <c r="M941" s="1" t="s">
        <v>5604</v>
      </c>
      <c r="N941" s="1">
        <v>71700</v>
      </c>
      <c r="O941" s="1">
        <v>2019</v>
      </c>
      <c r="P941" s="1">
        <v>71286</v>
      </c>
      <c r="Q941" s="1">
        <v>2015</v>
      </c>
      <c r="R941" s="1" t="s">
        <v>46</v>
      </c>
      <c r="S941" s="1">
        <v>1</v>
      </c>
      <c r="T941" s="1">
        <v>1</v>
      </c>
      <c r="U941" s="1" t="s">
        <v>5605</v>
      </c>
    </row>
    <row r="942" spans="1:41" s="42" customFormat="1" ht="17.149999999999999" hidden="1" customHeight="1">
      <c r="A942" s="1" t="s">
        <v>5606</v>
      </c>
      <c r="B942" s="1"/>
      <c r="C942" s="1" t="s">
        <v>5607</v>
      </c>
      <c r="D942" s="1"/>
      <c r="E942" s="1"/>
      <c r="F942" s="1"/>
      <c r="G942" s="1"/>
      <c r="H942" s="1" t="s">
        <v>110</v>
      </c>
      <c r="I942" s="1" t="s">
        <v>46</v>
      </c>
      <c r="J942" s="1" t="s">
        <v>5608</v>
      </c>
      <c r="K942" s="1" t="s">
        <v>5609</v>
      </c>
      <c r="L942" s="1" t="s">
        <v>45</v>
      </c>
      <c r="M942" s="1" t="s">
        <v>46</v>
      </c>
      <c r="N942" s="1">
        <v>71464</v>
      </c>
      <c r="O942" s="1">
        <v>2018</v>
      </c>
      <c r="P942" s="1">
        <v>71167</v>
      </c>
      <c r="Q942" s="1">
        <v>2018</v>
      </c>
      <c r="R942" s="1" t="s">
        <v>46</v>
      </c>
      <c r="S942" s="1">
        <v>1</v>
      </c>
      <c r="T942" s="1">
        <v>1</v>
      </c>
      <c r="U942" s="1" t="s">
        <v>5610</v>
      </c>
      <c r="V942" s="2"/>
      <c r="W942" s="2"/>
      <c r="X942" s="2"/>
      <c r="Y942" s="2"/>
      <c r="Z942" s="2"/>
      <c r="AA942" s="2"/>
      <c r="AB942" s="2"/>
      <c r="AC942" s="2"/>
      <c r="AD942" s="2"/>
      <c r="AE942" s="2"/>
      <c r="AF942" s="2"/>
      <c r="AG942" s="2"/>
      <c r="AH942" s="2"/>
      <c r="AI942" s="2"/>
      <c r="AJ942" s="2"/>
    </row>
    <row r="943" spans="1:41" ht="17.149999999999999" hidden="1" customHeight="1">
      <c r="A943" s="1" t="s">
        <v>5611</v>
      </c>
      <c r="B943" s="1"/>
      <c r="C943" s="1" t="s">
        <v>5612</v>
      </c>
      <c r="D943" s="1"/>
      <c r="E943" s="1"/>
      <c r="F943" s="1"/>
      <c r="G943" s="1"/>
      <c r="H943" s="1" t="s">
        <v>128</v>
      </c>
      <c r="I943" s="1" t="s">
        <v>908</v>
      </c>
      <c r="J943" s="1" t="s">
        <v>5613</v>
      </c>
      <c r="K943" s="1" t="s">
        <v>5614</v>
      </c>
      <c r="L943" s="1" t="s">
        <v>118</v>
      </c>
      <c r="M943" s="1" t="s">
        <v>5615</v>
      </c>
      <c r="N943" s="1">
        <v>71000</v>
      </c>
      <c r="O943" s="1">
        <v>2017</v>
      </c>
      <c r="P943" s="1">
        <v>71000</v>
      </c>
      <c r="Q943" s="1">
        <v>2015</v>
      </c>
      <c r="R943" s="1" t="s">
        <v>46</v>
      </c>
      <c r="S943" s="1">
        <v>1</v>
      </c>
      <c r="T943" s="1">
        <v>1</v>
      </c>
      <c r="U943" s="1" t="s">
        <v>5616</v>
      </c>
    </row>
    <row r="944" spans="1:41" ht="17.149999999999999" hidden="1" customHeight="1">
      <c r="A944" s="1" t="s">
        <v>5617</v>
      </c>
      <c r="B944" s="1"/>
      <c r="C944" s="1" t="s">
        <v>5618</v>
      </c>
      <c r="D944" s="1"/>
      <c r="E944" s="1"/>
      <c r="F944" s="1"/>
      <c r="G944" s="1"/>
      <c r="H944" s="1" t="s">
        <v>177</v>
      </c>
      <c r="I944" s="1" t="s">
        <v>1478</v>
      </c>
      <c r="J944" s="1" t="s">
        <v>1478</v>
      </c>
      <c r="K944" s="1" t="s">
        <v>5619</v>
      </c>
      <c r="L944" s="1" t="s">
        <v>118</v>
      </c>
      <c r="M944" s="1" t="s">
        <v>5620</v>
      </c>
      <c r="N944" s="1">
        <v>71000</v>
      </c>
      <c r="O944" s="1">
        <v>2019</v>
      </c>
      <c r="P944" s="1">
        <v>71000</v>
      </c>
      <c r="Q944" s="1">
        <v>2019</v>
      </c>
      <c r="R944" s="1" t="s">
        <v>46</v>
      </c>
      <c r="S944" s="1">
        <v>1</v>
      </c>
      <c r="T944" s="1">
        <v>1</v>
      </c>
      <c r="U944" s="1" t="s">
        <v>5621</v>
      </c>
    </row>
    <row r="945" spans="1:36" ht="17.149999999999999" hidden="1" customHeight="1">
      <c r="A945" s="1" t="s">
        <v>5622</v>
      </c>
      <c r="B945" s="1"/>
      <c r="C945" s="1" t="s">
        <v>5623</v>
      </c>
      <c r="D945" s="1"/>
      <c r="E945" s="1"/>
      <c r="F945" s="1"/>
      <c r="G945" s="1"/>
      <c r="H945" s="1" t="s">
        <v>500</v>
      </c>
      <c r="I945" s="1" t="s">
        <v>46</v>
      </c>
      <c r="J945" s="1" t="s">
        <v>5592</v>
      </c>
      <c r="K945" s="1" t="s">
        <v>508</v>
      </c>
      <c r="L945" s="1" t="s">
        <v>45</v>
      </c>
      <c r="M945" s="1" t="s">
        <v>46</v>
      </c>
      <c r="N945" s="1">
        <v>72000</v>
      </c>
      <c r="O945" s="1">
        <v>2017</v>
      </c>
      <c r="P945" s="1">
        <v>70500</v>
      </c>
      <c r="Q945" s="1">
        <v>2017</v>
      </c>
      <c r="R945" s="1" t="s">
        <v>46</v>
      </c>
      <c r="S945" s="1">
        <v>1</v>
      </c>
      <c r="T945" s="1" t="s">
        <v>46</v>
      </c>
      <c r="U945" s="1" t="s">
        <v>5624</v>
      </c>
    </row>
    <row r="946" spans="1:36" ht="17.149999999999999" hidden="1" customHeight="1">
      <c r="A946" s="1" t="s">
        <v>5625</v>
      </c>
      <c r="B946" s="1"/>
      <c r="C946" s="1" t="s">
        <v>5626</v>
      </c>
      <c r="D946" s="1"/>
      <c r="E946" s="1"/>
      <c r="F946" s="1"/>
      <c r="G946" s="1"/>
      <c r="H946" s="1" t="s">
        <v>640</v>
      </c>
      <c r="I946" s="1" t="s">
        <v>46</v>
      </c>
      <c r="J946" s="1" t="s">
        <v>5627</v>
      </c>
      <c r="K946" s="1" t="s">
        <v>5628</v>
      </c>
      <c r="L946" s="1" t="s">
        <v>45</v>
      </c>
      <c r="M946" s="1" t="s">
        <v>46</v>
      </c>
      <c r="N946" s="1">
        <v>70463</v>
      </c>
      <c r="O946" s="1">
        <v>2016</v>
      </c>
      <c r="P946" s="1">
        <v>70463</v>
      </c>
      <c r="Q946" s="1">
        <v>2016</v>
      </c>
      <c r="R946" s="1" t="s">
        <v>46</v>
      </c>
      <c r="S946" s="1">
        <v>1</v>
      </c>
      <c r="T946" s="1">
        <v>1</v>
      </c>
      <c r="U946" s="1" t="s">
        <v>5629</v>
      </c>
    </row>
    <row r="947" spans="1:36" ht="17.149999999999999" hidden="1" customHeight="1">
      <c r="A947" s="1" t="s">
        <v>5630</v>
      </c>
      <c r="B947" s="1"/>
      <c r="C947" s="1" t="s">
        <v>5631</v>
      </c>
      <c r="D947" s="1"/>
      <c r="E947" s="1"/>
      <c r="F947" s="1"/>
      <c r="G947" s="1"/>
      <c r="H947" s="1" t="s">
        <v>1367</v>
      </c>
      <c r="I947" s="1" t="s">
        <v>46</v>
      </c>
      <c r="J947" s="1" t="s">
        <v>5632</v>
      </c>
      <c r="K947" s="1" t="s">
        <v>5633</v>
      </c>
      <c r="L947" s="1" t="s">
        <v>45</v>
      </c>
      <c r="M947" s="1" t="s">
        <v>46</v>
      </c>
      <c r="N947" s="1">
        <v>96550</v>
      </c>
      <c r="O947" s="1">
        <v>2017</v>
      </c>
      <c r="P947" s="1">
        <v>70250</v>
      </c>
      <c r="Q947" s="1">
        <v>2017</v>
      </c>
      <c r="R947" s="1" t="s">
        <v>46</v>
      </c>
      <c r="S947" s="1">
        <v>1</v>
      </c>
      <c r="T947" s="1">
        <v>1</v>
      </c>
      <c r="U947" s="1" t="s">
        <v>5634</v>
      </c>
    </row>
    <row r="948" spans="1:36" ht="17.149999999999999" hidden="1" customHeight="1">
      <c r="A948" s="1" t="s">
        <v>5635</v>
      </c>
      <c r="B948" s="1"/>
      <c r="C948" s="1" t="s">
        <v>5636</v>
      </c>
      <c r="D948" s="1"/>
      <c r="E948" s="1"/>
      <c r="F948" s="1"/>
      <c r="G948" s="1"/>
      <c r="H948" s="1" t="s">
        <v>110</v>
      </c>
      <c r="I948" s="1" t="s">
        <v>46</v>
      </c>
      <c r="J948" s="1" t="s">
        <v>5637</v>
      </c>
      <c r="K948" s="1" t="s">
        <v>5638</v>
      </c>
      <c r="L948" s="1" t="s">
        <v>45</v>
      </c>
      <c r="M948" s="1" t="s">
        <v>46</v>
      </c>
      <c r="N948" s="1" t="s">
        <v>46</v>
      </c>
      <c r="O948" s="1" t="s">
        <v>46</v>
      </c>
      <c r="P948" s="1">
        <v>70221</v>
      </c>
      <c r="Q948" s="1">
        <v>2017</v>
      </c>
      <c r="R948" s="1" t="s">
        <v>46</v>
      </c>
      <c r="S948" s="1">
        <v>1</v>
      </c>
      <c r="T948" s="1">
        <v>1</v>
      </c>
      <c r="U948" s="1" t="s">
        <v>5639</v>
      </c>
    </row>
    <row r="949" spans="1:36" ht="17.149999999999999" hidden="1" customHeight="1">
      <c r="A949" s="1" t="s">
        <v>5640</v>
      </c>
      <c r="B949" s="1"/>
      <c r="C949" s="1" t="s">
        <v>5641</v>
      </c>
      <c r="D949" s="1"/>
      <c r="E949" s="1"/>
      <c r="F949" s="1"/>
      <c r="G949" s="1"/>
      <c r="H949" s="1" t="s">
        <v>177</v>
      </c>
      <c r="I949" s="1" t="s">
        <v>345</v>
      </c>
      <c r="J949" s="1" t="s">
        <v>5642</v>
      </c>
      <c r="K949" s="1" t="s">
        <v>5643</v>
      </c>
      <c r="L949" s="1" t="s">
        <v>45</v>
      </c>
      <c r="M949" s="1" t="s">
        <v>46</v>
      </c>
      <c r="N949" s="1">
        <v>264000</v>
      </c>
      <c r="O949" s="1">
        <v>2017</v>
      </c>
      <c r="P949" s="1">
        <v>70000</v>
      </c>
      <c r="Q949" s="1">
        <v>2015</v>
      </c>
      <c r="R949" s="1">
        <v>1</v>
      </c>
      <c r="S949" s="1">
        <v>1</v>
      </c>
      <c r="T949" s="1">
        <v>1</v>
      </c>
      <c r="U949" s="1" t="s">
        <v>5644</v>
      </c>
    </row>
    <row r="950" spans="1:36" ht="17.149999999999999" hidden="1" customHeight="1">
      <c r="A950" s="1" t="s">
        <v>5645</v>
      </c>
      <c r="B950" s="1"/>
      <c r="C950" s="1" t="s">
        <v>5646</v>
      </c>
      <c r="D950" s="1"/>
      <c r="E950" s="1"/>
      <c r="F950" s="1"/>
      <c r="G950" s="1"/>
      <c r="H950" s="1" t="s">
        <v>177</v>
      </c>
      <c r="I950" s="1" t="s">
        <v>3474</v>
      </c>
      <c r="J950" s="1" t="s">
        <v>5647</v>
      </c>
      <c r="K950" s="1" t="s">
        <v>5648</v>
      </c>
      <c r="L950" s="1" t="s">
        <v>45</v>
      </c>
      <c r="M950" s="1" t="s">
        <v>46</v>
      </c>
      <c r="N950" s="1">
        <v>70000</v>
      </c>
      <c r="O950" s="1">
        <v>2019</v>
      </c>
      <c r="P950" s="1">
        <v>70000</v>
      </c>
      <c r="Q950" s="1">
        <v>2019</v>
      </c>
      <c r="R950" s="1" t="s">
        <v>46</v>
      </c>
      <c r="S950" s="1">
        <v>1</v>
      </c>
      <c r="T950" s="1">
        <v>1</v>
      </c>
      <c r="U950" s="1" t="s">
        <v>5649</v>
      </c>
    </row>
    <row r="951" spans="1:36" s="73" customFormat="1" ht="17.149999999999999" hidden="1" customHeight="1">
      <c r="A951" s="1" t="s">
        <v>5650</v>
      </c>
      <c r="B951" s="1"/>
      <c r="C951" s="1" t="s">
        <v>5651</v>
      </c>
      <c r="D951" s="1"/>
      <c r="E951" s="1"/>
      <c r="F951" s="1"/>
      <c r="G951" s="1"/>
      <c r="H951" s="1" t="s">
        <v>177</v>
      </c>
      <c r="I951" s="1" t="s">
        <v>345</v>
      </c>
      <c r="J951" s="1" t="s">
        <v>5652</v>
      </c>
      <c r="K951" s="1" t="s">
        <v>5653</v>
      </c>
      <c r="L951" s="1" t="s">
        <v>118</v>
      </c>
      <c r="M951" s="1" t="s">
        <v>725</v>
      </c>
      <c r="N951" s="1">
        <v>70000</v>
      </c>
      <c r="O951" s="1">
        <v>2015</v>
      </c>
      <c r="P951" s="1">
        <v>70000</v>
      </c>
      <c r="Q951" s="1">
        <v>2015</v>
      </c>
      <c r="R951" s="1" t="s">
        <v>46</v>
      </c>
      <c r="S951" s="1">
        <v>1</v>
      </c>
      <c r="T951" s="1">
        <v>1</v>
      </c>
      <c r="U951" s="1" t="s">
        <v>5654</v>
      </c>
      <c r="V951" s="2"/>
      <c r="W951" s="2"/>
      <c r="X951" s="2"/>
      <c r="Y951" s="2"/>
      <c r="Z951" s="2"/>
      <c r="AA951" s="2"/>
      <c r="AB951" s="2"/>
      <c r="AC951" s="2"/>
      <c r="AD951" s="2"/>
      <c r="AE951" s="2"/>
      <c r="AF951" s="2"/>
      <c r="AG951" s="2"/>
      <c r="AH951" s="2"/>
      <c r="AI951" s="2"/>
      <c r="AJ951" s="2"/>
    </row>
    <row r="952" spans="1:36" ht="17.149999999999999" hidden="1" customHeight="1">
      <c r="A952" s="1" t="s">
        <v>5655</v>
      </c>
      <c r="B952" s="1"/>
      <c r="C952" s="1" t="s">
        <v>5656</v>
      </c>
      <c r="D952" s="1"/>
      <c r="E952" s="1"/>
      <c r="F952" s="1"/>
      <c r="G952" s="1"/>
      <c r="H952" s="1" t="s">
        <v>506</v>
      </c>
      <c r="I952" s="1" t="s">
        <v>46</v>
      </c>
      <c r="J952" s="1" t="s">
        <v>5657</v>
      </c>
      <c r="K952" s="1" t="s">
        <v>5658</v>
      </c>
      <c r="L952" s="1" t="s">
        <v>45</v>
      </c>
      <c r="M952" s="1" t="s">
        <v>46</v>
      </c>
      <c r="N952" s="1">
        <v>70000</v>
      </c>
      <c r="O952" s="1">
        <v>2018</v>
      </c>
      <c r="P952" s="1">
        <v>70000</v>
      </c>
      <c r="Q952" s="1">
        <v>2018</v>
      </c>
      <c r="R952" s="1" t="s">
        <v>46</v>
      </c>
      <c r="S952" s="1">
        <v>1</v>
      </c>
      <c r="T952" s="1">
        <v>1</v>
      </c>
      <c r="U952" s="1" t="s">
        <v>5659</v>
      </c>
    </row>
    <row r="953" spans="1:36" ht="17.149999999999999" hidden="1" customHeight="1">
      <c r="A953" s="1" t="s">
        <v>5660</v>
      </c>
      <c r="B953" s="1"/>
      <c r="C953" s="1" t="s">
        <v>5661</v>
      </c>
      <c r="D953" s="1"/>
      <c r="E953" s="1"/>
      <c r="F953" s="1"/>
      <c r="G953" s="1"/>
      <c r="H953" s="1" t="s">
        <v>674</v>
      </c>
      <c r="I953" s="1" t="s">
        <v>46</v>
      </c>
      <c r="J953" s="1" t="s">
        <v>5662</v>
      </c>
      <c r="K953" s="1" t="s">
        <v>5663</v>
      </c>
      <c r="L953" s="1" t="s">
        <v>45</v>
      </c>
      <c r="M953" s="1" t="s">
        <v>46</v>
      </c>
      <c r="N953" s="1">
        <v>151793</v>
      </c>
      <c r="O953" s="1">
        <v>2018</v>
      </c>
      <c r="P953" s="1">
        <v>70000</v>
      </c>
      <c r="Q953" s="1">
        <v>2015</v>
      </c>
      <c r="R953" s="1" t="s">
        <v>46</v>
      </c>
      <c r="S953" s="1">
        <v>1</v>
      </c>
      <c r="T953" s="1">
        <v>1</v>
      </c>
      <c r="U953" s="1" t="s">
        <v>5664</v>
      </c>
    </row>
    <row r="954" spans="1:36" ht="17.149999999999999" hidden="1" customHeight="1">
      <c r="A954" s="1" t="s">
        <v>5665</v>
      </c>
      <c r="B954" s="1"/>
      <c r="C954" s="1" t="s">
        <v>5666</v>
      </c>
      <c r="D954" s="1"/>
      <c r="E954" s="1"/>
      <c r="F954" s="1"/>
      <c r="G954" s="1"/>
      <c r="H954" s="1" t="s">
        <v>249</v>
      </c>
      <c r="I954" s="1" t="s">
        <v>1886</v>
      </c>
      <c r="J954" s="1" t="s">
        <v>5667</v>
      </c>
      <c r="K954" s="1" t="s">
        <v>5668</v>
      </c>
      <c r="L954" s="1" t="s">
        <v>45</v>
      </c>
      <c r="M954" s="1" t="s">
        <v>5669</v>
      </c>
      <c r="N954" s="1">
        <v>75154</v>
      </c>
      <c r="O954" s="1">
        <v>2018</v>
      </c>
      <c r="P954" s="1">
        <v>75154</v>
      </c>
      <c r="Q954" s="1">
        <v>2018</v>
      </c>
      <c r="R954" s="1" t="s">
        <v>46</v>
      </c>
      <c r="S954" s="1">
        <v>1</v>
      </c>
      <c r="T954" s="1">
        <v>1</v>
      </c>
      <c r="U954" s="1" t="s">
        <v>5670</v>
      </c>
    </row>
    <row r="955" spans="1:36" ht="17.149999999999999" hidden="1" customHeight="1">
      <c r="A955" s="1" t="s">
        <v>5671</v>
      </c>
      <c r="B955" s="1"/>
      <c r="C955" s="1" t="s">
        <v>5672</v>
      </c>
      <c r="D955" s="1"/>
      <c r="E955" s="1"/>
      <c r="F955" s="1"/>
      <c r="G955" s="1"/>
      <c r="H955" s="1" t="s">
        <v>249</v>
      </c>
      <c r="I955" s="1" t="s">
        <v>3791</v>
      </c>
      <c r="J955" s="1" t="s">
        <v>5673</v>
      </c>
      <c r="K955" s="1" t="s">
        <v>5674</v>
      </c>
      <c r="L955" s="1" t="s">
        <v>45</v>
      </c>
      <c r="M955" s="1" t="s">
        <v>46</v>
      </c>
      <c r="N955" s="1">
        <v>74662</v>
      </c>
      <c r="O955" s="1">
        <v>2018</v>
      </c>
      <c r="P955" s="1">
        <v>74662</v>
      </c>
      <c r="Q955" s="1">
        <v>2018</v>
      </c>
      <c r="R955" s="1" t="s">
        <v>46</v>
      </c>
      <c r="S955" s="1">
        <v>1</v>
      </c>
      <c r="T955" s="1">
        <v>1</v>
      </c>
      <c r="U955" s="1" t="s">
        <v>5675</v>
      </c>
    </row>
    <row r="956" spans="1:36" ht="17.149999999999999" hidden="1" customHeight="1">
      <c r="A956" s="1" t="s">
        <v>5676</v>
      </c>
      <c r="B956" s="1"/>
      <c r="C956" s="1" t="s">
        <v>5677</v>
      </c>
      <c r="D956" s="1"/>
      <c r="E956" s="1"/>
      <c r="F956" s="1"/>
      <c r="G956" s="1"/>
      <c r="H956" s="1" t="s">
        <v>128</v>
      </c>
      <c r="I956" s="1" t="s">
        <v>5678</v>
      </c>
      <c r="J956" s="1" t="s">
        <v>5679</v>
      </c>
      <c r="K956" s="1" t="s">
        <v>5680</v>
      </c>
      <c r="L956" s="1" t="s">
        <v>45</v>
      </c>
      <c r="M956" s="1" t="s">
        <v>46</v>
      </c>
      <c r="N956" s="1">
        <v>69000</v>
      </c>
      <c r="O956" s="1">
        <v>2019</v>
      </c>
      <c r="P956" s="1">
        <v>69000</v>
      </c>
      <c r="Q956" s="1">
        <v>2019</v>
      </c>
      <c r="R956" s="1" t="s">
        <v>46</v>
      </c>
      <c r="S956" s="1">
        <v>1</v>
      </c>
      <c r="T956" s="1" t="s">
        <v>46</v>
      </c>
      <c r="U956" s="1" t="s">
        <v>5681</v>
      </c>
    </row>
    <row r="957" spans="1:36" ht="17.149999999999999" customHeight="1">
      <c r="A957" s="14" t="s">
        <v>5682</v>
      </c>
      <c r="B957" s="14" t="s">
        <v>37</v>
      </c>
      <c r="C957" s="70" t="s">
        <v>5683</v>
      </c>
      <c r="D957" s="144" t="s">
        <v>5684</v>
      </c>
      <c r="E957" s="144" t="s">
        <v>5684</v>
      </c>
      <c r="F957" s="17" t="s">
        <v>5685</v>
      </c>
      <c r="G957" s="61" t="s">
        <v>40</v>
      </c>
      <c r="H957" s="14" t="s">
        <v>41</v>
      </c>
      <c r="I957" s="14" t="s">
        <v>63</v>
      </c>
      <c r="J957" s="14" t="s">
        <v>5686</v>
      </c>
      <c r="K957" s="14" t="s">
        <v>5687</v>
      </c>
      <c r="L957" s="14" t="s">
        <v>45</v>
      </c>
      <c r="M957" s="14" t="s">
        <v>5688</v>
      </c>
      <c r="N957" s="14">
        <v>225757</v>
      </c>
      <c r="O957" s="14">
        <v>2016</v>
      </c>
      <c r="P957" s="14">
        <v>225500</v>
      </c>
      <c r="Q957" s="14">
        <v>2016</v>
      </c>
      <c r="R957" s="14" t="s">
        <v>46</v>
      </c>
      <c r="S957" s="14">
        <v>1</v>
      </c>
      <c r="T957" s="14">
        <v>1</v>
      </c>
      <c r="U957" s="12" t="s">
        <v>5689</v>
      </c>
      <c r="V957" s="6" t="s">
        <v>40</v>
      </c>
      <c r="W957" s="6" t="s">
        <v>323</v>
      </c>
      <c r="X957" s="6" t="s">
        <v>40</v>
      </c>
      <c r="Y957" s="6"/>
      <c r="Z957" s="6" t="s">
        <v>5690</v>
      </c>
      <c r="AA957" s="6" t="s">
        <v>5691</v>
      </c>
      <c r="AB957" s="6"/>
      <c r="AC957" s="5" t="s">
        <v>5692</v>
      </c>
      <c r="AD957" s="6" t="s">
        <v>40</v>
      </c>
      <c r="AE957" s="2">
        <v>1</v>
      </c>
      <c r="AF957" s="2" t="s">
        <v>53</v>
      </c>
      <c r="AH957" s="2" t="s">
        <v>55</v>
      </c>
      <c r="AI957" s="2" t="s">
        <v>5693</v>
      </c>
      <c r="AJ957" s="2" t="s">
        <v>57</v>
      </c>
    </row>
    <row r="958" spans="1:36" ht="17.149999999999999" hidden="1" customHeight="1">
      <c r="A958" s="1" t="s">
        <v>5694</v>
      </c>
      <c r="B958" s="1"/>
      <c r="C958" s="1" t="s">
        <v>5695</v>
      </c>
      <c r="D958" s="1"/>
      <c r="E958" s="1"/>
      <c r="F958" s="1"/>
      <c r="G958" s="1"/>
      <c r="H958" s="1" t="s">
        <v>1171</v>
      </c>
      <c r="I958" s="1" t="s">
        <v>46</v>
      </c>
      <c r="J958" s="1" t="s">
        <v>5696</v>
      </c>
      <c r="K958" s="1" t="s">
        <v>5697</v>
      </c>
      <c r="L958" s="1" t="s">
        <v>45</v>
      </c>
      <c r="M958" s="1" t="s">
        <v>46</v>
      </c>
      <c r="N958" s="1">
        <v>111060</v>
      </c>
      <c r="O958" s="1">
        <v>2017</v>
      </c>
      <c r="P958" s="1">
        <v>68995</v>
      </c>
      <c r="Q958" s="1">
        <v>2017</v>
      </c>
      <c r="R958" s="1" t="s">
        <v>46</v>
      </c>
      <c r="S958" s="1">
        <v>1</v>
      </c>
      <c r="T958" s="1" t="s">
        <v>46</v>
      </c>
      <c r="U958" s="1" t="s">
        <v>5698</v>
      </c>
    </row>
    <row r="959" spans="1:36" ht="17.149999999999999" hidden="1" customHeight="1">
      <c r="A959" s="1" t="s">
        <v>5699</v>
      </c>
      <c r="B959" s="1"/>
      <c r="C959" s="1" t="s">
        <v>5700</v>
      </c>
      <c r="D959" s="1"/>
      <c r="E959" s="1"/>
      <c r="F959" s="1"/>
      <c r="G959" s="1"/>
      <c r="H959" s="1" t="s">
        <v>128</v>
      </c>
      <c r="I959" s="1" t="s">
        <v>908</v>
      </c>
      <c r="J959" s="1" t="s">
        <v>5701</v>
      </c>
      <c r="K959" s="1" t="s">
        <v>5702</v>
      </c>
      <c r="L959" s="1" t="s">
        <v>118</v>
      </c>
      <c r="M959" s="1" t="s">
        <v>3698</v>
      </c>
      <c r="N959" s="1">
        <v>75500</v>
      </c>
      <c r="O959" s="1">
        <v>2017</v>
      </c>
      <c r="P959" s="1">
        <v>68700</v>
      </c>
      <c r="Q959" s="1">
        <v>2017</v>
      </c>
      <c r="R959" s="1" t="s">
        <v>46</v>
      </c>
      <c r="S959" s="1">
        <v>1</v>
      </c>
      <c r="T959" s="1" t="s">
        <v>46</v>
      </c>
      <c r="U959" s="1" t="s">
        <v>5703</v>
      </c>
    </row>
    <row r="960" spans="1:36" ht="17.149999999999999" hidden="1" customHeight="1">
      <c r="A960" s="1" t="s">
        <v>5704</v>
      </c>
      <c r="B960" s="1"/>
      <c r="C960" s="1" t="s">
        <v>5705</v>
      </c>
      <c r="D960" s="1"/>
      <c r="E960" s="1"/>
      <c r="F960" s="1"/>
      <c r="G960" s="1"/>
      <c r="H960" s="1" t="s">
        <v>1367</v>
      </c>
      <c r="I960" s="1" t="s">
        <v>46</v>
      </c>
      <c r="J960" s="1" t="s">
        <v>5706</v>
      </c>
      <c r="K960" s="1" t="s">
        <v>5707</v>
      </c>
      <c r="L960" s="1" t="s">
        <v>45</v>
      </c>
      <c r="M960" s="1" t="s">
        <v>46</v>
      </c>
      <c r="N960" s="1">
        <v>85444</v>
      </c>
      <c r="O960" s="1">
        <v>2017</v>
      </c>
      <c r="P960" s="1">
        <v>68456</v>
      </c>
      <c r="Q960" s="1">
        <v>2017</v>
      </c>
      <c r="R960" s="1" t="s">
        <v>46</v>
      </c>
      <c r="S960" s="1">
        <v>1</v>
      </c>
      <c r="T960" s="1">
        <v>1</v>
      </c>
      <c r="U960" s="1" t="s">
        <v>5708</v>
      </c>
    </row>
    <row r="961" spans="1:41" ht="17.149999999999999" customHeight="1">
      <c r="A961" s="14" t="s">
        <v>5709</v>
      </c>
      <c r="B961" s="14" t="s">
        <v>37</v>
      </c>
      <c r="C961" s="56" t="s">
        <v>5710</v>
      </c>
      <c r="D961" s="144" t="s">
        <v>5711</v>
      </c>
      <c r="E961" s="144" t="s">
        <v>5711</v>
      </c>
      <c r="F961" s="17" t="s">
        <v>62</v>
      </c>
      <c r="G961" s="17" t="s">
        <v>40</v>
      </c>
      <c r="H961" s="14" t="s">
        <v>41</v>
      </c>
      <c r="I961" s="14" t="s">
        <v>63</v>
      </c>
      <c r="J961" s="14" t="s">
        <v>5712</v>
      </c>
      <c r="K961" s="14" t="s">
        <v>5713</v>
      </c>
      <c r="L961" s="14" t="s">
        <v>45</v>
      </c>
      <c r="M961" s="14" t="s">
        <v>46</v>
      </c>
      <c r="N961" s="14" t="s">
        <v>46</v>
      </c>
      <c r="O961" s="14" t="s">
        <v>46</v>
      </c>
      <c r="P961" s="14">
        <v>64143</v>
      </c>
      <c r="Q961" s="14">
        <v>2023</v>
      </c>
      <c r="R961" s="14" t="s">
        <v>46</v>
      </c>
      <c r="S961" s="14">
        <v>1</v>
      </c>
      <c r="T961" s="14">
        <v>1</v>
      </c>
      <c r="U961" s="14" t="s">
        <v>5714</v>
      </c>
      <c r="V961" s="6" t="s">
        <v>40</v>
      </c>
      <c r="W961" s="6" t="s">
        <v>139</v>
      </c>
      <c r="X961" s="6" t="s">
        <v>40</v>
      </c>
      <c r="Y961" s="6"/>
      <c r="Z961" s="6" t="s">
        <v>5715</v>
      </c>
      <c r="AA961" s="6" t="s">
        <v>5716</v>
      </c>
      <c r="AB961" s="6"/>
      <c r="AC961" s="6" t="s">
        <v>5717</v>
      </c>
      <c r="AD961" s="6" t="s">
        <v>40</v>
      </c>
      <c r="AE961" s="2">
        <v>1</v>
      </c>
      <c r="AF961" s="2" t="s">
        <v>53</v>
      </c>
      <c r="AG961" s="2" t="s">
        <v>71</v>
      </c>
      <c r="AH961" s="2" t="s">
        <v>55</v>
      </c>
      <c r="AI961" s="110" t="s">
        <v>5718</v>
      </c>
      <c r="AJ961" s="2" t="s">
        <v>57</v>
      </c>
    </row>
    <row r="962" spans="1:41" ht="17.149999999999999" hidden="1" customHeight="1">
      <c r="A962" s="1" t="s">
        <v>5719</v>
      </c>
      <c r="B962" s="1"/>
      <c r="C962" s="1" t="s">
        <v>5720</v>
      </c>
      <c r="D962" s="1"/>
      <c r="E962" s="1"/>
      <c r="F962" s="1"/>
      <c r="G962" s="1"/>
      <c r="H962" s="1" t="s">
        <v>177</v>
      </c>
      <c r="I962" s="1" t="s">
        <v>345</v>
      </c>
      <c r="J962" s="1" t="s">
        <v>5721</v>
      </c>
      <c r="K962" s="1" t="s">
        <v>5722</v>
      </c>
      <c r="L962" s="1" t="s">
        <v>118</v>
      </c>
      <c r="M962" s="1" t="s">
        <v>5723</v>
      </c>
      <c r="N962" s="1">
        <v>68000</v>
      </c>
      <c r="O962" s="1">
        <v>2019</v>
      </c>
      <c r="P962" s="1">
        <v>68000</v>
      </c>
      <c r="Q962" s="1">
        <v>2019</v>
      </c>
      <c r="R962" s="1" t="s">
        <v>46</v>
      </c>
      <c r="S962" s="1">
        <v>1</v>
      </c>
      <c r="T962" s="1">
        <v>1</v>
      </c>
      <c r="U962" s="1" t="s">
        <v>5724</v>
      </c>
    </row>
    <row r="963" spans="1:41" ht="17.149999999999999" hidden="1" customHeight="1">
      <c r="A963" s="1" t="s">
        <v>5725</v>
      </c>
      <c r="B963" s="1"/>
      <c r="C963" s="1" t="s">
        <v>5726</v>
      </c>
      <c r="D963" s="1"/>
      <c r="E963" s="1"/>
      <c r="F963" s="1"/>
      <c r="G963" s="1"/>
      <c r="H963" s="1" t="s">
        <v>177</v>
      </c>
      <c r="I963" s="1" t="s">
        <v>345</v>
      </c>
      <c r="J963" s="1" t="s">
        <v>5727</v>
      </c>
      <c r="K963" s="1" t="s">
        <v>5728</v>
      </c>
      <c r="L963" s="1" t="s">
        <v>118</v>
      </c>
      <c r="M963" s="1" t="s">
        <v>725</v>
      </c>
      <c r="N963" s="1">
        <v>68000</v>
      </c>
      <c r="O963" s="1">
        <v>2019</v>
      </c>
      <c r="P963" s="1">
        <v>68000</v>
      </c>
      <c r="Q963" s="1">
        <v>2019</v>
      </c>
      <c r="R963" s="1" t="s">
        <v>46</v>
      </c>
      <c r="S963" s="1">
        <v>1</v>
      </c>
      <c r="T963" s="1">
        <v>1</v>
      </c>
      <c r="U963" s="1" t="s">
        <v>5729</v>
      </c>
    </row>
    <row r="964" spans="1:41" ht="17.149999999999999" hidden="1" customHeight="1">
      <c r="A964" s="1" t="s">
        <v>5730</v>
      </c>
      <c r="B964" s="1"/>
      <c r="C964" s="1" t="s">
        <v>5731</v>
      </c>
      <c r="D964" s="1"/>
      <c r="E964" s="1"/>
      <c r="F964" s="1"/>
      <c r="G964" s="1"/>
      <c r="H964" s="1" t="s">
        <v>1279</v>
      </c>
      <c r="I964" s="1" t="s">
        <v>5732</v>
      </c>
      <c r="J964" s="1" t="s">
        <v>5733</v>
      </c>
      <c r="K964" s="1" t="s">
        <v>5734</v>
      </c>
      <c r="L964" s="1" t="s">
        <v>118</v>
      </c>
      <c r="M964" s="1" t="s">
        <v>5735</v>
      </c>
      <c r="N964" s="1">
        <v>68000</v>
      </c>
      <c r="O964" s="1">
        <v>2019</v>
      </c>
      <c r="P964" s="1">
        <v>68000</v>
      </c>
      <c r="Q964" s="1">
        <v>2019</v>
      </c>
      <c r="R964" s="1">
        <v>1</v>
      </c>
      <c r="S964" s="1">
        <v>1</v>
      </c>
      <c r="T964" s="1" t="s">
        <v>46</v>
      </c>
      <c r="U964" s="1" t="s">
        <v>5736</v>
      </c>
    </row>
    <row r="965" spans="1:41" ht="17.149999999999999" hidden="1" customHeight="1">
      <c r="A965" s="1" t="s">
        <v>5737</v>
      </c>
      <c r="B965" s="1"/>
      <c r="C965" s="1" t="s">
        <v>5738</v>
      </c>
      <c r="D965" s="1"/>
      <c r="E965" s="1"/>
      <c r="F965" s="1"/>
      <c r="G965" s="1"/>
      <c r="H965" s="1" t="s">
        <v>1669</v>
      </c>
      <c r="I965" s="1" t="s">
        <v>46</v>
      </c>
      <c r="J965" s="1" t="s">
        <v>5739</v>
      </c>
      <c r="K965" s="1" t="s">
        <v>5740</v>
      </c>
      <c r="L965" s="1" t="s">
        <v>45</v>
      </c>
      <c r="M965" s="1" t="s">
        <v>46</v>
      </c>
      <c r="N965" s="1">
        <v>70000</v>
      </c>
      <c r="O965" s="1">
        <v>2023</v>
      </c>
      <c r="P965" s="1">
        <v>67841</v>
      </c>
      <c r="Q965" s="1">
        <v>2023</v>
      </c>
      <c r="R965" s="1" t="s">
        <v>46</v>
      </c>
      <c r="S965" s="1">
        <v>1</v>
      </c>
      <c r="T965" s="1" t="s">
        <v>46</v>
      </c>
      <c r="U965" s="1" t="s">
        <v>5741</v>
      </c>
    </row>
    <row r="966" spans="1:41" ht="17.149999999999999" hidden="1" customHeight="1">
      <c r="A966" s="1" t="s">
        <v>5742</v>
      </c>
      <c r="B966" s="1"/>
      <c r="C966" s="1" t="s">
        <v>5743</v>
      </c>
      <c r="D966" s="1"/>
      <c r="E966" s="1"/>
      <c r="F966" s="1"/>
      <c r="G966" s="1"/>
      <c r="H966" s="1" t="s">
        <v>249</v>
      </c>
      <c r="I966" s="1" t="s">
        <v>3897</v>
      </c>
      <c r="J966" s="1" t="s">
        <v>5744</v>
      </c>
      <c r="K966" s="1" t="s">
        <v>5745</v>
      </c>
      <c r="L966" s="1" t="s">
        <v>45</v>
      </c>
      <c r="M966" s="1" t="s">
        <v>46</v>
      </c>
      <c r="N966" s="1">
        <v>73320</v>
      </c>
      <c r="O966" s="1">
        <v>2018</v>
      </c>
      <c r="P966" s="1">
        <v>73320</v>
      </c>
      <c r="Q966" s="1">
        <v>2018</v>
      </c>
      <c r="R966" s="1" t="s">
        <v>46</v>
      </c>
      <c r="S966" s="1">
        <v>1</v>
      </c>
      <c r="T966" s="1">
        <v>1</v>
      </c>
      <c r="U966" s="1" t="s">
        <v>5746</v>
      </c>
    </row>
    <row r="967" spans="1:41" ht="17.149999999999999" hidden="1" customHeight="1">
      <c r="A967" s="1" t="s">
        <v>5747</v>
      </c>
      <c r="B967" s="1"/>
      <c r="C967" s="1" t="s">
        <v>5748</v>
      </c>
      <c r="D967" s="1"/>
      <c r="E967" s="1"/>
      <c r="F967" s="1"/>
      <c r="G967" s="1"/>
      <c r="H967" s="1" t="s">
        <v>249</v>
      </c>
      <c r="I967" s="1" t="s">
        <v>5412</v>
      </c>
      <c r="J967" s="1" t="s">
        <v>5749</v>
      </c>
      <c r="K967" s="1" t="s">
        <v>5750</v>
      </c>
      <c r="L967" s="1" t="s">
        <v>45</v>
      </c>
      <c r="M967" s="1" t="s">
        <v>46</v>
      </c>
      <c r="N967" s="1">
        <v>69793</v>
      </c>
      <c r="O967" s="1">
        <v>2018</v>
      </c>
      <c r="P967" s="1">
        <v>65001</v>
      </c>
      <c r="Q967" s="1">
        <v>2018</v>
      </c>
      <c r="R967" s="1" t="s">
        <v>46</v>
      </c>
      <c r="S967" s="1">
        <v>1</v>
      </c>
      <c r="T967" s="1" t="s">
        <v>46</v>
      </c>
      <c r="U967" s="1" t="s">
        <v>5751</v>
      </c>
    </row>
    <row r="968" spans="1:41" s="42" customFormat="1" ht="17.149999999999999" hidden="1" customHeight="1">
      <c r="A968" s="1" t="s">
        <v>5752</v>
      </c>
      <c r="B968" s="1"/>
      <c r="C968" s="1" t="s">
        <v>5753</v>
      </c>
      <c r="D968" s="1"/>
      <c r="E968" s="1"/>
      <c r="F968" s="1"/>
      <c r="G968" s="1"/>
      <c r="H968" s="1" t="s">
        <v>128</v>
      </c>
      <c r="I968" s="1" t="s">
        <v>5754</v>
      </c>
      <c r="J968" s="1" t="s">
        <v>5754</v>
      </c>
      <c r="K968" s="1" t="s">
        <v>5755</v>
      </c>
      <c r="L968" s="1" t="s">
        <v>45</v>
      </c>
      <c r="M968" s="1" t="s">
        <v>46</v>
      </c>
      <c r="N968" s="1">
        <v>86063</v>
      </c>
      <c r="O968" s="1">
        <v>2015</v>
      </c>
      <c r="P968" s="1">
        <v>66544</v>
      </c>
      <c r="Q968" s="1">
        <v>2015</v>
      </c>
      <c r="R968" s="1" t="s">
        <v>46</v>
      </c>
      <c r="S968" s="1">
        <v>1</v>
      </c>
      <c r="T968" s="1">
        <v>1</v>
      </c>
      <c r="U968" s="1" t="s">
        <v>5756</v>
      </c>
      <c r="V968" s="2"/>
      <c r="W968" s="2"/>
      <c r="X968" s="2"/>
      <c r="Y968" s="2"/>
      <c r="Z968" s="2"/>
      <c r="AA968" s="2"/>
      <c r="AB968" s="2"/>
      <c r="AC968" s="2"/>
      <c r="AD968" s="2"/>
      <c r="AE968" s="2"/>
      <c r="AF968" s="2"/>
      <c r="AG968" s="2"/>
      <c r="AH968" s="2"/>
      <c r="AI968" s="2"/>
      <c r="AJ968" s="2"/>
    </row>
    <row r="969" spans="1:41" ht="17.149999999999999" hidden="1" customHeight="1">
      <c r="A969" s="1" t="s">
        <v>5757</v>
      </c>
      <c r="B969" s="1"/>
      <c r="C969" s="1" t="s">
        <v>5758</v>
      </c>
      <c r="D969" s="1"/>
      <c r="E969" s="1"/>
      <c r="F969" s="1"/>
      <c r="G969" s="1"/>
      <c r="H969" s="1" t="s">
        <v>249</v>
      </c>
      <c r="I969" s="1" t="s">
        <v>3863</v>
      </c>
      <c r="J969" s="1" t="s">
        <v>5759</v>
      </c>
      <c r="K969" s="1" t="s">
        <v>5760</v>
      </c>
      <c r="L969" s="1" t="s">
        <v>45</v>
      </c>
      <c r="M969" s="1" t="s">
        <v>46</v>
      </c>
      <c r="N969" s="1">
        <v>69123</v>
      </c>
      <c r="O969" s="1">
        <v>2018</v>
      </c>
      <c r="P969" s="1">
        <v>72375</v>
      </c>
      <c r="Q969" s="1">
        <v>2018</v>
      </c>
      <c r="R969" s="1" t="s">
        <v>46</v>
      </c>
      <c r="S969" s="1">
        <v>1</v>
      </c>
      <c r="T969" s="1" t="s">
        <v>46</v>
      </c>
      <c r="U969" s="1" t="s">
        <v>5761</v>
      </c>
    </row>
    <row r="970" spans="1:41" ht="17.149999999999999" hidden="1" customHeight="1">
      <c r="A970" s="1" t="s">
        <v>5762</v>
      </c>
      <c r="B970" s="1"/>
      <c r="C970" s="1" t="s">
        <v>5763</v>
      </c>
      <c r="D970" s="1"/>
      <c r="E970" s="1"/>
      <c r="F970" s="1"/>
      <c r="G970" s="1"/>
      <c r="H970" s="1" t="s">
        <v>500</v>
      </c>
      <c r="I970" s="1" t="s">
        <v>46</v>
      </c>
      <c r="J970" s="1" t="s">
        <v>5764</v>
      </c>
      <c r="K970" s="1" t="s">
        <v>5765</v>
      </c>
      <c r="L970" s="1" t="s">
        <v>45</v>
      </c>
      <c r="M970" s="1" t="s">
        <v>46</v>
      </c>
      <c r="N970" s="1">
        <v>66100</v>
      </c>
      <c r="O970" s="1">
        <v>2016</v>
      </c>
      <c r="P970" s="1">
        <v>66100</v>
      </c>
      <c r="Q970" s="1">
        <v>2016</v>
      </c>
      <c r="R970" s="1" t="s">
        <v>46</v>
      </c>
      <c r="S970" s="1">
        <v>1</v>
      </c>
      <c r="T970" s="1">
        <v>1</v>
      </c>
      <c r="U970" s="1" t="s">
        <v>5766</v>
      </c>
    </row>
    <row r="971" spans="1:41" s="42" customFormat="1" ht="17.149999999999999" hidden="1" customHeight="1">
      <c r="A971" s="1" t="s">
        <v>5767</v>
      </c>
      <c r="B971" s="1"/>
      <c r="C971" s="1" t="s">
        <v>5768</v>
      </c>
      <c r="D971" s="1"/>
      <c r="E971" s="1"/>
      <c r="F971" s="1"/>
      <c r="G971" s="1"/>
      <c r="H971" s="1" t="s">
        <v>249</v>
      </c>
      <c r="I971" s="1" t="s">
        <v>3305</v>
      </c>
      <c r="J971" s="1" t="s">
        <v>5769</v>
      </c>
      <c r="K971" s="1" t="s">
        <v>5770</v>
      </c>
      <c r="L971" s="1" t="s">
        <v>45</v>
      </c>
      <c r="M971" s="1" t="s">
        <v>46</v>
      </c>
      <c r="N971" s="1">
        <v>68854</v>
      </c>
      <c r="O971" s="1">
        <v>2018</v>
      </c>
      <c r="P971" s="1">
        <v>32387</v>
      </c>
      <c r="Q971" s="1">
        <v>2018</v>
      </c>
      <c r="R971" s="1" t="s">
        <v>46</v>
      </c>
      <c r="S971" s="1">
        <v>1</v>
      </c>
      <c r="T971" s="1" t="s">
        <v>46</v>
      </c>
      <c r="U971" s="1" t="s">
        <v>5771</v>
      </c>
      <c r="V971" s="2"/>
      <c r="W971" s="2"/>
      <c r="X971" s="2"/>
      <c r="Y971" s="2"/>
      <c r="Z971" s="2"/>
      <c r="AA971" s="2"/>
      <c r="AB971" s="2"/>
      <c r="AC971" s="2"/>
      <c r="AD971" s="2"/>
      <c r="AE971" s="2"/>
      <c r="AF971" s="2"/>
      <c r="AG971" s="2"/>
      <c r="AH971" s="2"/>
      <c r="AI971" s="2"/>
      <c r="AJ971" s="2"/>
      <c r="AK971" s="2"/>
      <c r="AL971" s="2"/>
      <c r="AM971" s="2"/>
      <c r="AN971" s="2"/>
      <c r="AO971" s="2"/>
    </row>
    <row r="972" spans="1:41" s="42" customFormat="1" ht="17.149999999999999" hidden="1" customHeight="1">
      <c r="A972" s="17" t="s">
        <v>5772</v>
      </c>
      <c r="B972" s="17"/>
      <c r="C972" s="61" t="s">
        <v>5773</v>
      </c>
      <c r="D972" s="61"/>
      <c r="E972" s="61"/>
      <c r="F972" s="61"/>
      <c r="G972" s="61"/>
      <c r="H972" s="17" t="s">
        <v>41</v>
      </c>
      <c r="I972" s="17" t="s">
        <v>3088</v>
      </c>
      <c r="J972" s="17" t="s">
        <v>5774</v>
      </c>
      <c r="K972" s="17" t="s">
        <v>5775</v>
      </c>
      <c r="L972" s="17" t="s">
        <v>45</v>
      </c>
      <c r="M972" s="17" t="s">
        <v>46</v>
      </c>
      <c r="N972" s="17" t="s">
        <v>46</v>
      </c>
      <c r="O972" s="17" t="s">
        <v>46</v>
      </c>
      <c r="P972" s="17">
        <v>65800</v>
      </c>
      <c r="Q972" s="17">
        <v>2016</v>
      </c>
      <c r="R972" s="17" t="s">
        <v>46</v>
      </c>
      <c r="S972" s="17">
        <v>1</v>
      </c>
      <c r="T972" s="17">
        <v>1</v>
      </c>
      <c r="U972" s="17" t="s">
        <v>5776</v>
      </c>
      <c r="V972" s="18"/>
      <c r="W972" s="18"/>
      <c r="X972" s="18"/>
      <c r="Y972" s="18"/>
      <c r="Z972" s="18"/>
      <c r="AA972" s="18"/>
      <c r="AB972" s="18"/>
      <c r="AC972" s="18"/>
      <c r="AD972" s="18"/>
      <c r="AE972" s="2"/>
      <c r="AF972" s="2"/>
      <c r="AG972" s="2"/>
      <c r="AH972" s="2"/>
      <c r="AI972" s="2"/>
      <c r="AJ972" s="2"/>
    </row>
    <row r="973" spans="1:41" ht="17.149999999999999" hidden="1" customHeight="1">
      <c r="A973" s="1" t="s">
        <v>5777</v>
      </c>
      <c r="B973" s="1"/>
      <c r="C973" s="1" t="s">
        <v>5778</v>
      </c>
      <c r="D973" s="1"/>
      <c r="E973" s="1"/>
      <c r="F973" s="1"/>
      <c r="G973" s="1"/>
      <c r="H973" s="1" t="s">
        <v>1171</v>
      </c>
      <c r="I973" s="1" t="s">
        <v>46</v>
      </c>
      <c r="J973" s="1" t="s">
        <v>5779</v>
      </c>
      <c r="K973" s="1" t="s">
        <v>5780</v>
      </c>
      <c r="L973" s="1" t="s">
        <v>118</v>
      </c>
      <c r="M973" s="1" t="s">
        <v>5781</v>
      </c>
      <c r="N973" s="1">
        <v>82379</v>
      </c>
      <c r="O973" s="1">
        <v>2018</v>
      </c>
      <c r="P973" s="1">
        <v>65619</v>
      </c>
      <c r="Q973" s="1">
        <v>2018</v>
      </c>
      <c r="R973" s="1" t="s">
        <v>46</v>
      </c>
      <c r="S973" s="1">
        <v>1</v>
      </c>
      <c r="T973" s="1" t="s">
        <v>46</v>
      </c>
      <c r="U973" s="1" t="s">
        <v>5782</v>
      </c>
    </row>
    <row r="974" spans="1:41" ht="17.149999999999999" hidden="1" customHeight="1">
      <c r="A974" s="17" t="s">
        <v>5783</v>
      </c>
      <c r="B974" s="17"/>
      <c r="C974" s="61" t="s">
        <v>5784</v>
      </c>
      <c r="D974" s="61"/>
      <c r="E974" s="61"/>
      <c r="F974" s="61"/>
      <c r="G974" s="61"/>
      <c r="H974" s="17" t="s">
        <v>41</v>
      </c>
      <c r="I974" s="17" t="s">
        <v>148</v>
      </c>
      <c r="J974" s="17" t="s">
        <v>5785</v>
      </c>
      <c r="K974" s="17" t="s">
        <v>5786</v>
      </c>
      <c r="L974" s="17" t="s">
        <v>45</v>
      </c>
      <c r="M974" s="17" t="s">
        <v>46</v>
      </c>
      <c r="N974" s="17" t="s">
        <v>46</v>
      </c>
      <c r="O974" s="17" t="s">
        <v>46</v>
      </c>
      <c r="P974" s="16">
        <v>65600</v>
      </c>
      <c r="Q974" s="16">
        <v>2024</v>
      </c>
      <c r="R974" s="17" t="s">
        <v>46</v>
      </c>
      <c r="S974" s="17">
        <v>1</v>
      </c>
      <c r="T974" s="17">
        <v>1</v>
      </c>
      <c r="U974" s="34" t="s">
        <v>5787</v>
      </c>
      <c r="V974" s="18" t="s">
        <v>5788</v>
      </c>
      <c r="W974" s="18"/>
      <c r="X974" s="18"/>
      <c r="Y974" s="18"/>
      <c r="Z974" s="18"/>
      <c r="AA974" s="18"/>
      <c r="AB974" s="18"/>
      <c r="AC974" s="18"/>
      <c r="AD974" s="18"/>
    </row>
    <row r="975" spans="1:41" ht="17.149999999999999" hidden="1" customHeight="1">
      <c r="A975" s="1" t="s">
        <v>5789</v>
      </c>
      <c r="B975" s="1"/>
      <c r="C975" s="1" t="s">
        <v>5790</v>
      </c>
      <c r="D975" s="1"/>
      <c r="E975" s="1"/>
      <c r="F975" s="1"/>
      <c r="G975" s="1"/>
      <c r="H975" s="1" t="s">
        <v>249</v>
      </c>
      <c r="I975" s="1" t="s">
        <v>1563</v>
      </c>
      <c r="J975" s="1" t="s">
        <v>5791</v>
      </c>
      <c r="K975" s="1" t="s">
        <v>5792</v>
      </c>
      <c r="L975" s="1" t="s">
        <v>45</v>
      </c>
      <c r="M975" s="1" t="s">
        <v>46</v>
      </c>
      <c r="N975" s="1">
        <v>68673</v>
      </c>
      <c r="O975" s="1">
        <v>2018</v>
      </c>
      <c r="P975" s="1">
        <v>66912</v>
      </c>
      <c r="Q975" s="1">
        <v>2018</v>
      </c>
      <c r="R975" s="1" t="s">
        <v>46</v>
      </c>
      <c r="S975" s="1">
        <v>1</v>
      </c>
      <c r="T975" s="1" t="s">
        <v>46</v>
      </c>
      <c r="U975" s="1" t="s">
        <v>5793</v>
      </c>
    </row>
    <row r="976" spans="1:41" ht="17.149999999999999" hidden="1" customHeight="1">
      <c r="A976" s="1" t="s">
        <v>5794</v>
      </c>
      <c r="B976" s="1"/>
      <c r="C976" s="1" t="s">
        <v>5795</v>
      </c>
      <c r="D976" s="1"/>
      <c r="E976" s="1"/>
      <c r="F976" s="1"/>
      <c r="G976" s="1"/>
      <c r="H976" s="1" t="s">
        <v>177</v>
      </c>
      <c r="I976" s="1" t="s">
        <v>236</v>
      </c>
      <c r="J976" s="1" t="s">
        <v>5796</v>
      </c>
      <c r="K976" s="1" t="s">
        <v>5797</v>
      </c>
      <c r="L976" s="1" t="s">
        <v>118</v>
      </c>
      <c r="M976" s="1" t="s">
        <v>5798</v>
      </c>
      <c r="N976" s="1">
        <v>65000</v>
      </c>
      <c r="O976" s="1">
        <v>2017</v>
      </c>
      <c r="P976" s="1">
        <v>65000</v>
      </c>
      <c r="Q976" s="1">
        <v>2017</v>
      </c>
      <c r="R976" s="1" t="s">
        <v>46</v>
      </c>
      <c r="S976" s="1">
        <v>1</v>
      </c>
      <c r="T976" s="1">
        <v>1</v>
      </c>
      <c r="U976" s="1" t="s">
        <v>5799</v>
      </c>
    </row>
    <row r="977" spans="1:41" ht="17.149999999999999" hidden="1" customHeight="1">
      <c r="A977" s="1" t="s">
        <v>5800</v>
      </c>
      <c r="B977" s="1"/>
      <c r="C977" s="1" t="s">
        <v>5801</v>
      </c>
      <c r="D977" s="1"/>
      <c r="E977" s="1"/>
      <c r="F977" s="1"/>
      <c r="G977" s="1"/>
      <c r="H977" s="1" t="s">
        <v>640</v>
      </c>
      <c r="I977" s="1" t="s">
        <v>46</v>
      </c>
      <c r="J977" s="1" t="s">
        <v>5627</v>
      </c>
      <c r="K977" s="1" t="s">
        <v>5802</v>
      </c>
      <c r="L977" s="1" t="s">
        <v>45</v>
      </c>
      <c r="M977" s="1" t="s">
        <v>46</v>
      </c>
      <c r="N977" s="1">
        <v>75000</v>
      </c>
      <c r="O977" s="1">
        <v>2016</v>
      </c>
      <c r="P977" s="1">
        <v>65000</v>
      </c>
      <c r="Q977" s="1">
        <v>2016</v>
      </c>
      <c r="R977" s="1" t="s">
        <v>46</v>
      </c>
      <c r="S977" s="1">
        <v>1</v>
      </c>
      <c r="T977" s="1" t="s">
        <v>46</v>
      </c>
      <c r="U977" s="1" t="s">
        <v>5803</v>
      </c>
    </row>
    <row r="978" spans="1:41" s="44" customFormat="1" ht="17.149999999999999" hidden="1" customHeight="1">
      <c r="A978" s="1" t="s">
        <v>5804</v>
      </c>
      <c r="B978" s="1"/>
      <c r="C978" s="1" t="s">
        <v>5805</v>
      </c>
      <c r="D978" s="1"/>
      <c r="E978" s="1"/>
      <c r="F978" s="1"/>
      <c r="G978" s="1"/>
      <c r="H978" s="1" t="s">
        <v>640</v>
      </c>
      <c r="I978" s="1" t="s">
        <v>46</v>
      </c>
      <c r="J978" s="1" t="s">
        <v>5806</v>
      </c>
      <c r="K978" s="1" t="s">
        <v>5807</v>
      </c>
      <c r="L978" s="1" t="s">
        <v>45</v>
      </c>
      <c r="M978" s="1" t="s">
        <v>46</v>
      </c>
      <c r="N978" s="1">
        <v>65000</v>
      </c>
      <c r="O978" s="1">
        <v>2016</v>
      </c>
      <c r="P978" s="1">
        <v>65000</v>
      </c>
      <c r="Q978" s="1">
        <v>2016</v>
      </c>
      <c r="R978" s="1" t="s">
        <v>46</v>
      </c>
      <c r="S978" s="1">
        <v>1</v>
      </c>
      <c r="T978" s="1" t="s">
        <v>46</v>
      </c>
      <c r="U978" s="1" t="s">
        <v>5808</v>
      </c>
      <c r="V978" s="2"/>
      <c r="W978" s="2"/>
      <c r="X978" s="2"/>
      <c r="Y978" s="2"/>
      <c r="Z978" s="2"/>
      <c r="AA978" s="2"/>
      <c r="AB978" s="2"/>
      <c r="AC978" s="2"/>
      <c r="AD978" s="2"/>
      <c r="AE978" s="2"/>
      <c r="AF978" s="2"/>
      <c r="AG978" s="2"/>
      <c r="AH978" s="2"/>
      <c r="AI978" s="2"/>
      <c r="AJ978" s="2"/>
    </row>
    <row r="979" spans="1:41" ht="17.149999999999999" hidden="1" customHeight="1">
      <c r="A979" s="17" t="s">
        <v>5809</v>
      </c>
      <c r="B979" s="17"/>
      <c r="C979" s="61" t="s">
        <v>5810</v>
      </c>
      <c r="D979" s="61"/>
      <c r="E979" s="61"/>
      <c r="F979" s="61"/>
      <c r="G979" s="61"/>
      <c r="H979" s="17" t="s">
        <v>41</v>
      </c>
      <c r="I979" s="17" t="s">
        <v>5811</v>
      </c>
      <c r="J979" s="17" t="s">
        <v>5812</v>
      </c>
      <c r="K979" s="17" t="s">
        <v>5813</v>
      </c>
      <c r="L979" s="17" t="s">
        <v>45</v>
      </c>
      <c r="M979" s="17" t="s">
        <v>46</v>
      </c>
      <c r="N979" s="17">
        <v>65000</v>
      </c>
      <c r="O979" s="17">
        <v>2015</v>
      </c>
      <c r="P979" s="17">
        <v>65000</v>
      </c>
      <c r="Q979" s="17">
        <v>2015</v>
      </c>
      <c r="R979" s="17" t="s">
        <v>46</v>
      </c>
      <c r="S979" s="17">
        <v>1</v>
      </c>
      <c r="T979" s="17">
        <v>1</v>
      </c>
      <c r="U979" s="17" t="s">
        <v>5814</v>
      </c>
      <c r="V979" s="18"/>
      <c r="W979" s="18"/>
      <c r="X979" s="18"/>
      <c r="Y979" s="18"/>
      <c r="Z979" s="18"/>
      <c r="AA979" s="18"/>
      <c r="AB979" s="18"/>
      <c r="AC979" s="18"/>
      <c r="AD979" s="18"/>
    </row>
    <row r="980" spans="1:41" s="42" customFormat="1" ht="17.149999999999999" hidden="1" customHeight="1">
      <c r="A980" s="1" t="s">
        <v>5815</v>
      </c>
      <c r="B980" s="1"/>
      <c r="C980" s="1" t="s">
        <v>5816</v>
      </c>
      <c r="D980" s="1"/>
      <c r="E980" s="1"/>
      <c r="F980" s="1"/>
      <c r="G980" s="1"/>
      <c r="H980" s="1" t="s">
        <v>674</v>
      </c>
      <c r="I980" s="1" t="s">
        <v>46</v>
      </c>
      <c r="J980" s="1" t="s">
        <v>5817</v>
      </c>
      <c r="K980" s="1" t="s">
        <v>5818</v>
      </c>
      <c r="L980" s="1" t="s">
        <v>45</v>
      </c>
      <c r="M980" s="1" t="s">
        <v>46</v>
      </c>
      <c r="N980" s="1">
        <v>78518</v>
      </c>
      <c r="O980" s="1">
        <v>2016</v>
      </c>
      <c r="P980" s="1">
        <v>64856</v>
      </c>
      <c r="Q980" s="1">
        <v>2016</v>
      </c>
      <c r="R980" s="1" t="s">
        <v>46</v>
      </c>
      <c r="S980" s="1">
        <v>1</v>
      </c>
      <c r="T980" s="1">
        <v>1</v>
      </c>
      <c r="U980" s="1" t="s">
        <v>5819</v>
      </c>
      <c r="V980" s="2"/>
      <c r="W980" s="2"/>
      <c r="X980" s="2"/>
      <c r="Y980" s="2"/>
      <c r="Z980" s="2"/>
      <c r="AA980" s="2"/>
      <c r="AB980" s="2"/>
      <c r="AC980" s="2"/>
      <c r="AD980" s="2"/>
      <c r="AE980" s="2"/>
      <c r="AF980" s="2"/>
      <c r="AG980" s="2"/>
      <c r="AH980" s="2"/>
      <c r="AI980" s="2"/>
      <c r="AJ980" s="2"/>
    </row>
    <row r="981" spans="1:41" ht="17.149999999999999" customHeight="1">
      <c r="A981" s="14" t="s">
        <v>5820</v>
      </c>
      <c r="B981" s="14" t="s">
        <v>37</v>
      </c>
      <c r="C981" s="56" t="s">
        <v>5821</v>
      </c>
      <c r="D981" s="144" t="s">
        <v>5821</v>
      </c>
      <c r="E981" s="144" t="s">
        <v>5821</v>
      </c>
      <c r="F981" s="17" t="s">
        <v>62</v>
      </c>
      <c r="G981" s="61" t="s">
        <v>40</v>
      </c>
      <c r="H981" s="14" t="s">
        <v>41</v>
      </c>
      <c r="I981" s="14" t="s">
        <v>63</v>
      </c>
      <c r="J981" s="14" t="s">
        <v>5822</v>
      </c>
      <c r="K981" s="14" t="s">
        <v>5823</v>
      </c>
      <c r="L981" s="14" t="s">
        <v>45</v>
      </c>
      <c r="M981" s="14" t="s">
        <v>46</v>
      </c>
      <c r="N981" s="14" t="s">
        <v>46</v>
      </c>
      <c r="O981" s="14" t="s">
        <v>46</v>
      </c>
      <c r="P981" s="91" t="s">
        <v>5824</v>
      </c>
      <c r="Q981" s="14">
        <v>2023</v>
      </c>
      <c r="R981" s="14" t="s">
        <v>46</v>
      </c>
      <c r="S981" s="14">
        <v>1</v>
      </c>
      <c r="T981" s="14">
        <v>1</v>
      </c>
      <c r="U981" s="14" t="s">
        <v>5825</v>
      </c>
      <c r="V981" s="8" t="s">
        <v>5826</v>
      </c>
      <c r="W981" s="6" t="s">
        <v>78</v>
      </c>
      <c r="X981" s="6" t="s">
        <v>40</v>
      </c>
      <c r="Y981" s="6"/>
      <c r="Z981" s="6" t="s">
        <v>5827</v>
      </c>
      <c r="AA981" s="6" t="s">
        <v>5828</v>
      </c>
      <c r="AB981" s="76" t="s">
        <v>5251</v>
      </c>
      <c r="AC981" s="6" t="s">
        <v>5829</v>
      </c>
      <c r="AD981" s="6"/>
      <c r="AE981" s="2">
        <v>1</v>
      </c>
      <c r="AF981" s="2" t="s">
        <v>53</v>
      </c>
      <c r="AJ981" s="2" t="s">
        <v>57</v>
      </c>
    </row>
    <row r="982" spans="1:41" ht="17.149999999999999" hidden="1" customHeight="1">
      <c r="A982" s="1" t="s">
        <v>5830</v>
      </c>
      <c r="B982" s="1"/>
      <c r="C982" s="1" t="s">
        <v>5831</v>
      </c>
      <c r="D982" s="1"/>
      <c r="E982" s="1"/>
      <c r="F982" s="1"/>
      <c r="G982" s="1"/>
      <c r="H982" s="1" t="s">
        <v>249</v>
      </c>
      <c r="I982" s="1" t="s">
        <v>5832</v>
      </c>
      <c r="J982" s="1" t="s">
        <v>5833</v>
      </c>
      <c r="K982" s="1" t="s">
        <v>5834</v>
      </c>
      <c r="L982" s="1" t="s">
        <v>45</v>
      </c>
      <c r="M982" s="1" t="s">
        <v>46</v>
      </c>
      <c r="N982" s="1">
        <v>68588</v>
      </c>
      <c r="O982" s="1">
        <v>2018</v>
      </c>
      <c r="P982" s="1">
        <v>76689</v>
      </c>
      <c r="Q982" s="1">
        <v>2018</v>
      </c>
      <c r="R982" s="1" t="s">
        <v>46</v>
      </c>
      <c r="S982" s="1">
        <v>1</v>
      </c>
      <c r="T982" s="1" t="s">
        <v>46</v>
      </c>
      <c r="U982" s="1" t="s">
        <v>5835</v>
      </c>
    </row>
    <row r="983" spans="1:41" ht="17.149999999999999" hidden="1" customHeight="1">
      <c r="A983" s="1" t="s">
        <v>5836</v>
      </c>
      <c r="B983" s="1"/>
      <c r="C983" s="1" t="s">
        <v>5837</v>
      </c>
      <c r="D983" s="1"/>
      <c r="E983" s="1"/>
      <c r="F983" s="1"/>
      <c r="G983" s="1"/>
      <c r="H983" s="1" t="s">
        <v>674</v>
      </c>
      <c r="I983" s="1" t="s">
        <v>46</v>
      </c>
      <c r="J983" s="1" t="s">
        <v>5838</v>
      </c>
      <c r="K983" s="1" t="s">
        <v>5839</v>
      </c>
      <c r="L983" s="1" t="s">
        <v>45</v>
      </c>
      <c r="M983" s="1" t="s">
        <v>46</v>
      </c>
      <c r="N983" s="1">
        <v>136982</v>
      </c>
      <c r="O983" s="1">
        <v>2016</v>
      </c>
      <c r="P983" s="1">
        <v>64728</v>
      </c>
      <c r="Q983" s="1">
        <v>2016</v>
      </c>
      <c r="R983" s="1" t="s">
        <v>46</v>
      </c>
      <c r="S983" s="1">
        <v>1</v>
      </c>
      <c r="T983" s="1">
        <v>1</v>
      </c>
      <c r="U983" s="1" t="s">
        <v>5840</v>
      </c>
    </row>
    <row r="984" spans="1:41" ht="17.149999999999999" hidden="1" customHeight="1">
      <c r="A984" s="1" t="s">
        <v>5841</v>
      </c>
      <c r="B984" s="1"/>
      <c r="C984" s="1" t="s">
        <v>5842</v>
      </c>
      <c r="D984" s="1"/>
      <c r="E984" s="1"/>
      <c r="F984" s="1"/>
      <c r="G984" s="1"/>
      <c r="H984" s="1" t="s">
        <v>1367</v>
      </c>
      <c r="I984" s="1" t="s">
        <v>46</v>
      </c>
      <c r="J984" s="1" t="s">
        <v>5843</v>
      </c>
      <c r="K984" s="1" t="s">
        <v>5844</v>
      </c>
      <c r="L984" s="1" t="s">
        <v>45</v>
      </c>
      <c r="M984" s="1" t="s">
        <v>46</v>
      </c>
      <c r="N984" s="1">
        <v>77232</v>
      </c>
      <c r="O984" s="1">
        <v>2017</v>
      </c>
      <c r="P984" s="1">
        <v>64513.999999999993</v>
      </c>
      <c r="Q984" s="1">
        <v>2017</v>
      </c>
      <c r="R984" s="1" t="s">
        <v>46</v>
      </c>
      <c r="S984" s="1">
        <v>1</v>
      </c>
      <c r="T984" s="1" t="s">
        <v>46</v>
      </c>
      <c r="U984" s="1" t="s">
        <v>5845</v>
      </c>
    </row>
    <row r="985" spans="1:41" ht="17.149999999999999" hidden="1" customHeight="1">
      <c r="A985" s="1" t="s">
        <v>5846</v>
      </c>
      <c r="B985" s="1"/>
      <c r="C985" s="1" t="s">
        <v>5847</v>
      </c>
      <c r="D985" s="1"/>
      <c r="E985" s="1"/>
      <c r="F985" s="1"/>
      <c r="G985" s="1"/>
      <c r="H985" s="1" t="s">
        <v>249</v>
      </c>
      <c r="I985" s="1" t="s">
        <v>5848</v>
      </c>
      <c r="J985" s="1" t="s">
        <v>5849</v>
      </c>
      <c r="K985" s="1" t="s">
        <v>5850</v>
      </c>
      <c r="L985" s="1" t="s">
        <v>45</v>
      </c>
      <c r="M985" s="1" t="s">
        <v>5851</v>
      </c>
      <c r="N985" s="1">
        <v>67740</v>
      </c>
      <c r="O985" s="1">
        <v>2018</v>
      </c>
      <c r="P985" s="1">
        <v>69668</v>
      </c>
      <c r="Q985" s="1">
        <v>2018</v>
      </c>
      <c r="R985" s="1" t="s">
        <v>46</v>
      </c>
      <c r="S985" s="1">
        <v>1</v>
      </c>
      <c r="T985" s="1">
        <v>1</v>
      </c>
      <c r="U985" s="1" t="s">
        <v>5852</v>
      </c>
    </row>
    <row r="986" spans="1:41" ht="17.149999999999999" hidden="1" customHeight="1">
      <c r="A986" s="1" t="s">
        <v>5853</v>
      </c>
      <c r="B986" s="1"/>
      <c r="C986" s="1" t="s">
        <v>5854</v>
      </c>
      <c r="D986" s="1"/>
      <c r="E986" s="1"/>
      <c r="F986" s="1"/>
      <c r="G986" s="1"/>
      <c r="H986" s="1" t="s">
        <v>249</v>
      </c>
      <c r="I986" s="1" t="s">
        <v>4040</v>
      </c>
      <c r="J986" s="1" t="s">
        <v>5855</v>
      </c>
      <c r="K986" s="1" t="s">
        <v>5856</v>
      </c>
      <c r="L986" s="1" t="s">
        <v>45</v>
      </c>
      <c r="M986" s="1" t="s">
        <v>46</v>
      </c>
      <c r="N986" s="1">
        <v>67521</v>
      </c>
      <c r="O986" s="1">
        <v>2018</v>
      </c>
      <c r="P986" s="1">
        <v>69635</v>
      </c>
      <c r="Q986" s="1">
        <v>2018</v>
      </c>
      <c r="R986" s="1" t="s">
        <v>46</v>
      </c>
      <c r="S986" s="1">
        <v>1</v>
      </c>
      <c r="T986" s="1" t="s">
        <v>46</v>
      </c>
      <c r="U986" s="1" t="s">
        <v>5857</v>
      </c>
    </row>
    <row r="987" spans="1:41" ht="17.149999999999999" customHeight="1">
      <c r="A987" s="14" t="s">
        <v>5858</v>
      </c>
      <c r="B987" s="14" t="s">
        <v>37</v>
      </c>
      <c r="C987" s="56" t="s">
        <v>5859</v>
      </c>
      <c r="D987" s="144" t="s">
        <v>5859</v>
      </c>
      <c r="E987" s="144" t="s">
        <v>5859</v>
      </c>
      <c r="F987" s="17" t="s">
        <v>62</v>
      </c>
      <c r="G987" s="61" t="s">
        <v>40</v>
      </c>
      <c r="H987" s="14" t="s">
        <v>41</v>
      </c>
      <c r="I987" s="14" t="s">
        <v>63</v>
      </c>
      <c r="J987" s="14" t="s">
        <v>5860</v>
      </c>
      <c r="K987" s="14" t="s">
        <v>5861</v>
      </c>
      <c r="L987" s="14" t="s">
        <v>151</v>
      </c>
      <c r="M987" s="14" t="s">
        <v>5862</v>
      </c>
      <c r="N987" s="14" t="s">
        <v>46</v>
      </c>
      <c r="O987" s="14" t="s">
        <v>46</v>
      </c>
      <c r="P987" s="14">
        <v>200000</v>
      </c>
      <c r="Q987" s="14">
        <v>2017</v>
      </c>
      <c r="R987" s="14" t="s">
        <v>46</v>
      </c>
      <c r="S987" s="14">
        <v>1</v>
      </c>
      <c r="T987" s="14" t="s">
        <v>46</v>
      </c>
      <c r="U987" s="14" t="s">
        <v>5863</v>
      </c>
      <c r="V987" s="6" t="s">
        <v>40</v>
      </c>
      <c r="W987" s="6" t="s">
        <v>664</v>
      </c>
      <c r="X987" s="6" t="s">
        <v>40</v>
      </c>
      <c r="Y987" s="6"/>
      <c r="Z987" s="6" t="s">
        <v>5864</v>
      </c>
      <c r="AA987" s="33" t="s">
        <v>5865</v>
      </c>
      <c r="AB987" s="6"/>
      <c r="AC987" s="6" t="s">
        <v>5866</v>
      </c>
      <c r="AD987" s="6" t="s">
        <v>40</v>
      </c>
      <c r="AE987" s="2">
        <v>3</v>
      </c>
      <c r="AF987" s="2" t="s">
        <v>53</v>
      </c>
      <c r="AH987" s="2" t="s">
        <v>55</v>
      </c>
      <c r="AJ987" s="2" t="s">
        <v>57</v>
      </c>
    </row>
    <row r="988" spans="1:41" ht="17.149999999999999" customHeight="1">
      <c r="A988" s="41" t="s">
        <v>5867</v>
      </c>
      <c r="B988" s="41" t="s">
        <v>1866</v>
      </c>
      <c r="C988" s="41" t="s">
        <v>5868</v>
      </c>
      <c r="D988" s="1" t="s">
        <v>5868</v>
      </c>
      <c r="E988" s="1" t="s">
        <v>5869</v>
      </c>
      <c r="F988" s="1" t="s">
        <v>62</v>
      </c>
      <c r="G988" s="1" t="s">
        <v>40</v>
      </c>
      <c r="H988" s="41" t="s">
        <v>249</v>
      </c>
      <c r="I988" s="41" t="s">
        <v>5406</v>
      </c>
      <c r="J988" s="41" t="s">
        <v>5870</v>
      </c>
      <c r="K988" s="41" t="s">
        <v>5871</v>
      </c>
      <c r="L988" s="41" t="s">
        <v>118</v>
      </c>
      <c r="M988" s="41" t="s">
        <v>5872</v>
      </c>
      <c r="N988" s="41">
        <v>695669</v>
      </c>
      <c r="O988" s="41">
        <v>2018</v>
      </c>
      <c r="P988" s="41">
        <v>746868</v>
      </c>
      <c r="Q988" s="41">
        <v>2018</v>
      </c>
      <c r="R988" s="41" t="s">
        <v>46</v>
      </c>
      <c r="S988" s="41">
        <v>1</v>
      </c>
      <c r="T988" s="41">
        <v>1</v>
      </c>
      <c r="U988" s="41" t="s">
        <v>5873</v>
      </c>
      <c r="V988" s="42" t="s">
        <v>40</v>
      </c>
      <c r="W988" s="42" t="s">
        <v>5874</v>
      </c>
      <c r="X988" s="42" t="s">
        <v>40</v>
      </c>
      <c r="Y988" s="42" t="s">
        <v>5875</v>
      </c>
      <c r="Z988" s="42"/>
      <c r="AA988" s="5" t="s">
        <v>5876</v>
      </c>
      <c r="AB988" s="42"/>
      <c r="AC988" s="42" t="s">
        <v>5877</v>
      </c>
      <c r="AD988" s="42"/>
      <c r="AE988" s="42">
        <v>4</v>
      </c>
      <c r="AF988" s="42" t="s">
        <v>1263</v>
      </c>
      <c r="AG988" s="42"/>
      <c r="AH988" s="42"/>
      <c r="AI988" s="42"/>
      <c r="AJ988" s="2" t="s">
        <v>1318</v>
      </c>
      <c r="AK988" s="42"/>
      <c r="AL988" s="42"/>
      <c r="AM988" s="42"/>
      <c r="AN988" s="42"/>
      <c r="AO988" s="42"/>
    </row>
    <row r="989" spans="1:41" ht="17.149999999999999" hidden="1" customHeight="1">
      <c r="A989" s="1" t="s">
        <v>5878</v>
      </c>
      <c r="B989" s="1"/>
      <c r="C989" s="1" t="s">
        <v>5879</v>
      </c>
      <c r="D989" s="1"/>
      <c r="E989" s="1"/>
      <c r="F989" s="1"/>
      <c r="G989" s="1"/>
      <c r="H989" s="1" t="s">
        <v>500</v>
      </c>
      <c r="I989" s="1" t="s">
        <v>46</v>
      </c>
      <c r="J989" s="1" t="s">
        <v>5880</v>
      </c>
      <c r="K989" s="1" t="s">
        <v>5881</v>
      </c>
      <c r="L989" s="1" t="s">
        <v>45</v>
      </c>
      <c r="M989" s="1" t="s">
        <v>46</v>
      </c>
      <c r="N989" s="1">
        <v>64000</v>
      </c>
      <c r="O989" s="1">
        <v>2016</v>
      </c>
      <c r="P989" s="1">
        <v>64000</v>
      </c>
      <c r="Q989" s="1">
        <v>2016</v>
      </c>
      <c r="R989" s="1" t="s">
        <v>46</v>
      </c>
      <c r="S989" s="1">
        <v>1</v>
      </c>
      <c r="T989" s="1">
        <v>1</v>
      </c>
      <c r="U989" s="1" t="s">
        <v>5882</v>
      </c>
    </row>
    <row r="990" spans="1:41" ht="17.149999999999999" hidden="1" customHeight="1">
      <c r="A990" s="1" t="s">
        <v>5883</v>
      </c>
      <c r="B990" s="1"/>
      <c r="C990" s="1" t="s">
        <v>5884</v>
      </c>
      <c r="D990" s="1"/>
      <c r="E990" s="1"/>
      <c r="F990" s="1"/>
      <c r="G990" s="1"/>
      <c r="H990" s="1" t="s">
        <v>249</v>
      </c>
      <c r="I990" s="1" t="s">
        <v>5406</v>
      </c>
      <c r="J990" s="1" t="s">
        <v>5885</v>
      </c>
      <c r="K990" s="1" t="s">
        <v>5886</v>
      </c>
      <c r="L990" s="1" t="s">
        <v>45</v>
      </c>
      <c r="M990" s="1" t="s">
        <v>46</v>
      </c>
      <c r="N990" s="1">
        <v>64122</v>
      </c>
      <c r="O990" s="1">
        <v>2018</v>
      </c>
      <c r="P990" s="1">
        <v>75055</v>
      </c>
      <c r="Q990" s="1">
        <v>2018</v>
      </c>
      <c r="R990" s="1" t="s">
        <v>46</v>
      </c>
      <c r="S990" s="1">
        <v>1</v>
      </c>
      <c r="T990" s="1" t="s">
        <v>46</v>
      </c>
      <c r="U990" s="1" t="s">
        <v>5887</v>
      </c>
    </row>
    <row r="991" spans="1:41" ht="17.149999999999999" hidden="1" customHeight="1">
      <c r="A991" s="1" t="s">
        <v>5888</v>
      </c>
      <c r="B991" s="1" t="s">
        <v>1198</v>
      </c>
      <c r="C991" s="1" t="s">
        <v>5889</v>
      </c>
      <c r="D991" s="1"/>
      <c r="E991" s="1"/>
      <c r="F991" s="1"/>
      <c r="G991" s="1"/>
      <c r="H991" s="1" t="s">
        <v>640</v>
      </c>
      <c r="I991" s="1" t="s">
        <v>46</v>
      </c>
      <c r="J991" s="1" t="s">
        <v>5890</v>
      </c>
      <c r="K991" s="1" t="s">
        <v>5891</v>
      </c>
      <c r="L991" s="1" t="s">
        <v>45</v>
      </c>
      <c r="M991" s="1" t="s">
        <v>46</v>
      </c>
      <c r="N991" s="1">
        <v>63699</v>
      </c>
      <c r="O991" s="1">
        <v>2016</v>
      </c>
      <c r="P991" s="1">
        <v>63699</v>
      </c>
      <c r="Q991" s="1">
        <v>2016</v>
      </c>
      <c r="R991" s="1" t="s">
        <v>46</v>
      </c>
      <c r="S991" s="1">
        <v>1</v>
      </c>
      <c r="T991" s="1">
        <v>1</v>
      </c>
      <c r="U991" s="1" t="s">
        <v>5892</v>
      </c>
      <c r="V991" s="2" t="s">
        <v>40</v>
      </c>
      <c r="W991" s="2" t="s">
        <v>1327</v>
      </c>
      <c r="X991" s="2" t="s">
        <v>103</v>
      </c>
      <c r="AE991" s="2">
        <v>1</v>
      </c>
      <c r="AF991" s="2" t="s">
        <v>1291</v>
      </c>
    </row>
    <row r="992" spans="1:41" ht="17.149999999999999" hidden="1" customHeight="1">
      <c r="A992" s="1" t="s">
        <v>5893</v>
      </c>
      <c r="B992" s="1"/>
      <c r="C992" s="1" t="s">
        <v>5894</v>
      </c>
      <c r="D992" s="1"/>
      <c r="E992" s="1"/>
      <c r="F992" s="1"/>
      <c r="G992" s="1"/>
      <c r="H992" s="1" t="s">
        <v>249</v>
      </c>
      <c r="I992" s="1" t="s">
        <v>46</v>
      </c>
      <c r="J992" s="1" t="s">
        <v>5307</v>
      </c>
      <c r="K992" s="1" t="s">
        <v>5895</v>
      </c>
      <c r="L992" s="1" t="s">
        <v>46</v>
      </c>
      <c r="M992" s="1" t="s">
        <v>46</v>
      </c>
      <c r="N992" s="1">
        <v>63106</v>
      </c>
      <c r="O992" s="1">
        <v>2015</v>
      </c>
      <c r="P992" s="1" t="s">
        <v>46</v>
      </c>
      <c r="Q992" s="1" t="s">
        <v>46</v>
      </c>
      <c r="R992" s="1" t="s">
        <v>46</v>
      </c>
      <c r="S992" s="1">
        <v>1</v>
      </c>
      <c r="T992" s="1">
        <v>1</v>
      </c>
      <c r="U992" s="1" t="s">
        <v>1005</v>
      </c>
      <c r="AK992" s="123"/>
      <c r="AL992" s="123"/>
      <c r="AM992" s="123"/>
      <c r="AN992" s="123"/>
      <c r="AO992" s="123"/>
    </row>
    <row r="993" spans="1:41" ht="17.149999999999999" hidden="1" customHeight="1">
      <c r="A993" s="1" t="s">
        <v>5896</v>
      </c>
      <c r="B993" s="1"/>
      <c r="C993" s="1" t="s">
        <v>5897</v>
      </c>
      <c r="D993" s="1"/>
      <c r="E993" s="1"/>
      <c r="F993" s="1"/>
      <c r="G993" s="1"/>
      <c r="H993" s="1" t="s">
        <v>110</v>
      </c>
      <c r="I993" s="1" t="s">
        <v>46</v>
      </c>
      <c r="J993" s="1" t="s">
        <v>5898</v>
      </c>
      <c r="K993" s="1" t="s">
        <v>5899</v>
      </c>
      <c r="L993" s="1" t="s">
        <v>45</v>
      </c>
      <c r="M993" s="1" t="s">
        <v>46</v>
      </c>
      <c r="N993" s="1">
        <v>63332</v>
      </c>
      <c r="O993" s="1">
        <v>2015</v>
      </c>
      <c r="P993" s="1">
        <v>63332</v>
      </c>
      <c r="Q993" s="1">
        <v>2015</v>
      </c>
      <c r="R993" s="1" t="s">
        <v>46</v>
      </c>
      <c r="S993" s="1">
        <v>1</v>
      </c>
      <c r="T993" s="1">
        <v>1</v>
      </c>
      <c r="U993" s="1" t="s">
        <v>5900</v>
      </c>
    </row>
    <row r="994" spans="1:41" ht="17.149999999999999" hidden="1" customHeight="1">
      <c r="A994" s="1" t="s">
        <v>5901</v>
      </c>
      <c r="B994" s="1"/>
      <c r="C994" s="1" t="s">
        <v>5902</v>
      </c>
      <c r="D994" s="1"/>
      <c r="E994" s="1"/>
      <c r="F994" s="1"/>
      <c r="G994" s="1"/>
      <c r="H994" s="1" t="s">
        <v>249</v>
      </c>
      <c r="I994" s="1" t="s">
        <v>5903</v>
      </c>
      <c r="J994" s="1" t="s">
        <v>5904</v>
      </c>
      <c r="K994" s="1" t="s">
        <v>5905</v>
      </c>
      <c r="L994" s="1" t="s">
        <v>45</v>
      </c>
      <c r="M994" s="1" t="s">
        <v>46</v>
      </c>
      <c r="N994" s="1">
        <v>62822</v>
      </c>
      <c r="O994" s="1">
        <v>2018</v>
      </c>
      <c r="P994" s="1">
        <v>61114</v>
      </c>
      <c r="Q994" s="1">
        <v>2018</v>
      </c>
      <c r="R994" s="1" t="s">
        <v>46</v>
      </c>
      <c r="S994" s="1">
        <v>1</v>
      </c>
      <c r="T994" s="1" t="s">
        <v>46</v>
      </c>
      <c r="U994" s="1" t="s">
        <v>5906</v>
      </c>
    </row>
    <row r="995" spans="1:41" ht="17.149999999999999" hidden="1" customHeight="1">
      <c r="A995" s="14" t="s">
        <v>5907</v>
      </c>
      <c r="B995" s="14" t="s">
        <v>37</v>
      </c>
      <c r="C995" s="70" t="s">
        <v>5908</v>
      </c>
      <c r="D995" s="61"/>
      <c r="E995" s="61"/>
      <c r="F995" s="61"/>
      <c r="G995" s="61"/>
      <c r="H995" s="14" t="s">
        <v>41</v>
      </c>
      <c r="I995" s="14" t="s">
        <v>135</v>
      </c>
      <c r="J995" s="14" t="s">
        <v>5909</v>
      </c>
      <c r="K995" s="14" t="s">
        <v>5910</v>
      </c>
      <c r="L995" s="14" t="s">
        <v>45</v>
      </c>
      <c r="M995" s="14" t="s">
        <v>46</v>
      </c>
      <c r="N995" s="14" t="s">
        <v>46</v>
      </c>
      <c r="O995" s="14" t="s">
        <v>46</v>
      </c>
      <c r="P995" s="16">
        <v>63000</v>
      </c>
      <c r="Q995" s="16">
        <v>2025</v>
      </c>
      <c r="R995" s="14" t="s">
        <v>46</v>
      </c>
      <c r="S995" s="14">
        <v>1</v>
      </c>
      <c r="T995" s="14">
        <v>1</v>
      </c>
      <c r="U995" s="14" t="s">
        <v>5911</v>
      </c>
      <c r="V995" s="6" t="s">
        <v>40</v>
      </c>
      <c r="W995" s="6" t="s">
        <v>323</v>
      </c>
      <c r="X995" s="8" t="s">
        <v>103</v>
      </c>
      <c r="Y995" s="8"/>
      <c r="Z995" s="6" t="s">
        <v>5912</v>
      </c>
      <c r="AA995" s="6" t="s">
        <v>5913</v>
      </c>
      <c r="AB995" s="76" t="s">
        <v>5914</v>
      </c>
      <c r="AC995" s="6" t="s">
        <v>5915</v>
      </c>
      <c r="AD995" s="8" t="s">
        <v>286</v>
      </c>
      <c r="AE995" s="2">
        <v>1</v>
      </c>
      <c r="AF995" t="s">
        <v>53</v>
      </c>
      <c r="AG995" s="2" t="s">
        <v>71</v>
      </c>
    </row>
    <row r="996" spans="1:41" ht="17.149999999999999" hidden="1" customHeight="1">
      <c r="A996" s="1" t="s">
        <v>5916</v>
      </c>
      <c r="B996" s="1"/>
      <c r="C996" s="1" t="s">
        <v>5917</v>
      </c>
      <c r="D996" s="1"/>
      <c r="E996" s="1"/>
      <c r="F996" s="1"/>
      <c r="G996" s="1"/>
      <c r="H996" s="1" t="s">
        <v>110</v>
      </c>
      <c r="I996" s="1" t="s">
        <v>46</v>
      </c>
      <c r="J996" s="1" t="s">
        <v>5918</v>
      </c>
      <c r="K996" s="1" t="s">
        <v>5919</v>
      </c>
      <c r="L996" s="1" t="s">
        <v>45</v>
      </c>
      <c r="M996" s="1" t="s">
        <v>46</v>
      </c>
      <c r="N996" s="1">
        <v>70483</v>
      </c>
      <c r="O996" s="1">
        <v>2015</v>
      </c>
      <c r="P996" s="1">
        <v>62878</v>
      </c>
      <c r="Q996" s="1">
        <v>2015</v>
      </c>
      <c r="R996" s="1" t="s">
        <v>46</v>
      </c>
      <c r="S996" s="1">
        <v>1</v>
      </c>
      <c r="T996" s="1">
        <v>1</v>
      </c>
      <c r="U996" s="1" t="s">
        <v>5920</v>
      </c>
    </row>
    <row r="997" spans="1:41" ht="17.149999999999999" hidden="1" customHeight="1">
      <c r="A997" s="17" t="s">
        <v>5921</v>
      </c>
      <c r="B997" s="17"/>
      <c r="C997" s="61" t="s">
        <v>5922</v>
      </c>
      <c r="D997" s="61"/>
      <c r="E997" s="61"/>
      <c r="F997" s="61"/>
      <c r="G997" s="61"/>
      <c r="H997" s="17" t="s">
        <v>41</v>
      </c>
      <c r="I997" s="17" t="s">
        <v>966</v>
      </c>
      <c r="J997" s="17" t="s">
        <v>5923</v>
      </c>
      <c r="K997" s="17" t="s">
        <v>5924</v>
      </c>
      <c r="L997" s="17" t="s">
        <v>45</v>
      </c>
      <c r="M997" s="17" t="s">
        <v>46</v>
      </c>
      <c r="N997" s="17">
        <v>57907</v>
      </c>
      <c r="O997" s="17">
        <v>2016</v>
      </c>
      <c r="P997" s="17">
        <v>62500</v>
      </c>
      <c r="Q997" s="17">
        <v>2016</v>
      </c>
      <c r="R997" s="17" t="s">
        <v>46</v>
      </c>
      <c r="S997" s="17">
        <v>1</v>
      </c>
      <c r="T997" s="17">
        <v>1</v>
      </c>
      <c r="U997" s="17" t="s">
        <v>5925</v>
      </c>
      <c r="V997" s="18"/>
      <c r="W997" s="18"/>
      <c r="X997" s="18"/>
      <c r="Y997" s="18"/>
      <c r="Z997" s="18"/>
      <c r="AA997" s="18"/>
      <c r="AB997" s="18"/>
      <c r="AC997" s="18"/>
      <c r="AD997" s="18"/>
    </row>
    <row r="998" spans="1:41" ht="17.149999999999999" hidden="1" customHeight="1">
      <c r="A998" s="1" t="s">
        <v>5926</v>
      </c>
      <c r="B998" s="1"/>
      <c r="C998" s="1" t="s">
        <v>5927</v>
      </c>
      <c r="D998" s="1"/>
      <c r="E998" s="1"/>
      <c r="F998" s="1"/>
      <c r="G998" s="1"/>
      <c r="H998" s="1" t="s">
        <v>500</v>
      </c>
      <c r="I998" s="1" t="s">
        <v>46</v>
      </c>
      <c r="J998" s="1" t="s">
        <v>5928</v>
      </c>
      <c r="K998" s="1" t="s">
        <v>5929</v>
      </c>
      <c r="L998" s="1" t="s">
        <v>45</v>
      </c>
      <c r="M998" s="1" t="s">
        <v>46</v>
      </c>
      <c r="N998" s="1">
        <v>62500</v>
      </c>
      <c r="O998" s="1">
        <v>2017</v>
      </c>
      <c r="P998" s="1">
        <v>62500</v>
      </c>
      <c r="Q998" s="1">
        <v>2017</v>
      </c>
      <c r="R998" s="1" t="s">
        <v>46</v>
      </c>
      <c r="S998" s="1">
        <v>1</v>
      </c>
      <c r="T998" s="1">
        <v>1</v>
      </c>
      <c r="U998" s="1" t="s">
        <v>5930</v>
      </c>
    </row>
    <row r="999" spans="1:41" ht="17.149999999999999" hidden="1" customHeight="1">
      <c r="A999" s="1" t="s">
        <v>5931</v>
      </c>
      <c r="B999" s="1" t="s">
        <v>37</v>
      </c>
      <c r="C999" s="1" t="s">
        <v>5932</v>
      </c>
      <c r="D999" s="1"/>
      <c r="E999" s="1"/>
      <c r="F999" s="1"/>
      <c r="G999" s="1"/>
      <c r="H999" s="1" t="s">
        <v>1391</v>
      </c>
      <c r="I999" s="1" t="s">
        <v>1634</v>
      </c>
      <c r="J999" s="1" t="s">
        <v>5933</v>
      </c>
      <c r="K999" s="1" t="s">
        <v>5934</v>
      </c>
      <c r="L999" s="1" t="s">
        <v>45</v>
      </c>
      <c r="M999" s="1" t="s">
        <v>46</v>
      </c>
      <c r="N999" s="1">
        <v>56180</v>
      </c>
      <c r="O999" s="1">
        <v>2015</v>
      </c>
      <c r="P999" s="1">
        <v>62417</v>
      </c>
      <c r="Q999" s="1">
        <v>2015</v>
      </c>
      <c r="R999" s="1" t="s">
        <v>46</v>
      </c>
      <c r="S999" s="1">
        <v>1</v>
      </c>
      <c r="T999" s="1">
        <v>1</v>
      </c>
      <c r="U999" s="1" t="s">
        <v>5935</v>
      </c>
      <c r="V999" s="2" t="s">
        <v>4860</v>
      </c>
    </row>
    <row r="1000" spans="1:41" ht="17.149999999999999" hidden="1" customHeight="1">
      <c r="A1000" s="1" t="s">
        <v>5936</v>
      </c>
      <c r="B1000" s="1"/>
      <c r="C1000" s="1" t="s">
        <v>5937</v>
      </c>
      <c r="D1000" s="1"/>
      <c r="E1000" s="1"/>
      <c r="F1000" s="1"/>
      <c r="G1000" s="1"/>
      <c r="H1000" s="1" t="s">
        <v>249</v>
      </c>
      <c r="I1000" s="1" t="s">
        <v>4683</v>
      </c>
      <c r="J1000" s="1" t="s">
        <v>5938</v>
      </c>
      <c r="K1000" s="1" t="s">
        <v>5939</v>
      </c>
      <c r="L1000" s="1" t="s">
        <v>45</v>
      </c>
      <c r="M1000" s="1" t="s">
        <v>46</v>
      </c>
      <c r="N1000" s="1">
        <v>61728</v>
      </c>
      <c r="O1000" s="1">
        <v>2018</v>
      </c>
      <c r="P1000" s="1">
        <v>107604</v>
      </c>
      <c r="Q1000" s="1">
        <v>2018</v>
      </c>
      <c r="R1000" s="1" t="s">
        <v>46</v>
      </c>
      <c r="S1000" s="1">
        <v>1</v>
      </c>
      <c r="T1000" s="1" t="s">
        <v>46</v>
      </c>
      <c r="U1000" s="1" t="s">
        <v>5940</v>
      </c>
    </row>
    <row r="1001" spans="1:41" ht="17.149999999999999" hidden="1" customHeight="1">
      <c r="A1001" s="1" t="s">
        <v>5941</v>
      </c>
      <c r="B1001" s="1"/>
      <c r="C1001" s="1" t="s">
        <v>5942</v>
      </c>
      <c r="D1001" s="1"/>
      <c r="E1001" s="1"/>
      <c r="F1001" s="1"/>
      <c r="G1001" s="1"/>
      <c r="H1001" s="1" t="s">
        <v>128</v>
      </c>
      <c r="I1001" s="1" t="s">
        <v>926</v>
      </c>
      <c r="J1001" s="1" t="s">
        <v>5943</v>
      </c>
      <c r="K1001" s="1" t="s">
        <v>5944</v>
      </c>
      <c r="L1001" s="1" t="s">
        <v>118</v>
      </c>
      <c r="M1001" s="1" t="s">
        <v>4928</v>
      </c>
      <c r="N1001" s="1">
        <v>76685</v>
      </c>
      <c r="O1001" s="1">
        <v>2015</v>
      </c>
      <c r="P1001" s="1">
        <v>62115</v>
      </c>
      <c r="Q1001" s="1">
        <v>2015</v>
      </c>
      <c r="R1001" s="1" t="s">
        <v>46</v>
      </c>
      <c r="S1001" s="1">
        <v>1</v>
      </c>
      <c r="T1001" s="1" t="s">
        <v>46</v>
      </c>
      <c r="U1001" s="1" t="s">
        <v>5945</v>
      </c>
    </row>
    <row r="1002" spans="1:41" ht="17.149999999999999" hidden="1" customHeight="1">
      <c r="A1002" s="1" t="s">
        <v>5946</v>
      </c>
      <c r="B1002" s="1"/>
      <c r="C1002" s="1" t="s">
        <v>5947</v>
      </c>
      <c r="D1002" s="1"/>
      <c r="E1002" s="1"/>
      <c r="F1002" s="1"/>
      <c r="G1002" s="1"/>
      <c r="H1002" s="1" t="s">
        <v>334</v>
      </c>
      <c r="I1002" s="1" t="s">
        <v>46</v>
      </c>
      <c r="J1002" s="1" t="s">
        <v>5948</v>
      </c>
      <c r="K1002" s="1" t="s">
        <v>5949</v>
      </c>
      <c r="L1002" s="1" t="s">
        <v>45</v>
      </c>
      <c r="M1002" s="1" t="s">
        <v>46</v>
      </c>
      <c r="N1002" s="1">
        <v>80200</v>
      </c>
      <c r="O1002" s="1">
        <v>2015</v>
      </c>
      <c r="P1002" s="1">
        <v>62100</v>
      </c>
      <c r="Q1002" s="1">
        <v>2015</v>
      </c>
      <c r="R1002" s="1" t="s">
        <v>46</v>
      </c>
      <c r="S1002" s="1">
        <v>1</v>
      </c>
      <c r="T1002" s="1" t="s">
        <v>46</v>
      </c>
      <c r="U1002" s="1" t="s">
        <v>5950</v>
      </c>
    </row>
    <row r="1003" spans="1:41" ht="17.149999999999999" hidden="1" customHeight="1">
      <c r="A1003" s="21" t="s">
        <v>5951</v>
      </c>
      <c r="B1003" s="21" t="s">
        <v>37</v>
      </c>
      <c r="C1003" s="58" t="s">
        <v>5952</v>
      </c>
      <c r="D1003" s="61"/>
      <c r="E1003" s="61"/>
      <c r="F1003" s="61"/>
      <c r="G1003" s="61"/>
      <c r="H1003" s="21" t="s">
        <v>41</v>
      </c>
      <c r="I1003" s="21" t="s">
        <v>1179</v>
      </c>
      <c r="J1003" s="21" t="s">
        <v>5953</v>
      </c>
      <c r="K1003" s="21" t="s">
        <v>5954</v>
      </c>
      <c r="L1003" s="21" t="s">
        <v>151</v>
      </c>
      <c r="M1003" s="21" t="s">
        <v>5955</v>
      </c>
      <c r="N1003" s="21">
        <v>75379</v>
      </c>
      <c r="O1003" s="21">
        <v>2015</v>
      </c>
      <c r="P1003" s="21">
        <v>62000</v>
      </c>
      <c r="Q1003" s="21">
        <v>2015</v>
      </c>
      <c r="R1003" s="21">
        <v>1</v>
      </c>
      <c r="S1003" s="21" t="s">
        <v>46</v>
      </c>
      <c r="T1003" s="21">
        <v>1</v>
      </c>
      <c r="U1003" s="21" t="s">
        <v>5956</v>
      </c>
      <c r="V1003" s="22" t="s">
        <v>103</v>
      </c>
      <c r="W1003" s="22"/>
      <c r="X1003" s="22"/>
      <c r="Y1003" s="22"/>
      <c r="Z1003" s="22"/>
      <c r="AA1003" s="22"/>
      <c r="AB1003" s="22"/>
      <c r="AC1003" s="22"/>
      <c r="AD1003" s="22"/>
    </row>
    <row r="1004" spans="1:41" ht="17.149999999999999" customHeight="1">
      <c r="A1004" s="41" t="s">
        <v>1256</v>
      </c>
      <c r="B1004" s="41" t="s">
        <v>37</v>
      </c>
      <c r="C1004" s="85" t="s">
        <v>5957</v>
      </c>
      <c r="D1004" s="144" t="s">
        <v>5957</v>
      </c>
      <c r="E1004" s="144" t="s">
        <v>5957</v>
      </c>
      <c r="F1004" s="1" t="s">
        <v>62</v>
      </c>
      <c r="G1004" t="s">
        <v>40</v>
      </c>
      <c r="H1004" s="41" t="s">
        <v>41</v>
      </c>
      <c r="I1004" s="41" t="s">
        <v>5958</v>
      </c>
      <c r="J1004" s="125" t="s">
        <v>5958</v>
      </c>
      <c r="K1004" s="41"/>
      <c r="L1004" s="41"/>
      <c r="M1004" s="41"/>
      <c r="N1004" s="41"/>
      <c r="O1004" s="41"/>
      <c r="P1004" s="41"/>
      <c r="Q1004" s="41"/>
      <c r="R1004" s="41"/>
      <c r="S1004" s="41"/>
      <c r="T1004" s="41"/>
      <c r="U1004" s="41"/>
      <c r="V1004" s="42" t="s">
        <v>40</v>
      </c>
      <c r="W1004" s="42" t="s">
        <v>78</v>
      </c>
      <c r="X1004" s="42" t="s">
        <v>40</v>
      </c>
      <c r="Y1004" s="42"/>
      <c r="Z1004" s="42"/>
      <c r="AA1004" s="42"/>
      <c r="AB1004" s="42"/>
      <c r="AC1004" s="6"/>
      <c r="AD1004" s="6"/>
      <c r="AE1004" s="42">
        <v>1</v>
      </c>
      <c r="AF1004" s="42" t="s">
        <v>1263</v>
      </c>
      <c r="AG1004" s="42"/>
      <c r="AH1004" s="42" t="s">
        <v>55</v>
      </c>
      <c r="AI1004" s="42" t="s">
        <v>1005</v>
      </c>
      <c r="AJ1004" s="42" t="s">
        <v>57</v>
      </c>
      <c r="AK1004" s="42"/>
      <c r="AL1004" s="42"/>
      <c r="AM1004" s="42"/>
      <c r="AN1004" s="42"/>
      <c r="AO1004" s="42"/>
    </row>
    <row r="1005" spans="1:41" s="44" customFormat="1" ht="17.149999999999999" hidden="1" customHeight="1">
      <c r="A1005" s="141" t="s">
        <v>5959</v>
      </c>
      <c r="B1005" s="141"/>
      <c r="C1005" s="141" t="s">
        <v>5960</v>
      </c>
      <c r="D1005" s="1"/>
      <c r="E1005" s="1"/>
      <c r="F1005" s="1"/>
      <c r="G1005" s="1"/>
      <c r="H1005" s="141" t="s">
        <v>249</v>
      </c>
      <c r="I1005" s="141" t="s">
        <v>4772</v>
      </c>
      <c r="J1005" s="141" t="s">
        <v>5961</v>
      </c>
      <c r="K1005" s="141" t="s">
        <v>5962</v>
      </c>
      <c r="L1005" s="141" t="s">
        <v>45</v>
      </c>
      <c r="M1005" s="141" t="s">
        <v>46</v>
      </c>
      <c r="N1005" s="141">
        <v>61586</v>
      </c>
      <c r="O1005" s="141">
        <v>2018</v>
      </c>
      <c r="P1005" s="141">
        <v>64814</v>
      </c>
      <c r="Q1005" s="141">
        <v>2018</v>
      </c>
      <c r="R1005" s="141" t="s">
        <v>46</v>
      </c>
      <c r="S1005" s="141">
        <v>1</v>
      </c>
      <c r="T1005" s="141" t="s">
        <v>46</v>
      </c>
      <c r="U1005" s="141" t="s">
        <v>5963</v>
      </c>
    </row>
    <row r="1006" spans="1:41" ht="17.149999999999999" hidden="1" customHeight="1">
      <c r="A1006" s="1" t="s">
        <v>5964</v>
      </c>
      <c r="B1006" s="1"/>
      <c r="C1006" s="1" t="s">
        <v>5965</v>
      </c>
      <c r="D1006" s="1"/>
      <c r="E1006" s="1"/>
      <c r="F1006" s="1"/>
      <c r="G1006" s="1"/>
      <c r="H1006" s="1" t="s">
        <v>1669</v>
      </c>
      <c r="I1006" s="1" t="s">
        <v>46</v>
      </c>
      <c r="J1006" s="1" t="s">
        <v>5966</v>
      </c>
      <c r="K1006" s="1" t="s">
        <v>5967</v>
      </c>
      <c r="L1006" s="1" t="s">
        <v>45</v>
      </c>
      <c r="M1006" s="1" t="s">
        <v>46</v>
      </c>
      <c r="N1006" s="1">
        <v>18620</v>
      </c>
      <c r="O1006" s="1">
        <v>2017</v>
      </c>
      <c r="P1006" s="1">
        <v>61158</v>
      </c>
      <c r="Q1006" s="1">
        <v>2017</v>
      </c>
      <c r="R1006" s="1" t="s">
        <v>46</v>
      </c>
      <c r="S1006" s="1">
        <v>1</v>
      </c>
      <c r="T1006" s="1" t="s">
        <v>46</v>
      </c>
      <c r="U1006" s="1" t="s">
        <v>5968</v>
      </c>
    </row>
    <row r="1007" spans="1:41" ht="17.149999999999999" hidden="1" customHeight="1">
      <c r="A1007" s="1" t="s">
        <v>5969</v>
      </c>
      <c r="B1007" s="1"/>
      <c r="C1007" s="1" t="s">
        <v>5970</v>
      </c>
      <c r="D1007" s="1"/>
      <c r="E1007" s="1"/>
      <c r="F1007" s="1"/>
      <c r="G1007" s="1"/>
      <c r="H1007" s="1" t="s">
        <v>249</v>
      </c>
      <c r="I1007" s="1" t="s">
        <v>46</v>
      </c>
      <c r="J1007" s="1" t="s">
        <v>5307</v>
      </c>
      <c r="K1007" s="1" t="s">
        <v>5521</v>
      </c>
      <c r="L1007" s="1" t="s">
        <v>46</v>
      </c>
      <c r="M1007" s="1" t="s">
        <v>46</v>
      </c>
      <c r="N1007" s="1">
        <v>60929</v>
      </c>
      <c r="O1007" s="1">
        <v>2015</v>
      </c>
      <c r="P1007" s="1">
        <v>60929</v>
      </c>
      <c r="Q1007" s="1">
        <v>2015</v>
      </c>
      <c r="R1007" s="1" t="s">
        <v>46</v>
      </c>
      <c r="S1007" s="1">
        <v>1</v>
      </c>
      <c r="T1007" s="1">
        <v>1</v>
      </c>
      <c r="U1007" s="1" t="s">
        <v>1005</v>
      </c>
    </row>
    <row r="1008" spans="1:41" ht="17.149999999999999" hidden="1" customHeight="1">
      <c r="A1008" s="1" t="s">
        <v>5971</v>
      </c>
      <c r="B1008" s="1"/>
      <c r="C1008" s="1" t="s">
        <v>5972</v>
      </c>
      <c r="D1008" s="1"/>
      <c r="E1008" s="1"/>
      <c r="F1008" s="1"/>
      <c r="G1008" s="1"/>
      <c r="H1008" s="1" t="s">
        <v>249</v>
      </c>
      <c r="I1008" s="1" t="s">
        <v>4623</v>
      </c>
      <c r="J1008" s="1" t="s">
        <v>5973</v>
      </c>
      <c r="K1008" s="1" t="s">
        <v>5974</v>
      </c>
      <c r="L1008" s="1" t="s">
        <v>45</v>
      </c>
      <c r="M1008" s="1" t="s">
        <v>46</v>
      </c>
      <c r="N1008" s="1">
        <v>60438</v>
      </c>
      <c r="O1008" s="1">
        <v>2018</v>
      </c>
      <c r="P1008" s="1">
        <v>75461</v>
      </c>
      <c r="Q1008" s="1">
        <v>2018</v>
      </c>
      <c r="R1008" s="1" t="s">
        <v>46</v>
      </c>
      <c r="S1008" s="1">
        <v>1</v>
      </c>
      <c r="T1008" s="1" t="s">
        <v>46</v>
      </c>
      <c r="U1008" s="1" t="s">
        <v>5975</v>
      </c>
    </row>
    <row r="1009" spans="1:36" ht="17.149999999999999" hidden="1" customHeight="1">
      <c r="A1009" s="1" t="s">
        <v>5976</v>
      </c>
      <c r="B1009" s="1"/>
      <c r="C1009" s="1" t="s">
        <v>5977</v>
      </c>
      <c r="D1009" s="1"/>
      <c r="E1009" s="1"/>
      <c r="F1009" s="1"/>
      <c r="G1009" s="1"/>
      <c r="H1009" s="1" t="s">
        <v>1669</v>
      </c>
      <c r="I1009" s="1" t="s">
        <v>46</v>
      </c>
      <c r="J1009" s="1" t="s">
        <v>5978</v>
      </c>
      <c r="K1009" s="1" t="s">
        <v>5979</v>
      </c>
      <c r="L1009" s="1" t="s">
        <v>45</v>
      </c>
      <c r="M1009" s="1" t="s">
        <v>46</v>
      </c>
      <c r="N1009" s="1">
        <v>57181</v>
      </c>
      <c r="O1009" s="1">
        <v>2023</v>
      </c>
      <c r="P1009" s="1">
        <v>61000</v>
      </c>
      <c r="Q1009" s="1">
        <v>2023</v>
      </c>
      <c r="R1009" s="1" t="s">
        <v>46</v>
      </c>
      <c r="S1009" s="1">
        <v>1</v>
      </c>
      <c r="T1009" s="1" t="s">
        <v>46</v>
      </c>
      <c r="U1009" s="1" t="s">
        <v>5980</v>
      </c>
    </row>
    <row r="1010" spans="1:36" ht="17.149999999999999" hidden="1" customHeight="1">
      <c r="A1010" s="1" t="s">
        <v>5981</v>
      </c>
      <c r="B1010" s="1"/>
      <c r="C1010" s="1" t="s">
        <v>5982</v>
      </c>
      <c r="D1010" s="1"/>
      <c r="E1010" s="1"/>
      <c r="F1010" s="1"/>
      <c r="G1010" s="1"/>
      <c r="H1010" s="1" t="s">
        <v>1279</v>
      </c>
      <c r="I1010" s="1" t="s">
        <v>46</v>
      </c>
      <c r="J1010" s="1" t="s">
        <v>5983</v>
      </c>
      <c r="K1010" s="1" t="s">
        <v>5984</v>
      </c>
      <c r="L1010" s="1" t="s">
        <v>118</v>
      </c>
      <c r="M1010" s="1" t="s">
        <v>5985</v>
      </c>
      <c r="N1010" s="1">
        <v>98400</v>
      </c>
      <c r="O1010" s="1">
        <v>2015</v>
      </c>
      <c r="P1010" s="1">
        <v>61000</v>
      </c>
      <c r="Q1010" s="1">
        <v>2018</v>
      </c>
      <c r="R1010" s="1" t="s">
        <v>46</v>
      </c>
      <c r="S1010" s="1">
        <v>1</v>
      </c>
      <c r="T1010" s="1">
        <v>1</v>
      </c>
      <c r="U1010" s="1" t="s">
        <v>5986</v>
      </c>
    </row>
    <row r="1011" spans="1:36" ht="17.149999999999999" hidden="1" customHeight="1">
      <c r="A1011" s="1" t="s">
        <v>5987</v>
      </c>
      <c r="B1011" s="1"/>
      <c r="C1011" s="1" t="s">
        <v>5988</v>
      </c>
      <c r="D1011" s="1"/>
      <c r="E1011" s="1"/>
      <c r="F1011" s="1"/>
      <c r="G1011" s="1"/>
      <c r="H1011" s="1" t="s">
        <v>249</v>
      </c>
      <c r="I1011" s="1" t="s">
        <v>4623</v>
      </c>
      <c r="J1011" s="1" t="s">
        <v>5989</v>
      </c>
      <c r="K1011" s="1" t="s">
        <v>5990</v>
      </c>
      <c r="L1011" s="1" t="s">
        <v>45</v>
      </c>
      <c r="M1011" s="1" t="s">
        <v>46</v>
      </c>
      <c r="N1011" s="1">
        <v>59904</v>
      </c>
      <c r="O1011" s="1">
        <v>2018</v>
      </c>
      <c r="P1011" s="1">
        <v>4859</v>
      </c>
      <c r="Q1011" s="1">
        <v>2018</v>
      </c>
      <c r="R1011" s="1" t="s">
        <v>46</v>
      </c>
      <c r="S1011" s="1">
        <v>1</v>
      </c>
      <c r="T1011" s="1" t="s">
        <v>46</v>
      </c>
      <c r="U1011" s="1" t="s">
        <v>5991</v>
      </c>
    </row>
    <row r="1012" spans="1:36" ht="17.149999999999999" hidden="1" customHeight="1">
      <c r="A1012" s="1" t="s">
        <v>5992</v>
      </c>
      <c r="B1012" s="1"/>
      <c r="C1012" s="1" t="s">
        <v>5993</v>
      </c>
      <c r="D1012" s="1"/>
      <c r="E1012" s="1"/>
      <c r="F1012" s="1"/>
      <c r="G1012" s="1"/>
      <c r="H1012" s="1" t="s">
        <v>249</v>
      </c>
      <c r="I1012" s="1" t="s">
        <v>5412</v>
      </c>
      <c r="J1012" s="1" t="s">
        <v>5994</v>
      </c>
      <c r="K1012" s="1" t="s">
        <v>5995</v>
      </c>
      <c r="L1012" s="1" t="s">
        <v>45</v>
      </c>
      <c r="M1012" s="1" t="s">
        <v>46</v>
      </c>
      <c r="N1012" s="1">
        <v>59427</v>
      </c>
      <c r="O1012" s="1">
        <v>2018</v>
      </c>
      <c r="P1012" s="1">
        <v>50373</v>
      </c>
      <c r="Q1012" s="1">
        <v>2018</v>
      </c>
      <c r="R1012" s="1" t="s">
        <v>46</v>
      </c>
      <c r="S1012" s="1">
        <v>1</v>
      </c>
      <c r="T1012" s="1" t="s">
        <v>46</v>
      </c>
      <c r="U1012" s="1" t="s">
        <v>5996</v>
      </c>
    </row>
    <row r="1013" spans="1:36" ht="17.149999999999999" hidden="1" customHeight="1">
      <c r="A1013" s="1" t="s">
        <v>5997</v>
      </c>
      <c r="B1013" s="1"/>
      <c r="C1013" s="1" t="s">
        <v>5998</v>
      </c>
      <c r="D1013" s="1"/>
      <c r="E1013" s="1"/>
      <c r="F1013" s="1"/>
      <c r="G1013" s="1"/>
      <c r="H1013" s="1" t="s">
        <v>1669</v>
      </c>
      <c r="I1013" s="1" t="s">
        <v>46</v>
      </c>
      <c r="J1013" s="1" t="s">
        <v>5999</v>
      </c>
      <c r="K1013" s="1" t="s">
        <v>6000</v>
      </c>
      <c r="L1013" s="1" t="s">
        <v>45</v>
      </c>
      <c r="M1013" s="1" t="s">
        <v>46</v>
      </c>
      <c r="N1013" s="1">
        <v>30520</v>
      </c>
      <c r="O1013" s="1">
        <v>2017</v>
      </c>
      <c r="P1013" s="1">
        <v>60330</v>
      </c>
      <c r="Q1013" s="1">
        <v>2017</v>
      </c>
      <c r="R1013" s="1" t="s">
        <v>46</v>
      </c>
      <c r="S1013" s="1">
        <v>1</v>
      </c>
      <c r="T1013" s="1" t="s">
        <v>46</v>
      </c>
      <c r="U1013" s="1" t="s">
        <v>6001</v>
      </c>
    </row>
    <row r="1014" spans="1:36" ht="17.149999999999999" hidden="1" customHeight="1">
      <c r="A1014" s="1" t="s">
        <v>6002</v>
      </c>
      <c r="B1014" s="1"/>
      <c r="C1014" s="1" t="s">
        <v>6003</v>
      </c>
      <c r="D1014" s="1"/>
      <c r="E1014" s="1"/>
      <c r="F1014" s="1"/>
      <c r="G1014" s="1"/>
      <c r="H1014" s="1" t="s">
        <v>249</v>
      </c>
      <c r="I1014" s="1" t="s">
        <v>46</v>
      </c>
      <c r="J1014" s="1" t="s">
        <v>6004</v>
      </c>
      <c r="K1014" s="1" t="s">
        <v>5521</v>
      </c>
      <c r="L1014" s="1" t="s">
        <v>46</v>
      </c>
      <c r="M1014" s="1" t="s">
        <v>6005</v>
      </c>
      <c r="N1014" s="1">
        <v>59032</v>
      </c>
      <c r="O1014" s="1">
        <v>2015</v>
      </c>
      <c r="P1014" s="1">
        <v>59032</v>
      </c>
      <c r="Q1014" s="1">
        <v>2015</v>
      </c>
      <c r="R1014" s="1" t="s">
        <v>46</v>
      </c>
      <c r="S1014" s="1">
        <v>1</v>
      </c>
      <c r="T1014" s="1">
        <v>1</v>
      </c>
      <c r="U1014" s="1" t="s">
        <v>1005</v>
      </c>
    </row>
    <row r="1015" spans="1:36" ht="17.149999999999999" hidden="1" customHeight="1">
      <c r="A1015" s="1" t="s">
        <v>6006</v>
      </c>
      <c r="B1015" s="1"/>
      <c r="C1015" s="1" t="s">
        <v>6007</v>
      </c>
      <c r="D1015" s="1"/>
      <c r="E1015" s="1"/>
      <c r="F1015" s="1"/>
      <c r="G1015" s="1"/>
      <c r="H1015" s="1" t="s">
        <v>500</v>
      </c>
      <c r="I1015" s="1" t="s">
        <v>46</v>
      </c>
      <c r="J1015" s="1" t="s">
        <v>6008</v>
      </c>
      <c r="K1015" s="1" t="s">
        <v>6009</v>
      </c>
      <c r="L1015" s="1" t="s">
        <v>45</v>
      </c>
      <c r="M1015" s="1" t="s">
        <v>46</v>
      </c>
      <c r="N1015" s="1">
        <v>62300</v>
      </c>
      <c r="O1015" s="1">
        <v>2016</v>
      </c>
      <c r="P1015" s="1">
        <v>60100</v>
      </c>
      <c r="Q1015" s="1">
        <v>2016</v>
      </c>
      <c r="R1015" s="1" t="s">
        <v>46</v>
      </c>
      <c r="S1015" s="1">
        <v>1</v>
      </c>
      <c r="T1015" s="1">
        <v>1</v>
      </c>
      <c r="U1015" s="1" t="s">
        <v>6010</v>
      </c>
    </row>
    <row r="1016" spans="1:36" ht="17.149999999999999" hidden="1" customHeight="1">
      <c r="A1016" s="1" t="s">
        <v>6011</v>
      </c>
      <c r="B1016" s="1"/>
      <c r="C1016" s="1" t="s">
        <v>6012</v>
      </c>
      <c r="D1016" s="1"/>
      <c r="E1016" s="1"/>
      <c r="F1016" s="1"/>
      <c r="G1016" s="1"/>
      <c r="H1016" s="1" t="s">
        <v>177</v>
      </c>
      <c r="I1016" s="1" t="s">
        <v>345</v>
      </c>
      <c r="J1016" s="1" t="s">
        <v>6013</v>
      </c>
      <c r="K1016" s="1" t="s">
        <v>6014</v>
      </c>
      <c r="L1016" s="1" t="s">
        <v>151</v>
      </c>
      <c r="M1016" s="1" t="s">
        <v>46</v>
      </c>
      <c r="N1016" s="1">
        <v>88184</v>
      </c>
      <c r="O1016" s="1">
        <v>2019</v>
      </c>
      <c r="P1016" s="1">
        <v>60000</v>
      </c>
      <c r="Q1016" s="1">
        <v>2015</v>
      </c>
      <c r="R1016" s="1" t="s">
        <v>46</v>
      </c>
      <c r="S1016" s="1">
        <v>1</v>
      </c>
      <c r="T1016" s="1">
        <v>1</v>
      </c>
      <c r="U1016" s="1" t="s">
        <v>6015</v>
      </c>
    </row>
    <row r="1017" spans="1:36" ht="17.149999999999999" hidden="1" customHeight="1">
      <c r="A1017" s="1" t="s">
        <v>6016</v>
      </c>
      <c r="B1017" s="1"/>
      <c r="C1017" s="1" t="s">
        <v>6017</v>
      </c>
      <c r="D1017" s="1"/>
      <c r="E1017" s="1"/>
      <c r="F1017" s="1"/>
      <c r="G1017" s="1"/>
      <c r="H1017" s="1" t="s">
        <v>500</v>
      </c>
      <c r="I1017" s="1" t="s">
        <v>46</v>
      </c>
      <c r="J1017" s="1" t="s">
        <v>6018</v>
      </c>
      <c r="K1017" s="1" t="s">
        <v>6019</v>
      </c>
      <c r="L1017" s="1" t="s">
        <v>45</v>
      </c>
      <c r="M1017" s="1" t="s">
        <v>46</v>
      </c>
      <c r="N1017" s="1">
        <v>60000</v>
      </c>
      <c r="O1017" s="1">
        <v>2016</v>
      </c>
      <c r="P1017" s="1">
        <v>60000</v>
      </c>
      <c r="Q1017" s="1">
        <v>2016</v>
      </c>
      <c r="R1017" s="1" t="s">
        <v>46</v>
      </c>
      <c r="S1017" s="1">
        <v>1</v>
      </c>
      <c r="T1017" s="1">
        <v>1</v>
      </c>
      <c r="U1017" s="1" t="s">
        <v>3922</v>
      </c>
    </row>
    <row r="1018" spans="1:36" ht="17.149999999999999" hidden="1" customHeight="1">
      <c r="A1018" s="1" t="s">
        <v>6020</v>
      </c>
      <c r="B1018" s="1"/>
      <c r="C1018" s="1" t="s">
        <v>6021</v>
      </c>
      <c r="D1018" s="1"/>
      <c r="E1018" s="1"/>
      <c r="F1018" s="1"/>
      <c r="G1018" s="1"/>
      <c r="H1018" s="1" t="s">
        <v>619</v>
      </c>
      <c r="I1018" s="1" t="s">
        <v>46</v>
      </c>
      <c r="J1018" s="1" t="s">
        <v>6022</v>
      </c>
      <c r="K1018" s="1" t="s">
        <v>6023</v>
      </c>
      <c r="L1018" s="1" t="s">
        <v>45</v>
      </c>
      <c r="M1018" s="1" t="s">
        <v>46</v>
      </c>
      <c r="N1018" s="1">
        <v>120000</v>
      </c>
      <c r="O1018" s="1">
        <v>2015</v>
      </c>
      <c r="P1018" s="1">
        <v>60000</v>
      </c>
      <c r="Q1018" s="1">
        <v>2015</v>
      </c>
      <c r="R1018" s="1" t="s">
        <v>46</v>
      </c>
      <c r="S1018" s="1">
        <v>1</v>
      </c>
      <c r="T1018" s="1">
        <v>1</v>
      </c>
      <c r="U1018" s="1" t="s">
        <v>6024</v>
      </c>
    </row>
    <row r="1019" spans="1:36" ht="17.149999999999999" hidden="1" customHeight="1">
      <c r="A1019" s="1" t="s">
        <v>6025</v>
      </c>
      <c r="B1019" s="1"/>
      <c r="C1019" s="1" t="s">
        <v>6026</v>
      </c>
      <c r="D1019" s="1"/>
      <c r="E1019" s="1"/>
      <c r="F1019" s="1"/>
      <c r="G1019" s="1"/>
      <c r="H1019" s="1" t="s">
        <v>500</v>
      </c>
      <c r="I1019" s="1" t="s">
        <v>46</v>
      </c>
      <c r="J1019" s="1" t="s">
        <v>6027</v>
      </c>
      <c r="K1019" s="1" t="s">
        <v>6028</v>
      </c>
      <c r="L1019" s="1" t="s">
        <v>45</v>
      </c>
      <c r="M1019" s="1" t="s">
        <v>46</v>
      </c>
      <c r="N1019" s="1">
        <v>60000</v>
      </c>
      <c r="O1019" s="1">
        <v>2016</v>
      </c>
      <c r="P1019" s="1">
        <v>60000</v>
      </c>
      <c r="Q1019" s="1">
        <v>2016</v>
      </c>
      <c r="R1019" s="1" t="s">
        <v>46</v>
      </c>
      <c r="S1019" s="1">
        <v>1</v>
      </c>
      <c r="T1019" s="1">
        <v>1</v>
      </c>
      <c r="U1019" s="1" t="s">
        <v>6029</v>
      </c>
    </row>
    <row r="1020" spans="1:36" ht="17.149999999999999" hidden="1" customHeight="1">
      <c r="A1020" s="1" t="s">
        <v>6030</v>
      </c>
      <c r="B1020" s="1"/>
      <c r="C1020" s="1" t="s">
        <v>6031</v>
      </c>
      <c r="D1020" s="1"/>
      <c r="E1020" s="1"/>
      <c r="F1020" s="1"/>
      <c r="G1020" s="1"/>
      <c r="H1020" s="1" t="s">
        <v>2258</v>
      </c>
      <c r="I1020" s="1" t="s">
        <v>46</v>
      </c>
      <c r="J1020" s="1" t="s">
        <v>6032</v>
      </c>
      <c r="K1020" s="1" t="s">
        <v>6033</v>
      </c>
      <c r="L1020" s="1" t="s">
        <v>45</v>
      </c>
      <c r="M1020" s="1" t="s">
        <v>46</v>
      </c>
      <c r="N1020" s="1">
        <v>60000</v>
      </c>
      <c r="O1020" s="1">
        <v>2019</v>
      </c>
      <c r="P1020" s="1">
        <v>60000</v>
      </c>
      <c r="Q1020" s="1">
        <v>2019</v>
      </c>
      <c r="R1020" s="1" t="s">
        <v>46</v>
      </c>
      <c r="S1020" s="1">
        <v>1</v>
      </c>
      <c r="T1020" s="1">
        <v>1</v>
      </c>
      <c r="U1020" s="1" t="s">
        <v>6034</v>
      </c>
    </row>
    <row r="1021" spans="1:36" ht="17.149999999999999" hidden="1" customHeight="1">
      <c r="A1021" s="1" t="s">
        <v>6035</v>
      </c>
      <c r="B1021" s="1"/>
      <c r="C1021" s="1" t="s">
        <v>6036</v>
      </c>
      <c r="D1021" s="1"/>
      <c r="E1021" s="1"/>
      <c r="F1021" s="1"/>
      <c r="G1021" s="1"/>
      <c r="H1021" s="1" t="s">
        <v>177</v>
      </c>
      <c r="I1021" s="1" t="s">
        <v>178</v>
      </c>
      <c r="J1021" s="1" t="s">
        <v>179</v>
      </c>
      <c r="K1021" s="1" t="s">
        <v>6037</v>
      </c>
      <c r="L1021" s="1" t="s">
        <v>118</v>
      </c>
      <c r="M1021" s="1" t="s">
        <v>6038</v>
      </c>
      <c r="N1021" s="1">
        <v>60000</v>
      </c>
      <c r="O1021" s="1">
        <v>2019</v>
      </c>
      <c r="P1021" s="1">
        <v>60000</v>
      </c>
      <c r="Q1021" s="1">
        <v>2019</v>
      </c>
      <c r="R1021" s="1" t="s">
        <v>46</v>
      </c>
      <c r="S1021" s="1">
        <v>1</v>
      </c>
      <c r="T1021" s="1">
        <v>1</v>
      </c>
      <c r="U1021" s="1" t="s">
        <v>5427</v>
      </c>
    </row>
    <row r="1022" spans="1:36" ht="17.149999999999999" hidden="1" customHeight="1">
      <c r="A1022" s="1" t="s">
        <v>6039</v>
      </c>
      <c r="B1022" s="1"/>
      <c r="C1022" s="1" t="s">
        <v>6040</v>
      </c>
      <c r="D1022" s="1"/>
      <c r="E1022" s="1"/>
      <c r="F1022" s="1"/>
      <c r="G1022" s="1"/>
      <c r="H1022" s="1" t="s">
        <v>177</v>
      </c>
      <c r="I1022" s="1" t="s">
        <v>3722</v>
      </c>
      <c r="J1022" s="1" t="s">
        <v>3723</v>
      </c>
      <c r="K1022" s="1" t="s">
        <v>6041</v>
      </c>
      <c r="L1022" s="1" t="s">
        <v>118</v>
      </c>
      <c r="M1022" s="1" t="s">
        <v>725</v>
      </c>
      <c r="N1022" s="1">
        <v>60000</v>
      </c>
      <c r="O1022" s="1">
        <v>2019</v>
      </c>
      <c r="P1022" s="1">
        <v>60000</v>
      </c>
      <c r="Q1022" s="1">
        <v>2015</v>
      </c>
      <c r="R1022" s="1" t="s">
        <v>46</v>
      </c>
      <c r="S1022" s="1">
        <v>1</v>
      </c>
      <c r="T1022" s="1">
        <v>1</v>
      </c>
      <c r="U1022" s="1" t="s">
        <v>6042</v>
      </c>
    </row>
    <row r="1023" spans="1:36" ht="17.149999999999999" customHeight="1">
      <c r="A1023" s="1" t="s">
        <v>6043</v>
      </c>
      <c r="B1023" s="1" t="s">
        <v>772</v>
      </c>
      <c r="C1023" s="1" t="s">
        <v>6044</v>
      </c>
      <c r="D1023" s="1" t="s">
        <v>6044</v>
      </c>
      <c r="E1023" s="1" t="s">
        <v>6044</v>
      </c>
      <c r="F1023" s="1" t="s">
        <v>62</v>
      </c>
      <c r="G1023" s="1" t="s">
        <v>40</v>
      </c>
      <c r="H1023" s="1" t="s">
        <v>567</v>
      </c>
      <c r="I1023" s="1"/>
      <c r="J1023" s="1" t="s">
        <v>1801</v>
      </c>
      <c r="K1023" s="1" t="s">
        <v>6045</v>
      </c>
      <c r="L1023" s="1" t="s">
        <v>45</v>
      </c>
      <c r="M1023" s="1"/>
      <c r="N1023" s="1"/>
      <c r="O1023" s="1"/>
      <c r="P1023" s="53">
        <v>1029000</v>
      </c>
      <c r="Q1023" s="1">
        <v>2025</v>
      </c>
      <c r="R1023" s="1"/>
      <c r="S1023" s="1"/>
      <c r="T1023" s="1"/>
      <c r="U1023" s="34" t="s">
        <v>6046</v>
      </c>
      <c r="V1023" s="2" t="s">
        <v>40</v>
      </c>
      <c r="W1023" s="2" t="s">
        <v>6047</v>
      </c>
      <c r="X1023" s="2" t="s">
        <v>40</v>
      </c>
      <c r="Z1023" s="2" t="s">
        <v>6048</v>
      </c>
      <c r="AA1023" s="54" t="s">
        <v>1378</v>
      </c>
      <c r="AC1023" s="18"/>
      <c r="AD1023" s="18"/>
      <c r="AE1023" s="2">
        <v>4</v>
      </c>
      <c r="AF1023" s="2" t="s">
        <v>53</v>
      </c>
      <c r="AH1023" s="2" t="s">
        <v>55</v>
      </c>
      <c r="AI1023" s="2" t="s">
        <v>6049</v>
      </c>
      <c r="AJ1023" s="2" t="s">
        <v>57</v>
      </c>
    </row>
    <row r="1024" spans="1:36" ht="17.149999999999999" hidden="1" customHeight="1">
      <c r="A1024" s="1" t="s">
        <v>6050</v>
      </c>
      <c r="B1024" s="1"/>
      <c r="C1024" s="1" t="s">
        <v>6051</v>
      </c>
      <c r="D1024" s="1"/>
      <c r="E1024" s="1"/>
      <c r="F1024" s="1"/>
      <c r="G1024" s="1"/>
      <c r="H1024" s="1" t="s">
        <v>249</v>
      </c>
      <c r="I1024" s="1" t="s">
        <v>4431</v>
      </c>
      <c r="J1024" s="1" t="s">
        <v>6052</v>
      </c>
      <c r="K1024" s="1" t="s">
        <v>6053</v>
      </c>
      <c r="L1024" s="1" t="s">
        <v>45</v>
      </c>
      <c r="M1024" s="1" t="s">
        <v>46</v>
      </c>
      <c r="N1024" s="1">
        <v>57447</v>
      </c>
      <c r="O1024" s="1">
        <v>2018</v>
      </c>
      <c r="P1024" s="1">
        <v>57947</v>
      </c>
      <c r="Q1024" s="1">
        <v>2018</v>
      </c>
      <c r="R1024" s="1" t="s">
        <v>46</v>
      </c>
      <c r="S1024" s="1">
        <v>1</v>
      </c>
      <c r="T1024" s="1" t="s">
        <v>46</v>
      </c>
      <c r="U1024" s="1" t="s">
        <v>6054</v>
      </c>
    </row>
    <row r="1025" spans="1:21" ht="17.149999999999999" hidden="1" customHeight="1">
      <c r="A1025" s="1" t="s">
        <v>6055</v>
      </c>
      <c r="B1025" s="1"/>
      <c r="C1025" s="1" t="s">
        <v>6056</v>
      </c>
      <c r="D1025" s="1"/>
      <c r="E1025" s="1"/>
      <c r="F1025" s="1"/>
      <c r="G1025" s="1"/>
      <c r="H1025" s="1" t="s">
        <v>128</v>
      </c>
      <c r="I1025" s="1" t="s">
        <v>3513</v>
      </c>
      <c r="J1025" s="1" t="s">
        <v>6057</v>
      </c>
      <c r="K1025" s="1" t="s">
        <v>6058</v>
      </c>
      <c r="L1025" s="1" t="s">
        <v>45</v>
      </c>
      <c r="M1025" s="1" t="s">
        <v>46</v>
      </c>
      <c r="N1025" s="1">
        <v>66000</v>
      </c>
      <c r="O1025" s="1">
        <v>2019</v>
      </c>
      <c r="P1025" s="1">
        <v>59427</v>
      </c>
      <c r="Q1025" s="1">
        <v>2015</v>
      </c>
      <c r="R1025" s="1" t="s">
        <v>46</v>
      </c>
      <c r="S1025" s="1">
        <v>1</v>
      </c>
      <c r="T1025" s="1">
        <v>1</v>
      </c>
      <c r="U1025" s="1" t="s">
        <v>6059</v>
      </c>
    </row>
    <row r="1026" spans="1:21" ht="17.149999999999999" hidden="1" customHeight="1">
      <c r="A1026" s="1" t="s">
        <v>6060</v>
      </c>
      <c r="B1026" s="1"/>
      <c r="C1026" s="1" t="s">
        <v>6061</v>
      </c>
      <c r="D1026" s="1"/>
      <c r="E1026" s="1"/>
      <c r="F1026" s="1"/>
      <c r="G1026" s="1"/>
      <c r="H1026" s="1" t="s">
        <v>110</v>
      </c>
      <c r="I1026" s="1" t="s">
        <v>46</v>
      </c>
      <c r="J1026" s="1" t="s">
        <v>2491</v>
      </c>
      <c r="K1026" s="1" t="s">
        <v>6062</v>
      </c>
      <c r="L1026" s="1" t="s">
        <v>118</v>
      </c>
      <c r="M1026" s="1" t="s">
        <v>6063</v>
      </c>
      <c r="N1026" s="1">
        <v>59413</v>
      </c>
      <c r="O1026" s="1">
        <v>2015</v>
      </c>
      <c r="P1026" s="1">
        <v>59413</v>
      </c>
      <c r="Q1026" s="1">
        <v>2015</v>
      </c>
      <c r="R1026" s="1" t="s">
        <v>46</v>
      </c>
      <c r="S1026" s="1">
        <v>1</v>
      </c>
      <c r="T1026" s="1">
        <v>1</v>
      </c>
      <c r="U1026" s="1" t="s">
        <v>6064</v>
      </c>
    </row>
    <row r="1027" spans="1:21" ht="17.149999999999999" hidden="1" customHeight="1">
      <c r="A1027" s="1" t="s">
        <v>6065</v>
      </c>
      <c r="B1027" s="1"/>
      <c r="C1027" s="1" t="s">
        <v>6066</v>
      </c>
      <c r="D1027" s="1"/>
      <c r="E1027" s="1"/>
      <c r="F1027" s="1"/>
      <c r="G1027" s="1"/>
      <c r="H1027" s="1" t="s">
        <v>110</v>
      </c>
      <c r="I1027" s="1" t="s">
        <v>46</v>
      </c>
      <c r="J1027" s="1" t="s">
        <v>6067</v>
      </c>
      <c r="K1027" s="1" t="s">
        <v>6068</v>
      </c>
      <c r="L1027" s="1" t="s">
        <v>45</v>
      </c>
      <c r="M1027" s="1" t="s">
        <v>46</v>
      </c>
      <c r="N1027" s="1">
        <v>59100</v>
      </c>
      <c r="O1027" s="1">
        <v>2019</v>
      </c>
      <c r="P1027" s="1">
        <v>59100</v>
      </c>
      <c r="Q1027" s="1">
        <v>2019</v>
      </c>
      <c r="R1027" s="1" t="s">
        <v>46</v>
      </c>
      <c r="S1027" s="1">
        <v>1</v>
      </c>
      <c r="T1027" s="1">
        <v>1</v>
      </c>
      <c r="U1027" s="1" t="s">
        <v>6069</v>
      </c>
    </row>
    <row r="1028" spans="1:21" ht="17.149999999999999" hidden="1" customHeight="1">
      <c r="A1028" s="1" t="s">
        <v>6070</v>
      </c>
      <c r="B1028" s="1"/>
      <c r="C1028" s="1" t="s">
        <v>6071</v>
      </c>
      <c r="D1028" s="1"/>
      <c r="E1028" s="1"/>
      <c r="F1028" s="1"/>
      <c r="G1028" s="1"/>
      <c r="H1028" s="1" t="s">
        <v>249</v>
      </c>
      <c r="I1028" s="1" t="s">
        <v>4059</v>
      </c>
      <c r="J1028" s="1" t="s">
        <v>6072</v>
      </c>
      <c r="K1028" s="1" t="s">
        <v>6073</v>
      </c>
      <c r="L1028" s="1" t="s">
        <v>45</v>
      </c>
      <c r="M1028" s="1" t="s">
        <v>46</v>
      </c>
      <c r="N1028" s="1">
        <v>56485</v>
      </c>
      <c r="O1028" s="1">
        <v>2018</v>
      </c>
      <c r="P1028" s="1">
        <v>171577</v>
      </c>
      <c r="Q1028" s="1">
        <v>2018</v>
      </c>
      <c r="R1028" s="1" t="s">
        <v>46</v>
      </c>
      <c r="S1028" s="1">
        <v>1</v>
      </c>
      <c r="T1028" s="1">
        <v>1</v>
      </c>
      <c r="U1028" s="1" t="s">
        <v>6074</v>
      </c>
    </row>
    <row r="1029" spans="1:21" ht="17.149999999999999" hidden="1" customHeight="1">
      <c r="A1029" s="1" t="s">
        <v>6075</v>
      </c>
      <c r="B1029" s="1"/>
      <c r="C1029" s="1" t="s">
        <v>6076</v>
      </c>
      <c r="D1029" s="1"/>
      <c r="E1029" s="1"/>
      <c r="F1029" s="1"/>
      <c r="G1029" s="1"/>
      <c r="H1029" s="1" t="s">
        <v>249</v>
      </c>
      <c r="I1029" s="1" t="s">
        <v>4462</v>
      </c>
      <c r="J1029" s="1" t="s">
        <v>6077</v>
      </c>
      <c r="K1029" s="1" t="s">
        <v>6078</v>
      </c>
      <c r="L1029" s="1" t="s">
        <v>45</v>
      </c>
      <c r="M1029" s="1" t="s">
        <v>46</v>
      </c>
      <c r="N1029" s="1">
        <v>56320</v>
      </c>
      <c r="O1029" s="1">
        <v>2018</v>
      </c>
      <c r="P1029" s="1">
        <v>56320</v>
      </c>
      <c r="Q1029" s="1">
        <v>2018</v>
      </c>
      <c r="R1029" s="1" t="s">
        <v>46</v>
      </c>
      <c r="S1029" s="1">
        <v>1</v>
      </c>
      <c r="T1029" s="1" t="s">
        <v>46</v>
      </c>
      <c r="U1029" s="1" t="s">
        <v>6079</v>
      </c>
    </row>
    <row r="1030" spans="1:21" ht="17.149999999999999" hidden="1" customHeight="1">
      <c r="A1030" s="1" t="s">
        <v>6080</v>
      </c>
      <c r="B1030" s="1"/>
      <c r="C1030" s="1" t="s">
        <v>6081</v>
      </c>
      <c r="D1030" s="1"/>
      <c r="E1030" s="1"/>
      <c r="F1030" s="1"/>
      <c r="G1030" s="1"/>
      <c r="H1030" s="1" t="s">
        <v>1669</v>
      </c>
      <c r="I1030" s="1" t="s">
        <v>46</v>
      </c>
      <c r="J1030" s="1" t="s">
        <v>6082</v>
      </c>
      <c r="K1030" s="1" t="s">
        <v>6083</v>
      </c>
      <c r="L1030" s="1" t="s">
        <v>45</v>
      </c>
      <c r="M1030" s="1" t="s">
        <v>46</v>
      </c>
      <c r="N1030" s="1">
        <v>58525</v>
      </c>
      <c r="O1030" s="1">
        <v>2023</v>
      </c>
      <c r="P1030" s="1">
        <v>58525</v>
      </c>
      <c r="Q1030" s="1">
        <v>2023</v>
      </c>
      <c r="R1030" s="1" t="s">
        <v>46</v>
      </c>
      <c r="S1030" s="1">
        <v>1</v>
      </c>
      <c r="T1030" s="1" t="s">
        <v>46</v>
      </c>
      <c r="U1030" s="1" t="s">
        <v>6084</v>
      </c>
    </row>
    <row r="1031" spans="1:21" ht="17.149999999999999" hidden="1" customHeight="1">
      <c r="A1031" s="1" t="s">
        <v>6085</v>
      </c>
      <c r="B1031" s="1"/>
      <c r="C1031" s="1" t="s">
        <v>6086</v>
      </c>
      <c r="D1031" s="1"/>
      <c r="E1031" s="1"/>
      <c r="F1031" s="1"/>
      <c r="G1031" s="1"/>
      <c r="H1031" s="1" t="s">
        <v>128</v>
      </c>
      <c r="I1031" s="1" t="s">
        <v>908</v>
      </c>
      <c r="J1031" s="1" t="s">
        <v>6087</v>
      </c>
      <c r="K1031" s="1" t="s">
        <v>6088</v>
      </c>
      <c r="L1031" s="1" t="s">
        <v>118</v>
      </c>
      <c r="M1031" s="1" t="s">
        <v>4928</v>
      </c>
      <c r="N1031" s="1">
        <v>70612</v>
      </c>
      <c r="O1031" s="1">
        <v>2015</v>
      </c>
      <c r="P1031" s="1">
        <v>58493</v>
      </c>
      <c r="Q1031" s="1">
        <v>2015</v>
      </c>
      <c r="R1031" s="1" t="s">
        <v>46</v>
      </c>
      <c r="S1031" s="1">
        <v>1</v>
      </c>
      <c r="T1031" s="1">
        <v>1</v>
      </c>
      <c r="U1031" s="1" t="s">
        <v>6089</v>
      </c>
    </row>
    <row r="1032" spans="1:21" ht="17.149999999999999" hidden="1" customHeight="1">
      <c r="A1032" s="1" t="s">
        <v>6090</v>
      </c>
      <c r="B1032" s="1"/>
      <c r="C1032" s="1" t="s">
        <v>6091</v>
      </c>
      <c r="D1032" s="1"/>
      <c r="E1032" s="1"/>
      <c r="F1032" s="1"/>
      <c r="G1032" s="1"/>
      <c r="H1032" s="1" t="s">
        <v>249</v>
      </c>
      <c r="I1032" s="1" t="s">
        <v>4431</v>
      </c>
      <c r="J1032" s="1" t="s">
        <v>6092</v>
      </c>
      <c r="K1032" s="1" t="s">
        <v>6093</v>
      </c>
      <c r="L1032" s="1" t="s">
        <v>45</v>
      </c>
      <c r="M1032" s="1" t="s">
        <v>6094</v>
      </c>
      <c r="N1032" s="1">
        <v>56313</v>
      </c>
      <c r="O1032" s="1">
        <v>2018</v>
      </c>
      <c r="P1032" s="1">
        <v>102479</v>
      </c>
      <c r="Q1032" s="1">
        <v>2018</v>
      </c>
      <c r="R1032" s="1" t="s">
        <v>46</v>
      </c>
      <c r="S1032" s="1">
        <v>1</v>
      </c>
      <c r="T1032" s="1">
        <v>1</v>
      </c>
      <c r="U1032" s="1" t="s">
        <v>6095</v>
      </c>
    </row>
    <row r="1033" spans="1:21" ht="17.149999999999999" hidden="1" customHeight="1">
      <c r="A1033" s="1" t="s">
        <v>6096</v>
      </c>
      <c r="B1033" s="1"/>
      <c r="C1033" s="1" t="s">
        <v>6097</v>
      </c>
      <c r="D1033" s="1"/>
      <c r="E1033" s="1"/>
      <c r="F1033" s="1"/>
      <c r="G1033" s="1"/>
      <c r="H1033" s="1" t="s">
        <v>249</v>
      </c>
      <c r="I1033" s="1" t="s">
        <v>3810</v>
      </c>
      <c r="J1033" s="1" t="s">
        <v>6098</v>
      </c>
      <c r="K1033" s="1" t="s">
        <v>6099</v>
      </c>
      <c r="L1033" s="1" t="s">
        <v>45</v>
      </c>
      <c r="M1033" s="1" t="s">
        <v>46</v>
      </c>
      <c r="N1033" s="1">
        <v>56240</v>
      </c>
      <c r="O1033" s="1">
        <v>2018</v>
      </c>
      <c r="P1033" s="1">
        <v>74753</v>
      </c>
      <c r="Q1033" s="1">
        <v>2018</v>
      </c>
      <c r="R1033" s="1" t="s">
        <v>46</v>
      </c>
      <c r="S1033" s="1">
        <v>1</v>
      </c>
      <c r="T1033" s="1" t="s">
        <v>46</v>
      </c>
      <c r="U1033" s="1" t="s">
        <v>6100</v>
      </c>
    </row>
    <row r="1034" spans="1:21" ht="17.149999999999999" hidden="1" customHeight="1">
      <c r="A1034" s="1" t="s">
        <v>6101</v>
      </c>
      <c r="B1034" s="1"/>
      <c r="C1034" s="1" t="s">
        <v>6102</v>
      </c>
      <c r="D1034" s="1"/>
      <c r="E1034" s="1"/>
      <c r="F1034" s="1"/>
      <c r="G1034" s="1"/>
      <c r="H1034" s="1" t="s">
        <v>110</v>
      </c>
      <c r="I1034" s="1" t="s">
        <v>46</v>
      </c>
      <c r="J1034" s="1" t="s">
        <v>6103</v>
      </c>
      <c r="K1034" s="1" t="s">
        <v>6104</v>
      </c>
      <c r="L1034" s="1" t="s">
        <v>118</v>
      </c>
      <c r="M1034" s="1" t="s">
        <v>6105</v>
      </c>
      <c r="N1034" s="1">
        <v>58150</v>
      </c>
      <c r="O1034" s="1">
        <v>2015</v>
      </c>
      <c r="P1034" s="1">
        <v>58150</v>
      </c>
      <c r="Q1034" s="1">
        <v>2015</v>
      </c>
      <c r="R1034" s="1" t="s">
        <v>46</v>
      </c>
      <c r="S1034" s="1">
        <v>1</v>
      </c>
      <c r="T1034" s="1">
        <v>1</v>
      </c>
      <c r="U1034" s="1" t="s">
        <v>6106</v>
      </c>
    </row>
    <row r="1035" spans="1:21" ht="17.149999999999999" hidden="1" customHeight="1">
      <c r="A1035" s="1" t="s">
        <v>6107</v>
      </c>
      <c r="B1035" s="1"/>
      <c r="C1035" s="1" t="s">
        <v>6108</v>
      </c>
      <c r="D1035" s="1"/>
      <c r="E1035" s="1"/>
      <c r="F1035" s="1"/>
      <c r="G1035" s="1"/>
      <c r="H1035" s="1" t="s">
        <v>249</v>
      </c>
      <c r="I1035" s="1" t="s">
        <v>4118</v>
      </c>
      <c r="J1035" s="1" t="s">
        <v>6109</v>
      </c>
      <c r="K1035" s="1" t="s">
        <v>6110</v>
      </c>
      <c r="L1035" s="1" t="s">
        <v>45</v>
      </c>
      <c r="M1035" s="1" t="s">
        <v>6111</v>
      </c>
      <c r="N1035" s="1">
        <v>56177</v>
      </c>
      <c r="O1035" s="1">
        <v>2018</v>
      </c>
      <c r="P1035" s="1">
        <v>102351</v>
      </c>
      <c r="Q1035" s="1">
        <v>2018</v>
      </c>
      <c r="R1035" s="1" t="s">
        <v>46</v>
      </c>
      <c r="S1035" s="1">
        <v>1</v>
      </c>
      <c r="T1035" s="1">
        <v>1</v>
      </c>
      <c r="U1035" s="1" t="s">
        <v>6112</v>
      </c>
    </row>
    <row r="1036" spans="1:21" ht="17.149999999999999" hidden="1" customHeight="1">
      <c r="A1036" s="1" t="s">
        <v>6113</v>
      </c>
      <c r="B1036" s="1"/>
      <c r="C1036" s="1" t="s">
        <v>6114</v>
      </c>
      <c r="D1036" s="1"/>
      <c r="E1036" s="1"/>
      <c r="F1036" s="1"/>
      <c r="G1036" s="1"/>
      <c r="H1036" s="1" t="s">
        <v>128</v>
      </c>
      <c r="I1036" s="1" t="s">
        <v>3925</v>
      </c>
      <c r="J1036" s="1" t="s">
        <v>6115</v>
      </c>
      <c r="K1036" s="1" t="s">
        <v>6116</v>
      </c>
      <c r="L1036" s="1" t="s">
        <v>118</v>
      </c>
      <c r="M1036" s="1" t="s">
        <v>6117</v>
      </c>
      <c r="N1036" s="1">
        <v>62105</v>
      </c>
      <c r="O1036" s="1">
        <v>2015</v>
      </c>
      <c r="P1036" s="1">
        <v>57758</v>
      </c>
      <c r="Q1036" s="1">
        <v>2015</v>
      </c>
      <c r="R1036" s="1" t="s">
        <v>46</v>
      </c>
      <c r="S1036" s="1">
        <v>1</v>
      </c>
      <c r="T1036" s="1" t="s">
        <v>46</v>
      </c>
      <c r="U1036" s="1" t="s">
        <v>6118</v>
      </c>
    </row>
    <row r="1037" spans="1:21" ht="17.149999999999999" hidden="1" customHeight="1">
      <c r="A1037" s="1" t="s">
        <v>6119</v>
      </c>
      <c r="B1037" s="1"/>
      <c r="C1037" s="1" t="s">
        <v>6120</v>
      </c>
      <c r="D1037" s="1"/>
      <c r="E1037" s="1"/>
      <c r="F1037" s="1"/>
      <c r="G1037" s="1"/>
      <c r="H1037" s="1" t="s">
        <v>128</v>
      </c>
      <c r="I1037" s="1" t="s">
        <v>2603</v>
      </c>
      <c r="J1037" s="1" t="s">
        <v>6121</v>
      </c>
      <c r="K1037" s="1" t="s">
        <v>6122</v>
      </c>
      <c r="L1037" s="1" t="s">
        <v>118</v>
      </c>
      <c r="M1037" s="1" t="s">
        <v>6123</v>
      </c>
      <c r="N1037" s="1">
        <v>57757</v>
      </c>
      <c r="O1037" s="1">
        <v>2015</v>
      </c>
      <c r="P1037" s="1">
        <v>57757</v>
      </c>
      <c r="Q1037" s="1">
        <v>2015</v>
      </c>
      <c r="R1037" s="1" t="s">
        <v>46</v>
      </c>
      <c r="S1037" s="1">
        <v>1</v>
      </c>
      <c r="T1037" s="1" t="s">
        <v>46</v>
      </c>
      <c r="U1037" s="1" t="s">
        <v>6124</v>
      </c>
    </row>
    <row r="1038" spans="1:21" ht="17.149999999999999" hidden="1" customHeight="1">
      <c r="A1038" s="1" t="s">
        <v>6125</v>
      </c>
      <c r="B1038" s="1"/>
      <c r="C1038" s="1" t="s">
        <v>6126</v>
      </c>
      <c r="D1038" s="1"/>
      <c r="E1038" s="1"/>
      <c r="F1038" s="1"/>
      <c r="G1038" s="1"/>
      <c r="H1038" s="1" t="s">
        <v>249</v>
      </c>
      <c r="I1038" s="1" t="s">
        <v>46</v>
      </c>
      <c r="J1038" s="1" t="s">
        <v>6127</v>
      </c>
      <c r="K1038" s="1" t="s">
        <v>2004</v>
      </c>
      <c r="L1038" s="1" t="s">
        <v>46</v>
      </c>
      <c r="M1038" s="1" t="s">
        <v>3058</v>
      </c>
      <c r="N1038" s="1">
        <v>56079</v>
      </c>
      <c r="O1038" s="1">
        <v>2015</v>
      </c>
      <c r="P1038" s="1" t="s">
        <v>46</v>
      </c>
      <c r="Q1038" s="1" t="s">
        <v>46</v>
      </c>
      <c r="R1038" s="1" t="s">
        <v>46</v>
      </c>
      <c r="S1038" s="1">
        <v>1</v>
      </c>
      <c r="T1038" s="1">
        <v>1</v>
      </c>
      <c r="U1038" s="1" t="s">
        <v>1005</v>
      </c>
    </row>
    <row r="1039" spans="1:21" ht="17.149999999999999" hidden="1" customHeight="1">
      <c r="A1039" s="1" t="s">
        <v>6128</v>
      </c>
      <c r="B1039" s="1"/>
      <c r="C1039" s="1" t="s">
        <v>6129</v>
      </c>
      <c r="D1039" s="1"/>
      <c r="E1039" s="1"/>
      <c r="F1039" s="1"/>
      <c r="G1039" s="1"/>
      <c r="H1039" s="1" t="s">
        <v>1669</v>
      </c>
      <c r="I1039" s="1" t="s">
        <v>46</v>
      </c>
      <c r="J1039" s="1" t="s">
        <v>6130</v>
      </c>
      <c r="K1039" s="1" t="s">
        <v>6131</v>
      </c>
      <c r="L1039" s="1" t="s">
        <v>45</v>
      </c>
      <c r="M1039" s="1" t="s">
        <v>46</v>
      </c>
      <c r="N1039" s="1">
        <v>59120</v>
      </c>
      <c r="O1039" s="1">
        <v>2023</v>
      </c>
      <c r="P1039" s="1">
        <v>57737</v>
      </c>
      <c r="Q1039" s="1">
        <v>2023</v>
      </c>
      <c r="R1039" s="1" t="s">
        <v>46</v>
      </c>
      <c r="S1039" s="1">
        <v>1</v>
      </c>
      <c r="T1039" s="1" t="s">
        <v>46</v>
      </c>
      <c r="U1039" s="1" t="s">
        <v>6132</v>
      </c>
    </row>
    <row r="1040" spans="1:21" ht="17.149999999999999" hidden="1" customHeight="1">
      <c r="A1040" s="1" t="s">
        <v>6133</v>
      </c>
      <c r="B1040" s="1"/>
      <c r="C1040" s="1" t="s">
        <v>6134</v>
      </c>
      <c r="D1040" s="1"/>
      <c r="E1040" s="1"/>
      <c r="F1040" s="1"/>
      <c r="G1040" s="1"/>
      <c r="H1040" s="1" t="s">
        <v>249</v>
      </c>
      <c r="I1040" s="1" t="s">
        <v>6135</v>
      </c>
      <c r="J1040" s="1" t="s">
        <v>6136</v>
      </c>
      <c r="K1040" s="1" t="s">
        <v>6137</v>
      </c>
      <c r="L1040" s="1" t="s">
        <v>45</v>
      </c>
      <c r="M1040" s="1" t="s">
        <v>46</v>
      </c>
      <c r="N1040" s="1">
        <v>55978</v>
      </c>
      <c r="O1040" s="1">
        <v>2018</v>
      </c>
      <c r="P1040" s="1">
        <v>55978</v>
      </c>
      <c r="Q1040" s="1">
        <v>2018</v>
      </c>
      <c r="R1040" s="1" t="s">
        <v>46</v>
      </c>
      <c r="S1040" s="1">
        <v>1</v>
      </c>
      <c r="T1040" s="1">
        <v>1</v>
      </c>
      <c r="U1040" s="1" t="s">
        <v>6138</v>
      </c>
    </row>
    <row r="1041" spans="1:21" ht="17.149999999999999" hidden="1" customHeight="1">
      <c r="A1041" s="1" t="s">
        <v>6139</v>
      </c>
      <c r="B1041" s="1"/>
      <c r="C1041" s="1" t="s">
        <v>6140</v>
      </c>
      <c r="D1041" s="1"/>
      <c r="E1041" s="1"/>
      <c r="F1041" s="1"/>
      <c r="G1041" s="1"/>
      <c r="H1041" s="1" t="s">
        <v>249</v>
      </c>
      <c r="I1041" s="1" t="s">
        <v>4268</v>
      </c>
      <c r="J1041" s="1" t="s">
        <v>6141</v>
      </c>
      <c r="K1041" s="1" t="s">
        <v>6142</v>
      </c>
      <c r="L1041" s="1" t="s">
        <v>45</v>
      </c>
      <c r="M1041" s="1" t="s">
        <v>46</v>
      </c>
      <c r="N1041" s="1">
        <v>55741</v>
      </c>
      <c r="O1041" s="1">
        <v>2018</v>
      </c>
      <c r="P1041" s="1">
        <v>55741</v>
      </c>
      <c r="Q1041" s="1">
        <v>2018</v>
      </c>
      <c r="R1041" s="1" t="s">
        <v>46</v>
      </c>
      <c r="S1041" s="1">
        <v>1</v>
      </c>
      <c r="T1041" s="1" t="s">
        <v>46</v>
      </c>
      <c r="U1041" s="1" t="s">
        <v>6143</v>
      </c>
    </row>
    <row r="1042" spans="1:21" ht="17.149999999999999" hidden="1" customHeight="1">
      <c r="A1042" s="1" t="s">
        <v>6144</v>
      </c>
      <c r="B1042" s="1"/>
      <c r="C1042" s="1" t="s">
        <v>6145</v>
      </c>
      <c r="D1042" s="1"/>
      <c r="E1042" s="1"/>
      <c r="F1042" s="1"/>
      <c r="G1042" s="1"/>
      <c r="H1042" s="1" t="s">
        <v>1669</v>
      </c>
      <c r="I1042" s="1" t="s">
        <v>46</v>
      </c>
      <c r="J1042" s="1" t="s">
        <v>6146</v>
      </c>
      <c r="K1042" s="1" t="s">
        <v>6147</v>
      </c>
      <c r="L1042" s="1" t="s">
        <v>45</v>
      </c>
      <c r="M1042" s="1" t="s">
        <v>46</v>
      </c>
      <c r="N1042" s="1">
        <v>38481</v>
      </c>
      <c r="O1042" s="1">
        <v>2017</v>
      </c>
      <c r="P1042" s="1">
        <v>57395</v>
      </c>
      <c r="Q1042" s="1">
        <v>2017</v>
      </c>
      <c r="R1042" s="1" t="s">
        <v>46</v>
      </c>
      <c r="S1042" s="1">
        <v>1</v>
      </c>
      <c r="T1042" s="1" t="s">
        <v>46</v>
      </c>
      <c r="U1042" s="1" t="s">
        <v>6148</v>
      </c>
    </row>
    <row r="1043" spans="1:21" ht="17.149999999999999" hidden="1" customHeight="1">
      <c r="A1043" s="1" t="s">
        <v>6149</v>
      </c>
      <c r="B1043" s="1"/>
      <c r="C1043" s="1" t="s">
        <v>6150</v>
      </c>
      <c r="D1043" s="1"/>
      <c r="E1043" s="1"/>
      <c r="F1043" s="1"/>
      <c r="G1043" s="1"/>
      <c r="H1043" s="1" t="s">
        <v>110</v>
      </c>
      <c r="I1043" s="1" t="s">
        <v>46</v>
      </c>
      <c r="J1043" s="1" t="s">
        <v>6151</v>
      </c>
      <c r="K1043" s="1" t="s">
        <v>6152</v>
      </c>
      <c r="L1043" s="1" t="s">
        <v>45</v>
      </c>
      <c r="M1043" s="1" t="s">
        <v>46</v>
      </c>
      <c r="N1043" s="1">
        <v>57186</v>
      </c>
      <c r="O1043" s="1">
        <v>2015</v>
      </c>
      <c r="P1043" s="1">
        <v>57186</v>
      </c>
      <c r="Q1043" s="1">
        <v>2015</v>
      </c>
      <c r="R1043" s="1" t="s">
        <v>46</v>
      </c>
      <c r="S1043" s="1">
        <v>1</v>
      </c>
      <c r="T1043" s="1">
        <v>1</v>
      </c>
      <c r="U1043" s="1" t="s">
        <v>6153</v>
      </c>
    </row>
    <row r="1044" spans="1:21" ht="17.149999999999999" hidden="1" customHeight="1">
      <c r="A1044" s="1" t="s">
        <v>6154</v>
      </c>
      <c r="B1044" s="1"/>
      <c r="C1044" s="1" t="s">
        <v>6155</v>
      </c>
      <c r="D1044" s="1"/>
      <c r="E1044" s="1"/>
      <c r="F1044" s="1"/>
      <c r="G1044" s="1"/>
      <c r="H1044" s="1" t="s">
        <v>128</v>
      </c>
      <c r="I1044" s="1" t="s">
        <v>6156</v>
      </c>
      <c r="J1044" s="1" t="s">
        <v>6156</v>
      </c>
      <c r="K1044" s="1" t="s">
        <v>6157</v>
      </c>
      <c r="L1044" s="1" t="s">
        <v>45</v>
      </c>
      <c r="M1044" s="1" t="s">
        <v>46</v>
      </c>
      <c r="N1044" s="1">
        <v>61889</v>
      </c>
      <c r="O1044" s="1">
        <v>2018</v>
      </c>
      <c r="P1044" s="1">
        <v>57137</v>
      </c>
      <c r="Q1044" s="1">
        <v>2018</v>
      </c>
      <c r="R1044" s="1" t="s">
        <v>46</v>
      </c>
      <c r="S1044" s="1">
        <v>1</v>
      </c>
      <c r="T1044" s="1">
        <v>1</v>
      </c>
      <c r="U1044" s="1" t="s">
        <v>6158</v>
      </c>
    </row>
    <row r="1045" spans="1:21" ht="17.149999999999999" hidden="1" customHeight="1">
      <c r="A1045" s="1" t="s">
        <v>6159</v>
      </c>
      <c r="B1045" s="1"/>
      <c r="C1045" s="1" t="s">
        <v>6160</v>
      </c>
      <c r="D1045" s="1"/>
      <c r="E1045" s="1"/>
      <c r="F1045" s="1"/>
      <c r="G1045" s="1"/>
      <c r="H1045" s="1" t="s">
        <v>249</v>
      </c>
      <c r="I1045" s="1" t="s">
        <v>4425</v>
      </c>
      <c r="J1045" s="1" t="s">
        <v>6161</v>
      </c>
      <c r="K1045" s="1" t="s">
        <v>4555</v>
      </c>
      <c r="L1045" s="1" t="s">
        <v>45</v>
      </c>
      <c r="M1045" s="1" t="s">
        <v>46</v>
      </c>
      <c r="N1045" s="1">
        <v>55527</v>
      </c>
      <c r="O1045" s="1">
        <v>2018</v>
      </c>
      <c r="P1045" s="1">
        <v>55527</v>
      </c>
      <c r="Q1045" s="1">
        <v>2018</v>
      </c>
      <c r="R1045" s="1" t="s">
        <v>46</v>
      </c>
      <c r="S1045" s="1">
        <v>1</v>
      </c>
      <c r="T1045" s="1">
        <v>1</v>
      </c>
      <c r="U1045" s="1" t="s">
        <v>6162</v>
      </c>
    </row>
    <row r="1046" spans="1:21" ht="17.149999999999999" hidden="1" customHeight="1">
      <c r="A1046" s="1" t="s">
        <v>6163</v>
      </c>
      <c r="B1046" s="1"/>
      <c r="C1046" s="1" t="s">
        <v>6164</v>
      </c>
      <c r="D1046" s="1"/>
      <c r="E1046" s="1"/>
      <c r="F1046" s="1"/>
      <c r="G1046" s="1"/>
      <c r="H1046" s="1" t="s">
        <v>249</v>
      </c>
      <c r="I1046" s="1" t="s">
        <v>2610</v>
      </c>
      <c r="J1046" s="1" t="s">
        <v>6165</v>
      </c>
      <c r="K1046" s="1" t="s">
        <v>6166</v>
      </c>
      <c r="L1046" s="1" t="s">
        <v>45</v>
      </c>
      <c r="M1046" s="1" t="s">
        <v>46</v>
      </c>
      <c r="N1046" s="1">
        <v>55465</v>
      </c>
      <c r="O1046" s="1">
        <v>2018</v>
      </c>
      <c r="P1046" s="1">
        <v>66234</v>
      </c>
      <c r="Q1046" s="1">
        <v>2018</v>
      </c>
      <c r="R1046" s="1" t="s">
        <v>46</v>
      </c>
      <c r="S1046" s="1">
        <v>1</v>
      </c>
      <c r="T1046" s="1">
        <v>1</v>
      </c>
      <c r="U1046" s="1" t="s">
        <v>6167</v>
      </c>
    </row>
    <row r="1047" spans="1:21" ht="17.149999999999999" hidden="1" customHeight="1">
      <c r="A1047" s="1" t="s">
        <v>6168</v>
      </c>
      <c r="B1047" s="1"/>
      <c r="C1047" s="1" t="s">
        <v>6169</v>
      </c>
      <c r="D1047" s="1"/>
      <c r="E1047" s="1"/>
      <c r="F1047" s="1"/>
      <c r="G1047" s="1"/>
      <c r="H1047" s="1" t="s">
        <v>493</v>
      </c>
      <c r="I1047" s="1" t="s">
        <v>46</v>
      </c>
      <c r="J1047" s="1" t="s">
        <v>6170</v>
      </c>
      <c r="K1047" s="1" t="s">
        <v>6171</v>
      </c>
      <c r="L1047" s="1" t="s">
        <v>45</v>
      </c>
      <c r="M1047" s="1" t="s">
        <v>46</v>
      </c>
      <c r="N1047" s="1">
        <v>57000</v>
      </c>
      <c r="O1047" s="1">
        <v>2019</v>
      </c>
      <c r="P1047" s="1">
        <v>57000</v>
      </c>
      <c r="Q1047" s="1">
        <v>2019</v>
      </c>
      <c r="R1047" s="1" t="s">
        <v>46</v>
      </c>
      <c r="S1047" s="1">
        <v>1</v>
      </c>
      <c r="T1047" s="1">
        <v>1</v>
      </c>
      <c r="U1047" s="1" t="s">
        <v>6172</v>
      </c>
    </row>
    <row r="1048" spans="1:21" ht="17.149999999999999" hidden="1" customHeight="1">
      <c r="A1048" s="1" t="s">
        <v>6173</v>
      </c>
      <c r="B1048" s="1"/>
      <c r="C1048" s="1" t="s">
        <v>6174</v>
      </c>
      <c r="D1048" s="1"/>
      <c r="E1048" s="1"/>
      <c r="F1048" s="1"/>
      <c r="G1048" s="1"/>
      <c r="H1048" s="1" t="s">
        <v>640</v>
      </c>
      <c r="I1048" s="1" t="s">
        <v>46</v>
      </c>
      <c r="J1048" s="1" t="s">
        <v>6175</v>
      </c>
      <c r="K1048" s="1" t="s">
        <v>6176</v>
      </c>
      <c r="L1048" s="1" t="s">
        <v>45</v>
      </c>
      <c r="M1048" s="1" t="s">
        <v>46</v>
      </c>
      <c r="N1048" s="1">
        <v>56883</v>
      </c>
      <c r="O1048" s="1">
        <v>2016</v>
      </c>
      <c r="P1048" s="1">
        <v>56883</v>
      </c>
      <c r="Q1048" s="1">
        <v>2016</v>
      </c>
      <c r="R1048" s="1" t="s">
        <v>46</v>
      </c>
      <c r="S1048" s="1">
        <v>1</v>
      </c>
      <c r="T1048" s="1">
        <v>1</v>
      </c>
      <c r="U1048" s="1" t="s">
        <v>6177</v>
      </c>
    </row>
    <row r="1049" spans="1:21" ht="17.149999999999999" hidden="1" customHeight="1">
      <c r="A1049" s="1" t="s">
        <v>6178</v>
      </c>
      <c r="B1049" s="1"/>
      <c r="C1049" s="1" t="s">
        <v>6179</v>
      </c>
      <c r="D1049" s="1"/>
      <c r="E1049" s="1"/>
      <c r="F1049" s="1"/>
      <c r="G1049" s="1"/>
      <c r="H1049" s="1" t="s">
        <v>249</v>
      </c>
      <c r="I1049" s="1" t="s">
        <v>5418</v>
      </c>
      <c r="J1049" s="1" t="s">
        <v>6180</v>
      </c>
      <c r="K1049" s="1" t="s">
        <v>6181</v>
      </c>
      <c r="L1049" s="1" t="s">
        <v>45</v>
      </c>
      <c r="M1049" s="1" t="s">
        <v>6182</v>
      </c>
      <c r="N1049" s="1">
        <v>55417</v>
      </c>
      <c r="O1049" s="1">
        <v>2018</v>
      </c>
      <c r="P1049" s="1">
        <v>62387</v>
      </c>
      <c r="Q1049" s="1">
        <v>2018</v>
      </c>
      <c r="R1049" s="1" t="s">
        <v>46</v>
      </c>
      <c r="S1049" s="1">
        <v>1</v>
      </c>
      <c r="T1049" s="1">
        <v>1</v>
      </c>
      <c r="U1049" s="1" t="s">
        <v>6183</v>
      </c>
    </row>
    <row r="1050" spans="1:21" ht="17.149999999999999" hidden="1" customHeight="1">
      <c r="A1050" s="1" t="s">
        <v>6184</v>
      </c>
      <c r="B1050" s="1"/>
      <c r="C1050" s="1" t="s">
        <v>6185</v>
      </c>
      <c r="D1050" s="1"/>
      <c r="E1050" s="1"/>
      <c r="F1050" s="1"/>
      <c r="G1050" s="1"/>
      <c r="H1050" s="1" t="s">
        <v>128</v>
      </c>
      <c r="I1050" s="1" t="s">
        <v>908</v>
      </c>
      <c r="J1050" s="1" t="s">
        <v>6186</v>
      </c>
      <c r="K1050" s="1" t="s">
        <v>6187</v>
      </c>
      <c r="L1050" s="1" t="s">
        <v>45</v>
      </c>
      <c r="M1050" s="1" t="s">
        <v>46</v>
      </c>
      <c r="N1050" s="1">
        <v>63000</v>
      </c>
      <c r="O1050" s="1">
        <v>2019</v>
      </c>
      <c r="P1050" s="1">
        <v>56434</v>
      </c>
      <c r="Q1050" s="1">
        <v>2015</v>
      </c>
      <c r="R1050" s="1" t="s">
        <v>46</v>
      </c>
      <c r="S1050" s="1">
        <v>1</v>
      </c>
      <c r="T1050" s="1" t="s">
        <v>46</v>
      </c>
      <c r="U1050" s="1" t="s">
        <v>6188</v>
      </c>
    </row>
    <row r="1051" spans="1:21" ht="17.149999999999999" hidden="1" customHeight="1">
      <c r="A1051" s="1" t="s">
        <v>6189</v>
      </c>
      <c r="B1051" s="1"/>
      <c r="C1051" s="1" t="s">
        <v>6190</v>
      </c>
      <c r="D1051" s="1"/>
      <c r="E1051" s="1"/>
      <c r="F1051" s="1"/>
      <c r="G1051" s="1"/>
      <c r="H1051" s="1" t="s">
        <v>128</v>
      </c>
      <c r="I1051" s="1" t="s">
        <v>908</v>
      </c>
      <c r="J1051" s="1" t="s">
        <v>6191</v>
      </c>
      <c r="K1051" s="1" t="s">
        <v>6192</v>
      </c>
      <c r="L1051" s="1" t="s">
        <v>45</v>
      </c>
      <c r="M1051" s="1" t="s">
        <v>46</v>
      </c>
      <c r="N1051" s="1">
        <v>70091</v>
      </c>
      <c r="O1051" s="1">
        <v>2017</v>
      </c>
      <c r="P1051" s="1">
        <v>56362</v>
      </c>
      <c r="Q1051" s="1">
        <v>2017</v>
      </c>
      <c r="R1051" s="1" t="s">
        <v>46</v>
      </c>
      <c r="S1051" s="1">
        <v>1</v>
      </c>
      <c r="T1051" s="1" t="s">
        <v>46</v>
      </c>
      <c r="U1051" s="1" t="s">
        <v>6193</v>
      </c>
    </row>
    <row r="1052" spans="1:21" ht="17.149999999999999" hidden="1" customHeight="1">
      <c r="A1052" s="1" t="s">
        <v>6194</v>
      </c>
      <c r="B1052" s="1"/>
      <c r="C1052" s="1" t="s">
        <v>6195</v>
      </c>
      <c r="D1052" s="1"/>
      <c r="E1052" s="1"/>
      <c r="F1052" s="1"/>
      <c r="G1052" s="1"/>
      <c r="H1052" s="1" t="s">
        <v>249</v>
      </c>
      <c r="I1052" s="1" t="s">
        <v>2070</v>
      </c>
      <c r="J1052" s="1" t="s">
        <v>2070</v>
      </c>
      <c r="K1052" s="1" t="s">
        <v>6196</v>
      </c>
      <c r="L1052" s="1" t="s">
        <v>45</v>
      </c>
      <c r="M1052" s="1" t="s">
        <v>46</v>
      </c>
      <c r="N1052" s="1">
        <v>55232</v>
      </c>
      <c r="O1052" s="1">
        <v>2018</v>
      </c>
      <c r="P1052" s="1">
        <v>137807</v>
      </c>
      <c r="Q1052" s="1">
        <v>2018</v>
      </c>
      <c r="R1052" s="1" t="s">
        <v>46</v>
      </c>
      <c r="S1052" s="1">
        <v>1</v>
      </c>
      <c r="T1052" s="1" t="s">
        <v>46</v>
      </c>
      <c r="U1052" s="1" t="s">
        <v>6197</v>
      </c>
    </row>
    <row r="1053" spans="1:21" ht="17.149999999999999" hidden="1" customHeight="1">
      <c r="A1053" s="1" t="s">
        <v>6198</v>
      </c>
      <c r="B1053" s="1"/>
      <c r="C1053" s="1" t="s">
        <v>6199</v>
      </c>
      <c r="D1053" s="1"/>
      <c r="E1053" s="1"/>
      <c r="F1053" s="1"/>
      <c r="G1053" s="1"/>
      <c r="H1053" s="1" t="s">
        <v>110</v>
      </c>
      <c r="I1053" s="1" t="s">
        <v>46</v>
      </c>
      <c r="J1053" s="1" t="s">
        <v>6200</v>
      </c>
      <c r="K1053" s="1" t="s">
        <v>6201</v>
      </c>
      <c r="L1053" s="1" t="s">
        <v>45</v>
      </c>
      <c r="M1053" s="1" t="s">
        <v>46</v>
      </c>
      <c r="N1053" s="1">
        <v>56042</v>
      </c>
      <c r="O1053" s="1">
        <v>2015</v>
      </c>
      <c r="P1053" s="1">
        <v>56042</v>
      </c>
      <c r="Q1053" s="1">
        <v>2015</v>
      </c>
      <c r="R1053" s="1" t="s">
        <v>46</v>
      </c>
      <c r="S1053" s="1">
        <v>1</v>
      </c>
      <c r="T1053" s="1">
        <v>1</v>
      </c>
      <c r="U1053" s="1" t="s">
        <v>6202</v>
      </c>
    </row>
    <row r="1054" spans="1:21" ht="17.149999999999999" hidden="1" customHeight="1">
      <c r="A1054" s="1" t="s">
        <v>6203</v>
      </c>
      <c r="B1054" s="1"/>
      <c r="C1054" s="1" t="s">
        <v>6204</v>
      </c>
      <c r="D1054" s="1"/>
      <c r="E1054" s="1"/>
      <c r="F1054" s="1"/>
      <c r="G1054" s="1"/>
      <c r="H1054" s="1" t="s">
        <v>512</v>
      </c>
      <c r="I1054" s="1" t="s">
        <v>46</v>
      </c>
      <c r="J1054" s="1" t="s">
        <v>6205</v>
      </c>
      <c r="K1054" s="1" t="s">
        <v>6206</v>
      </c>
      <c r="L1054" s="1" t="s">
        <v>45</v>
      </c>
      <c r="M1054" s="1" t="s">
        <v>46</v>
      </c>
      <c r="N1054" s="1">
        <v>56000</v>
      </c>
      <c r="O1054" s="1">
        <v>2019</v>
      </c>
      <c r="P1054" s="1">
        <v>56000</v>
      </c>
      <c r="Q1054" s="1">
        <v>2019</v>
      </c>
      <c r="R1054" s="1" t="s">
        <v>46</v>
      </c>
      <c r="S1054" s="1">
        <v>1</v>
      </c>
      <c r="T1054" s="1">
        <v>1</v>
      </c>
      <c r="U1054" s="1" t="s">
        <v>6207</v>
      </c>
    </row>
    <row r="1055" spans="1:21" ht="17.149999999999999" hidden="1" customHeight="1">
      <c r="A1055" s="1" t="s">
        <v>6208</v>
      </c>
      <c r="B1055" s="1"/>
      <c r="C1055" s="1" t="s">
        <v>6209</v>
      </c>
      <c r="D1055" s="1"/>
      <c r="E1055" s="1"/>
      <c r="F1055" s="1"/>
      <c r="G1055" s="1"/>
      <c r="H1055" s="1" t="s">
        <v>249</v>
      </c>
      <c r="I1055" s="1" t="s">
        <v>6210</v>
      </c>
      <c r="J1055" s="1" t="s">
        <v>6211</v>
      </c>
      <c r="K1055" s="1" t="s">
        <v>6212</v>
      </c>
      <c r="L1055" s="1" t="s">
        <v>45</v>
      </c>
      <c r="M1055" s="1" t="s">
        <v>46</v>
      </c>
      <c r="N1055" s="1">
        <v>54956</v>
      </c>
      <c r="O1055" s="1">
        <v>2018</v>
      </c>
      <c r="P1055" s="1">
        <v>31732</v>
      </c>
      <c r="Q1055" s="1">
        <v>2018</v>
      </c>
      <c r="R1055" s="1" t="s">
        <v>46</v>
      </c>
      <c r="S1055" s="1">
        <v>1</v>
      </c>
      <c r="T1055" s="1" t="s">
        <v>46</v>
      </c>
      <c r="U1055" s="1" t="s">
        <v>6213</v>
      </c>
    </row>
    <row r="1056" spans="1:21" ht="17.149999999999999" hidden="1" customHeight="1">
      <c r="A1056" s="1" t="s">
        <v>6214</v>
      </c>
      <c r="B1056" s="1"/>
      <c r="C1056" s="1" t="s">
        <v>6215</v>
      </c>
      <c r="D1056" s="1"/>
      <c r="E1056" s="1"/>
      <c r="F1056" s="1"/>
      <c r="G1056" s="1"/>
      <c r="H1056" s="1" t="s">
        <v>249</v>
      </c>
      <c r="I1056" s="1" t="s">
        <v>2929</v>
      </c>
      <c r="J1056" s="1" t="s">
        <v>6216</v>
      </c>
      <c r="K1056" s="1" t="s">
        <v>6217</v>
      </c>
      <c r="L1056" s="1" t="s">
        <v>45</v>
      </c>
      <c r="M1056" s="1" t="s">
        <v>46</v>
      </c>
      <c r="N1056" s="1">
        <v>54749</v>
      </c>
      <c r="O1056" s="1">
        <v>2018</v>
      </c>
      <c r="P1056" s="1">
        <v>119938</v>
      </c>
      <c r="Q1056" s="1">
        <v>2018</v>
      </c>
      <c r="R1056" s="1" t="s">
        <v>46</v>
      </c>
      <c r="S1056" s="1">
        <v>1</v>
      </c>
      <c r="T1056" s="1" t="s">
        <v>46</v>
      </c>
      <c r="U1056" s="1" t="s">
        <v>6218</v>
      </c>
    </row>
    <row r="1057" spans="1:30" ht="17.149999999999999" hidden="1" customHeight="1">
      <c r="A1057" s="1" t="s">
        <v>6219</v>
      </c>
      <c r="B1057" s="1"/>
      <c r="C1057" s="1" t="s">
        <v>3879</v>
      </c>
      <c r="D1057" s="1"/>
      <c r="E1057" s="1"/>
      <c r="F1057" s="1"/>
      <c r="G1057" s="1"/>
      <c r="H1057" s="1" t="s">
        <v>249</v>
      </c>
      <c r="I1057" s="1" t="s">
        <v>4462</v>
      </c>
      <c r="J1057" s="1" t="s">
        <v>3879</v>
      </c>
      <c r="K1057" s="1" t="s">
        <v>6220</v>
      </c>
      <c r="L1057" s="1" t="s">
        <v>45</v>
      </c>
      <c r="M1057" s="1" t="s">
        <v>46</v>
      </c>
      <c r="N1057" s="1">
        <v>53450</v>
      </c>
      <c r="O1057" s="1">
        <v>2018</v>
      </c>
      <c r="P1057" s="1">
        <v>53450</v>
      </c>
      <c r="Q1057" s="1">
        <v>2018</v>
      </c>
      <c r="R1057" s="1" t="s">
        <v>46</v>
      </c>
      <c r="S1057" s="1">
        <v>1</v>
      </c>
      <c r="T1057" s="1" t="s">
        <v>46</v>
      </c>
      <c r="U1057" s="1" t="s">
        <v>1005</v>
      </c>
    </row>
    <row r="1058" spans="1:30" ht="17.149999999999999" hidden="1" customHeight="1">
      <c r="A1058" s="1" t="s">
        <v>6221</v>
      </c>
      <c r="B1058" s="1"/>
      <c r="C1058" s="1" t="s">
        <v>6222</v>
      </c>
      <c r="D1058" s="1"/>
      <c r="E1058" s="1"/>
      <c r="F1058" s="1"/>
      <c r="G1058" s="1"/>
      <c r="H1058" s="1" t="s">
        <v>1669</v>
      </c>
      <c r="I1058" s="1" t="s">
        <v>46</v>
      </c>
      <c r="J1058" s="1" t="s">
        <v>6223</v>
      </c>
      <c r="K1058" s="1" t="s">
        <v>6224</v>
      </c>
      <c r="L1058" s="1" t="s">
        <v>45</v>
      </c>
      <c r="M1058" s="1" t="s">
        <v>46</v>
      </c>
      <c r="N1058" s="1">
        <v>33593</v>
      </c>
      <c r="O1058" s="1">
        <v>2017</v>
      </c>
      <c r="P1058" s="1">
        <v>55596</v>
      </c>
      <c r="Q1058" s="1">
        <v>2017</v>
      </c>
      <c r="R1058" s="1" t="s">
        <v>46</v>
      </c>
      <c r="S1058" s="1">
        <v>1</v>
      </c>
      <c r="T1058" s="1" t="s">
        <v>46</v>
      </c>
      <c r="U1058" s="1" t="s">
        <v>3246</v>
      </c>
    </row>
    <row r="1059" spans="1:30" ht="17.149999999999999" hidden="1" customHeight="1">
      <c r="A1059" s="1" t="s">
        <v>6225</v>
      </c>
      <c r="B1059" s="1"/>
      <c r="C1059" s="1" t="s">
        <v>6226</v>
      </c>
      <c r="D1059" s="1"/>
      <c r="E1059" s="1"/>
      <c r="F1059" s="1"/>
      <c r="G1059" s="1"/>
      <c r="H1059" s="1" t="s">
        <v>249</v>
      </c>
      <c r="I1059" s="1" t="s">
        <v>4525</v>
      </c>
      <c r="J1059" s="1" t="s">
        <v>6227</v>
      </c>
      <c r="K1059" s="1" t="s">
        <v>6228</v>
      </c>
      <c r="L1059" s="1" t="s">
        <v>45</v>
      </c>
      <c r="M1059" s="1" t="s">
        <v>46</v>
      </c>
      <c r="N1059" s="1">
        <v>52602</v>
      </c>
      <c r="O1059" s="1">
        <v>2018</v>
      </c>
      <c r="P1059" s="1">
        <v>52602</v>
      </c>
      <c r="Q1059" s="1">
        <v>2018</v>
      </c>
      <c r="R1059" s="1" t="s">
        <v>46</v>
      </c>
      <c r="S1059" s="1">
        <v>1</v>
      </c>
      <c r="T1059" s="1" t="s">
        <v>46</v>
      </c>
      <c r="U1059" s="1" t="s">
        <v>6229</v>
      </c>
    </row>
    <row r="1060" spans="1:30" ht="17.149999999999999" hidden="1" customHeight="1">
      <c r="A1060" s="1" t="s">
        <v>6230</v>
      </c>
      <c r="B1060" s="1"/>
      <c r="C1060" s="1" t="s">
        <v>6231</v>
      </c>
      <c r="D1060" s="1"/>
      <c r="E1060" s="1"/>
      <c r="F1060" s="1"/>
      <c r="G1060" s="1"/>
      <c r="H1060" s="1" t="s">
        <v>128</v>
      </c>
      <c r="I1060" s="1" t="s">
        <v>5678</v>
      </c>
      <c r="J1060" s="1" t="s">
        <v>6232</v>
      </c>
      <c r="K1060" s="1" t="s">
        <v>6233</v>
      </c>
      <c r="L1060" s="1" t="s">
        <v>45</v>
      </c>
      <c r="M1060" s="1" t="s">
        <v>46</v>
      </c>
      <c r="N1060" s="1">
        <v>55514</v>
      </c>
      <c r="O1060" s="1">
        <v>2015</v>
      </c>
      <c r="P1060" s="1">
        <v>55514</v>
      </c>
      <c r="Q1060" s="1">
        <v>2015</v>
      </c>
      <c r="R1060" s="1" t="s">
        <v>46</v>
      </c>
      <c r="S1060" s="1">
        <v>1</v>
      </c>
      <c r="T1060" s="1">
        <v>1</v>
      </c>
      <c r="U1060" s="1" t="s">
        <v>6234</v>
      </c>
    </row>
    <row r="1061" spans="1:30" ht="17.149999999999999" hidden="1" customHeight="1">
      <c r="A1061" s="1" t="s">
        <v>6235</v>
      </c>
      <c r="B1061" s="1"/>
      <c r="C1061" s="1" t="s">
        <v>6236</v>
      </c>
      <c r="D1061" s="1"/>
      <c r="E1061" s="1"/>
      <c r="F1061" s="1"/>
      <c r="G1061" s="1"/>
      <c r="H1061" s="1" t="s">
        <v>177</v>
      </c>
      <c r="I1061" s="1" t="s">
        <v>294</v>
      </c>
      <c r="J1061" s="1" t="s">
        <v>1795</v>
      </c>
      <c r="K1061" s="1" t="s">
        <v>6237</v>
      </c>
      <c r="L1061" s="1" t="s">
        <v>45</v>
      </c>
      <c r="M1061" s="1" t="s">
        <v>46</v>
      </c>
      <c r="N1061" s="1" t="s">
        <v>46</v>
      </c>
      <c r="O1061" s="1" t="s">
        <v>46</v>
      </c>
      <c r="P1061" s="1">
        <v>55415</v>
      </c>
      <c r="Q1061" s="1">
        <v>2015</v>
      </c>
      <c r="R1061" s="1">
        <v>1</v>
      </c>
      <c r="S1061" s="1" t="s">
        <v>46</v>
      </c>
      <c r="T1061" s="1" t="s">
        <v>46</v>
      </c>
      <c r="U1061" s="1" t="s">
        <v>6238</v>
      </c>
    </row>
    <row r="1062" spans="1:30" ht="17.149999999999999" hidden="1" customHeight="1">
      <c r="A1062" s="1" t="s">
        <v>6239</v>
      </c>
      <c r="B1062" s="1"/>
      <c r="C1062" s="1" t="s">
        <v>6240</v>
      </c>
      <c r="D1062" s="1"/>
      <c r="E1062" s="1"/>
      <c r="F1062" s="1"/>
      <c r="G1062" s="1"/>
      <c r="H1062" s="1" t="s">
        <v>249</v>
      </c>
      <c r="I1062" s="1" t="s">
        <v>4227</v>
      </c>
      <c r="J1062" s="1" t="s">
        <v>6241</v>
      </c>
      <c r="K1062" s="1" t="s">
        <v>6242</v>
      </c>
      <c r="L1062" s="1" t="s">
        <v>45</v>
      </c>
      <c r="M1062" s="1" t="s">
        <v>46</v>
      </c>
      <c r="N1062" s="1">
        <v>52287</v>
      </c>
      <c r="O1062" s="1">
        <v>2018</v>
      </c>
      <c r="P1062" s="1">
        <v>63598</v>
      </c>
      <c r="Q1062" s="1">
        <v>2018</v>
      </c>
      <c r="R1062" s="1" t="s">
        <v>46</v>
      </c>
      <c r="S1062" s="1">
        <v>1</v>
      </c>
      <c r="T1062" s="1" t="s">
        <v>46</v>
      </c>
      <c r="U1062" s="1" t="s">
        <v>6243</v>
      </c>
    </row>
    <row r="1063" spans="1:30" ht="17.149999999999999" hidden="1" customHeight="1">
      <c r="A1063" s="1" t="s">
        <v>6244</v>
      </c>
      <c r="B1063" s="1"/>
      <c r="C1063" s="1" t="s">
        <v>6245</v>
      </c>
      <c r="D1063" s="1"/>
      <c r="E1063" s="1"/>
      <c r="F1063" s="1"/>
      <c r="G1063" s="1"/>
      <c r="H1063" s="1" t="s">
        <v>500</v>
      </c>
      <c r="I1063" s="1" t="s">
        <v>46</v>
      </c>
      <c r="J1063" s="1" t="s">
        <v>6246</v>
      </c>
      <c r="K1063" s="1" t="s">
        <v>6247</v>
      </c>
      <c r="L1063" s="1" t="s">
        <v>45</v>
      </c>
      <c r="M1063" s="1" t="s">
        <v>46</v>
      </c>
      <c r="N1063" s="1">
        <v>55231</v>
      </c>
      <c r="O1063" s="1">
        <v>2016</v>
      </c>
      <c r="P1063" s="1">
        <v>55231</v>
      </c>
      <c r="Q1063" s="1">
        <v>2016</v>
      </c>
      <c r="R1063" s="1" t="s">
        <v>46</v>
      </c>
      <c r="S1063" s="1">
        <v>1</v>
      </c>
      <c r="T1063" s="1">
        <v>1</v>
      </c>
      <c r="U1063" s="1" t="s">
        <v>6248</v>
      </c>
    </row>
    <row r="1064" spans="1:30" ht="17.149999999999999" hidden="1" customHeight="1">
      <c r="A1064" s="1" t="s">
        <v>6249</v>
      </c>
      <c r="B1064" s="1"/>
      <c r="C1064" s="1" t="s">
        <v>6250</v>
      </c>
      <c r="D1064" s="1"/>
      <c r="E1064" s="1"/>
      <c r="F1064" s="1"/>
      <c r="G1064" s="1"/>
      <c r="H1064" s="1" t="s">
        <v>110</v>
      </c>
      <c r="I1064" s="1" t="s">
        <v>46</v>
      </c>
      <c r="J1064" s="1" t="s">
        <v>6251</v>
      </c>
      <c r="K1064" s="1" t="s">
        <v>6252</v>
      </c>
      <c r="L1064" s="1" t="s">
        <v>45</v>
      </c>
      <c r="M1064" s="1" t="s">
        <v>46</v>
      </c>
      <c r="N1064" s="1">
        <v>55196</v>
      </c>
      <c r="O1064" s="1">
        <v>2015</v>
      </c>
      <c r="P1064" s="1">
        <v>55196</v>
      </c>
      <c r="Q1064" s="1">
        <v>2015</v>
      </c>
      <c r="R1064" s="1" t="s">
        <v>46</v>
      </c>
      <c r="S1064" s="1">
        <v>1</v>
      </c>
      <c r="T1064" s="1">
        <v>1</v>
      </c>
      <c r="U1064" s="1" t="s">
        <v>6253</v>
      </c>
    </row>
    <row r="1065" spans="1:30" ht="17.149999999999999" hidden="1" customHeight="1">
      <c r="A1065" s="1" t="s">
        <v>6254</v>
      </c>
      <c r="B1065" s="1"/>
      <c r="C1065" s="1" t="s">
        <v>6255</v>
      </c>
      <c r="D1065" s="1"/>
      <c r="E1065" s="1"/>
      <c r="F1065" s="1"/>
      <c r="G1065" s="1"/>
      <c r="H1065" s="1" t="s">
        <v>249</v>
      </c>
      <c r="I1065" s="1" t="s">
        <v>4210</v>
      </c>
      <c r="J1065" s="1" t="s">
        <v>6256</v>
      </c>
      <c r="K1065" s="1" t="s">
        <v>6257</v>
      </c>
      <c r="L1065" s="1" t="s">
        <v>45</v>
      </c>
      <c r="M1065" s="1" t="s">
        <v>1311</v>
      </c>
      <c r="N1065" s="1">
        <v>52216</v>
      </c>
      <c r="O1065" s="1">
        <v>2018</v>
      </c>
      <c r="P1065" s="1">
        <v>63237</v>
      </c>
      <c r="Q1065" s="1">
        <v>2018</v>
      </c>
      <c r="R1065" s="1" t="s">
        <v>46</v>
      </c>
      <c r="S1065" s="1">
        <v>1</v>
      </c>
      <c r="T1065" s="1">
        <v>1</v>
      </c>
      <c r="U1065" s="1" t="s">
        <v>6258</v>
      </c>
    </row>
    <row r="1066" spans="1:30" ht="17.149999999999999" hidden="1" customHeight="1">
      <c r="A1066" s="1" t="s">
        <v>6259</v>
      </c>
      <c r="B1066" s="1"/>
      <c r="C1066" s="1" t="s">
        <v>6260</v>
      </c>
      <c r="D1066" s="1"/>
      <c r="E1066" s="1"/>
      <c r="F1066" s="1"/>
      <c r="G1066" s="1"/>
      <c r="H1066" s="1" t="s">
        <v>2258</v>
      </c>
      <c r="I1066" s="1" t="s">
        <v>46</v>
      </c>
      <c r="J1066" s="1" t="s">
        <v>6261</v>
      </c>
      <c r="K1066" s="1" t="s">
        <v>6262</v>
      </c>
      <c r="L1066" s="1" t="s">
        <v>45</v>
      </c>
      <c r="M1066" s="1" t="s">
        <v>46</v>
      </c>
      <c r="N1066" s="1">
        <v>55066</v>
      </c>
      <c r="O1066" s="1">
        <v>2019</v>
      </c>
      <c r="P1066" s="1">
        <v>55066</v>
      </c>
      <c r="Q1066" s="1">
        <v>2019</v>
      </c>
      <c r="R1066" s="1" t="s">
        <v>46</v>
      </c>
      <c r="S1066" s="1">
        <v>1</v>
      </c>
      <c r="T1066" s="1">
        <v>1</v>
      </c>
      <c r="U1066" s="1" t="s">
        <v>6263</v>
      </c>
    </row>
    <row r="1067" spans="1:30" ht="17.149999999999999" hidden="1" customHeight="1">
      <c r="A1067" s="1" t="s">
        <v>6264</v>
      </c>
      <c r="B1067" s="1"/>
      <c r="C1067" s="1" t="s">
        <v>6265</v>
      </c>
      <c r="D1067" s="1"/>
      <c r="E1067" s="1"/>
      <c r="F1067" s="1"/>
      <c r="G1067" s="1"/>
      <c r="H1067" s="1" t="s">
        <v>177</v>
      </c>
      <c r="I1067" s="1" t="s">
        <v>3007</v>
      </c>
      <c r="J1067" s="1" t="s">
        <v>6266</v>
      </c>
      <c r="K1067" s="1" t="s">
        <v>6267</v>
      </c>
      <c r="L1067" s="1" t="s">
        <v>45</v>
      </c>
      <c r="M1067" s="1" t="s">
        <v>46</v>
      </c>
      <c r="N1067" s="1">
        <v>55000</v>
      </c>
      <c r="O1067" s="1">
        <v>2019</v>
      </c>
      <c r="P1067" s="1">
        <v>55000</v>
      </c>
      <c r="Q1067" s="1">
        <v>2019</v>
      </c>
      <c r="R1067" s="1" t="s">
        <v>46</v>
      </c>
      <c r="S1067" s="1">
        <v>1</v>
      </c>
      <c r="T1067" s="1">
        <v>1</v>
      </c>
      <c r="U1067" s="1" t="s">
        <v>6268</v>
      </c>
    </row>
    <row r="1068" spans="1:30" ht="17.149999999999999" hidden="1" customHeight="1">
      <c r="A1068" s="1" t="s">
        <v>6269</v>
      </c>
      <c r="B1068" s="1"/>
      <c r="C1068" s="1" t="s">
        <v>6270</v>
      </c>
      <c r="D1068" s="1"/>
      <c r="E1068" s="1"/>
      <c r="F1068" s="1"/>
      <c r="G1068" s="1"/>
      <c r="H1068" s="1" t="s">
        <v>500</v>
      </c>
      <c r="I1068" s="1" t="s">
        <v>46</v>
      </c>
      <c r="J1068" s="1" t="s">
        <v>6271</v>
      </c>
      <c r="K1068" s="1" t="s">
        <v>508</v>
      </c>
      <c r="L1068" s="1" t="s">
        <v>45</v>
      </c>
      <c r="M1068" s="1" t="s">
        <v>46</v>
      </c>
      <c r="N1068" s="1">
        <v>55000</v>
      </c>
      <c r="O1068" s="1">
        <v>2018</v>
      </c>
      <c r="P1068" s="1">
        <v>55000</v>
      </c>
      <c r="Q1068" s="1">
        <v>2018</v>
      </c>
      <c r="R1068" s="1" t="s">
        <v>46</v>
      </c>
      <c r="S1068" s="1">
        <v>1</v>
      </c>
      <c r="T1068" s="1">
        <v>1</v>
      </c>
      <c r="U1068" s="1" t="s">
        <v>6272</v>
      </c>
    </row>
    <row r="1069" spans="1:30" ht="17.149999999999999" hidden="1" customHeight="1">
      <c r="A1069" s="1" t="s">
        <v>6273</v>
      </c>
      <c r="B1069" s="1"/>
      <c r="C1069" s="1" t="s">
        <v>6274</v>
      </c>
      <c r="D1069" s="1"/>
      <c r="E1069" s="1"/>
      <c r="F1069" s="1"/>
      <c r="G1069" s="1"/>
      <c r="H1069" s="1" t="s">
        <v>512</v>
      </c>
      <c r="I1069" s="1" t="s">
        <v>46</v>
      </c>
      <c r="J1069" s="1" t="s">
        <v>6275</v>
      </c>
      <c r="K1069" s="1" t="s">
        <v>6276</v>
      </c>
      <c r="L1069" s="1" t="s">
        <v>45</v>
      </c>
      <c r="M1069" s="1" t="s">
        <v>46</v>
      </c>
      <c r="N1069" s="1">
        <v>55000</v>
      </c>
      <c r="O1069" s="1">
        <v>2018</v>
      </c>
      <c r="P1069" s="1">
        <v>55000</v>
      </c>
      <c r="Q1069" s="1">
        <v>2018</v>
      </c>
      <c r="R1069" s="1" t="s">
        <v>46</v>
      </c>
      <c r="S1069" s="1">
        <v>1</v>
      </c>
      <c r="T1069" s="1">
        <v>1</v>
      </c>
      <c r="U1069" s="1" t="s">
        <v>6277</v>
      </c>
    </row>
    <row r="1070" spans="1:30" ht="17.149999999999999" hidden="1" customHeight="1">
      <c r="A1070" s="1" t="s">
        <v>6278</v>
      </c>
      <c r="B1070" s="1"/>
      <c r="C1070" s="1" t="s">
        <v>6279</v>
      </c>
      <c r="D1070" s="1"/>
      <c r="E1070" s="1"/>
      <c r="F1070" s="1"/>
      <c r="G1070" s="1"/>
      <c r="H1070" s="1" t="s">
        <v>1047</v>
      </c>
      <c r="I1070" s="1" t="s">
        <v>46</v>
      </c>
      <c r="J1070" s="1" t="s">
        <v>6280</v>
      </c>
      <c r="K1070" s="1" t="s">
        <v>6281</v>
      </c>
      <c r="L1070" s="1" t="s">
        <v>45</v>
      </c>
      <c r="M1070" s="1" t="s">
        <v>46</v>
      </c>
      <c r="N1070" s="1">
        <v>57000</v>
      </c>
      <c r="O1070" s="1">
        <v>2019</v>
      </c>
      <c r="P1070" s="1">
        <v>55000</v>
      </c>
      <c r="Q1070" s="1">
        <v>2019</v>
      </c>
      <c r="R1070" s="1" t="s">
        <v>46</v>
      </c>
      <c r="S1070" s="1">
        <v>1</v>
      </c>
      <c r="T1070" s="1">
        <v>1</v>
      </c>
      <c r="U1070" s="1" t="s">
        <v>6282</v>
      </c>
    </row>
    <row r="1071" spans="1:30" ht="17.149999999999999" hidden="1" customHeight="1">
      <c r="A1071" s="17" t="s">
        <v>6283</v>
      </c>
      <c r="B1071" s="17"/>
      <c r="C1071" s="17" t="s">
        <v>6284</v>
      </c>
      <c r="D1071" s="17"/>
      <c r="E1071" s="17"/>
      <c r="F1071" s="17"/>
      <c r="G1071" s="17"/>
      <c r="H1071" s="17" t="s">
        <v>41</v>
      </c>
      <c r="I1071" s="17" t="s">
        <v>148</v>
      </c>
      <c r="J1071" s="17" t="s">
        <v>6285</v>
      </c>
      <c r="K1071" s="17" t="s">
        <v>6286</v>
      </c>
      <c r="L1071" s="17" t="s">
        <v>45</v>
      </c>
      <c r="M1071" s="17" t="s">
        <v>46</v>
      </c>
      <c r="N1071" s="17" t="s">
        <v>46</v>
      </c>
      <c r="O1071" s="17" t="s">
        <v>46</v>
      </c>
      <c r="P1071" s="51">
        <v>54665</v>
      </c>
      <c r="Q1071" s="51">
        <v>2024</v>
      </c>
      <c r="R1071" s="17" t="s">
        <v>46</v>
      </c>
      <c r="S1071" s="17">
        <v>1</v>
      </c>
      <c r="T1071" s="17">
        <v>1</v>
      </c>
      <c r="U1071" s="17" t="s">
        <v>6287</v>
      </c>
      <c r="V1071" s="18"/>
      <c r="W1071" s="18"/>
      <c r="X1071" s="18"/>
      <c r="Y1071" s="18"/>
      <c r="Z1071" s="18"/>
      <c r="AA1071" s="18"/>
      <c r="AB1071" s="18"/>
      <c r="AC1071" s="18"/>
      <c r="AD1071" s="18"/>
    </row>
    <row r="1072" spans="1:30" ht="17.149999999999999" hidden="1" customHeight="1">
      <c r="A1072" s="1" t="s">
        <v>6288</v>
      </c>
      <c r="B1072" s="1"/>
      <c r="C1072" s="1" t="s">
        <v>6289</v>
      </c>
      <c r="D1072" s="1"/>
      <c r="E1072" s="1"/>
      <c r="F1072" s="1"/>
      <c r="G1072" s="1"/>
      <c r="H1072" s="1" t="s">
        <v>1171</v>
      </c>
      <c r="I1072" s="1" t="s">
        <v>46</v>
      </c>
      <c r="J1072" s="1" t="s">
        <v>6290</v>
      </c>
      <c r="K1072" s="1" t="s">
        <v>6291</v>
      </c>
      <c r="L1072" s="1" t="s">
        <v>45</v>
      </c>
      <c r="M1072" s="1" t="s">
        <v>46</v>
      </c>
      <c r="N1072" s="1">
        <v>69000</v>
      </c>
      <c r="O1072" s="1">
        <v>2015</v>
      </c>
      <c r="P1072" s="1">
        <v>54660</v>
      </c>
      <c r="Q1072" s="1">
        <v>2015</v>
      </c>
      <c r="R1072" s="1" t="s">
        <v>46</v>
      </c>
      <c r="S1072" s="1">
        <v>1</v>
      </c>
      <c r="T1072" s="1" t="s">
        <v>46</v>
      </c>
      <c r="U1072" s="1" t="s">
        <v>6292</v>
      </c>
    </row>
    <row r="1073" spans="1:36" ht="17.149999999999999" hidden="1" customHeight="1">
      <c r="A1073" s="1" t="s">
        <v>6293</v>
      </c>
      <c r="B1073" s="1"/>
      <c r="C1073" s="1" t="s">
        <v>6294</v>
      </c>
      <c r="D1073" s="1"/>
      <c r="E1073" s="1"/>
      <c r="F1073" s="1"/>
      <c r="G1073" s="1"/>
      <c r="H1073" s="1" t="s">
        <v>177</v>
      </c>
      <c r="I1073" s="1" t="s">
        <v>1478</v>
      </c>
      <c r="J1073" s="1" t="s">
        <v>6295</v>
      </c>
      <c r="K1073" s="1" t="s">
        <v>46</v>
      </c>
      <c r="L1073" s="1" t="s">
        <v>118</v>
      </c>
      <c r="M1073" s="1" t="s">
        <v>6296</v>
      </c>
      <c r="N1073" s="1">
        <v>35000</v>
      </c>
      <c r="O1073" s="1">
        <v>2017</v>
      </c>
      <c r="P1073" s="1">
        <v>54521</v>
      </c>
      <c r="Q1073" s="1">
        <v>2015</v>
      </c>
      <c r="R1073" s="1" t="s">
        <v>46</v>
      </c>
      <c r="S1073" s="1">
        <v>1</v>
      </c>
      <c r="T1073" s="1" t="s">
        <v>46</v>
      </c>
      <c r="U1073" s="1" t="s">
        <v>6297</v>
      </c>
    </row>
    <row r="1074" spans="1:36" ht="17.149999999999999" hidden="1" customHeight="1">
      <c r="A1074" s="1" t="s">
        <v>6298</v>
      </c>
      <c r="B1074" s="1"/>
      <c r="C1074" s="1" t="s">
        <v>6299</v>
      </c>
      <c r="D1074" s="1"/>
      <c r="E1074" s="1"/>
      <c r="F1074" s="1"/>
      <c r="G1074" s="1"/>
      <c r="H1074" s="1" t="s">
        <v>249</v>
      </c>
      <c r="I1074" s="1" t="s">
        <v>4431</v>
      </c>
      <c r="J1074" s="1" t="s">
        <v>6300</v>
      </c>
      <c r="K1074" s="1" t="s">
        <v>6301</v>
      </c>
      <c r="L1074" s="1" t="s">
        <v>45</v>
      </c>
      <c r="M1074" s="1" t="s">
        <v>46</v>
      </c>
      <c r="N1074" s="1">
        <v>51660</v>
      </c>
      <c r="O1074" s="1">
        <v>2018</v>
      </c>
      <c r="P1074" s="1">
        <v>51658</v>
      </c>
      <c r="Q1074" s="1">
        <v>2018</v>
      </c>
      <c r="R1074" s="1" t="s">
        <v>46</v>
      </c>
      <c r="S1074" s="1">
        <v>1</v>
      </c>
      <c r="T1074" s="1" t="s">
        <v>46</v>
      </c>
      <c r="U1074" s="1" t="s">
        <v>6302</v>
      </c>
    </row>
    <row r="1075" spans="1:36" ht="17.149999999999999" hidden="1" customHeight="1">
      <c r="A1075" s="1" t="s">
        <v>6303</v>
      </c>
      <c r="B1075" s="1"/>
      <c r="C1075" s="1" t="s">
        <v>6304</v>
      </c>
      <c r="D1075" s="1"/>
      <c r="E1075" s="1"/>
      <c r="F1075" s="1"/>
      <c r="G1075" s="1"/>
      <c r="H1075" s="1" t="s">
        <v>249</v>
      </c>
      <c r="I1075" s="1" t="s">
        <v>2746</v>
      </c>
      <c r="J1075" s="1" t="s">
        <v>6305</v>
      </c>
      <c r="K1075" s="1" t="s">
        <v>6306</v>
      </c>
      <c r="L1075" s="1" t="s">
        <v>45</v>
      </c>
      <c r="M1075" s="1" t="s">
        <v>46</v>
      </c>
      <c r="N1075" s="1">
        <v>51615</v>
      </c>
      <c r="O1075" s="1">
        <v>2018</v>
      </c>
      <c r="P1075" s="1">
        <v>30327</v>
      </c>
      <c r="Q1075" s="1">
        <v>2018</v>
      </c>
      <c r="R1075" s="1" t="s">
        <v>46</v>
      </c>
      <c r="S1075" s="1">
        <v>1</v>
      </c>
      <c r="T1075" s="1" t="s">
        <v>46</v>
      </c>
      <c r="U1075" s="1" t="s">
        <v>6307</v>
      </c>
    </row>
    <row r="1076" spans="1:36" s="42" customFormat="1" ht="17.149999999999999" customHeight="1">
      <c r="A1076" s="41" t="s">
        <v>6308</v>
      </c>
      <c r="B1076" s="41" t="s">
        <v>857</v>
      </c>
      <c r="C1076" s="41" t="s">
        <v>6309</v>
      </c>
      <c r="D1076" s="1" t="s">
        <v>6309</v>
      </c>
      <c r="E1076" s="1" t="s">
        <v>6309</v>
      </c>
      <c r="F1076" s="1" t="s">
        <v>62</v>
      </c>
      <c r="G1076" s="1" t="s">
        <v>40</v>
      </c>
      <c r="H1076" s="41" t="s">
        <v>6310</v>
      </c>
      <c r="I1076" s="41" t="s">
        <v>46</v>
      </c>
      <c r="J1076" s="41" t="s">
        <v>6311</v>
      </c>
      <c r="K1076" s="41" t="s">
        <v>6312</v>
      </c>
      <c r="L1076" s="41" t="s">
        <v>45</v>
      </c>
      <c r="M1076" s="41" t="s">
        <v>46</v>
      </c>
      <c r="N1076" s="41">
        <v>420000</v>
      </c>
      <c r="O1076" s="41">
        <v>2019</v>
      </c>
      <c r="P1076" s="41" t="s">
        <v>46</v>
      </c>
      <c r="Q1076" s="41" t="s">
        <v>46</v>
      </c>
      <c r="R1076" s="41">
        <v>1</v>
      </c>
      <c r="S1076" s="41">
        <v>1</v>
      </c>
      <c r="T1076" s="41" t="s">
        <v>46</v>
      </c>
      <c r="U1076" s="41" t="s">
        <v>6313</v>
      </c>
      <c r="V1076" s="42" t="s">
        <v>40</v>
      </c>
      <c r="W1076" s="42" t="s">
        <v>6314</v>
      </c>
      <c r="X1076" s="42" t="s">
        <v>40</v>
      </c>
      <c r="Y1076" s="42" t="s">
        <v>2914</v>
      </c>
      <c r="Z1076" s="42" t="s">
        <v>6315</v>
      </c>
      <c r="AA1076" s="42" t="s">
        <v>6316</v>
      </c>
      <c r="AD1076" s="42" t="s">
        <v>40</v>
      </c>
      <c r="AE1076" s="42">
        <v>5</v>
      </c>
      <c r="AF1076" s="42" t="s">
        <v>53</v>
      </c>
      <c r="AJ1076" s="2" t="s">
        <v>1318</v>
      </c>
    </row>
    <row r="1077" spans="1:36" ht="17.149999999999999" hidden="1" customHeight="1">
      <c r="A1077" s="1" t="s">
        <v>6317</v>
      </c>
      <c r="B1077" s="1"/>
      <c r="C1077" s="1" t="s">
        <v>6318</v>
      </c>
      <c r="D1077" s="1"/>
      <c r="E1077" s="1"/>
      <c r="F1077" s="1"/>
      <c r="G1077" s="1"/>
      <c r="H1077" s="1" t="s">
        <v>128</v>
      </c>
      <c r="I1077" s="1" t="s">
        <v>4950</v>
      </c>
      <c r="J1077" s="1" t="s">
        <v>6319</v>
      </c>
      <c r="K1077" s="1" t="s">
        <v>6320</v>
      </c>
      <c r="L1077" s="1" t="s">
        <v>45</v>
      </c>
      <c r="M1077" s="1" t="s">
        <v>46</v>
      </c>
      <c r="N1077" s="1">
        <v>63021</v>
      </c>
      <c r="O1077" s="1">
        <v>2019</v>
      </c>
      <c r="P1077" s="1">
        <v>53859</v>
      </c>
      <c r="Q1077" s="1">
        <v>2015</v>
      </c>
      <c r="R1077" s="1" t="s">
        <v>46</v>
      </c>
      <c r="S1077" s="1">
        <v>1</v>
      </c>
      <c r="T1077" s="1" t="s">
        <v>46</v>
      </c>
      <c r="U1077" s="1" t="s">
        <v>6321</v>
      </c>
    </row>
    <row r="1078" spans="1:36" ht="17.149999999999999" hidden="1" customHeight="1">
      <c r="A1078" s="1" t="s">
        <v>6322</v>
      </c>
      <c r="B1078" s="1"/>
      <c r="C1078" s="1" t="s">
        <v>6323</v>
      </c>
      <c r="D1078" s="1"/>
      <c r="E1078" s="1"/>
      <c r="F1078" s="1"/>
      <c r="G1078" s="1"/>
      <c r="H1078" s="1" t="s">
        <v>249</v>
      </c>
      <c r="I1078" s="1" t="s">
        <v>4280</v>
      </c>
      <c r="J1078" s="1" t="s">
        <v>6324</v>
      </c>
      <c r="K1078" s="1" t="s">
        <v>6325</v>
      </c>
      <c r="L1078" s="1" t="s">
        <v>45</v>
      </c>
      <c r="M1078" s="1" t="s">
        <v>46</v>
      </c>
      <c r="N1078" s="1">
        <v>51525</v>
      </c>
      <c r="O1078" s="1">
        <v>2018</v>
      </c>
      <c r="P1078" s="1">
        <v>49128</v>
      </c>
      <c r="Q1078" s="1">
        <v>2018</v>
      </c>
      <c r="R1078" s="1" t="s">
        <v>46</v>
      </c>
      <c r="S1078" s="1">
        <v>1</v>
      </c>
      <c r="T1078" s="1" t="s">
        <v>46</v>
      </c>
      <c r="U1078" s="1" t="s">
        <v>6326</v>
      </c>
    </row>
    <row r="1079" spans="1:36" ht="17.149999999999999" hidden="1" customHeight="1">
      <c r="A1079" s="1" t="s">
        <v>6327</v>
      </c>
      <c r="B1079" s="1"/>
      <c r="C1079" s="1" t="s">
        <v>6328</v>
      </c>
      <c r="D1079" s="1"/>
      <c r="E1079" s="1"/>
      <c r="F1079" s="1"/>
      <c r="G1079" s="1"/>
      <c r="H1079" s="1" t="s">
        <v>128</v>
      </c>
      <c r="I1079" s="1" t="s">
        <v>5678</v>
      </c>
      <c r="J1079" s="1" t="s">
        <v>5678</v>
      </c>
      <c r="K1079" s="1" t="s">
        <v>6329</v>
      </c>
      <c r="L1079" s="1" t="s">
        <v>151</v>
      </c>
      <c r="M1079" s="1" t="s">
        <v>6330</v>
      </c>
      <c r="N1079" s="1">
        <v>58560</v>
      </c>
      <c r="O1079" s="1">
        <v>2018</v>
      </c>
      <c r="P1079" s="1">
        <v>53585</v>
      </c>
      <c r="Q1079" s="1">
        <v>2015</v>
      </c>
      <c r="R1079" s="1" t="s">
        <v>46</v>
      </c>
      <c r="S1079" s="1">
        <v>1</v>
      </c>
      <c r="T1079" s="1">
        <v>1</v>
      </c>
      <c r="U1079" s="1" t="s">
        <v>6331</v>
      </c>
    </row>
    <row r="1080" spans="1:36" ht="17.149999999999999" hidden="1" customHeight="1">
      <c r="A1080" s="1" t="s">
        <v>6332</v>
      </c>
      <c r="B1080" s="1"/>
      <c r="C1080" s="1" t="s">
        <v>6333</v>
      </c>
      <c r="D1080" s="1"/>
      <c r="E1080" s="1"/>
      <c r="F1080" s="1"/>
      <c r="G1080" s="1"/>
      <c r="H1080" s="1" t="s">
        <v>249</v>
      </c>
      <c r="I1080" s="1" t="s">
        <v>2102</v>
      </c>
      <c r="J1080" s="1" t="s">
        <v>6334</v>
      </c>
      <c r="K1080" s="1" t="s">
        <v>6335</v>
      </c>
      <c r="L1080" s="1" t="s">
        <v>45</v>
      </c>
      <c r="M1080" s="1" t="s">
        <v>46</v>
      </c>
      <c r="N1080" s="1">
        <v>50596</v>
      </c>
      <c r="O1080" s="1">
        <v>2018</v>
      </c>
      <c r="P1080" s="1">
        <v>39646</v>
      </c>
      <c r="Q1080" s="1">
        <v>2018</v>
      </c>
      <c r="R1080" s="1" t="s">
        <v>46</v>
      </c>
      <c r="S1080" s="1">
        <v>1</v>
      </c>
      <c r="T1080" s="1" t="s">
        <v>46</v>
      </c>
      <c r="U1080" s="1" t="s">
        <v>6336</v>
      </c>
    </row>
    <row r="1081" spans="1:36" ht="17.149999999999999" hidden="1" customHeight="1">
      <c r="A1081" s="1" t="s">
        <v>6337</v>
      </c>
      <c r="B1081" s="1"/>
      <c r="C1081" s="1" t="s">
        <v>6338</v>
      </c>
      <c r="D1081" s="1"/>
      <c r="E1081" s="1"/>
      <c r="F1081" s="1"/>
      <c r="G1081" s="1"/>
      <c r="H1081" s="1" t="s">
        <v>249</v>
      </c>
      <c r="I1081" s="1" t="s">
        <v>5357</v>
      </c>
      <c r="J1081" s="1" t="s">
        <v>6339</v>
      </c>
      <c r="K1081" s="1" t="s">
        <v>6340</v>
      </c>
      <c r="L1081" s="1" t="s">
        <v>45</v>
      </c>
      <c r="M1081" s="1" t="s">
        <v>46</v>
      </c>
      <c r="N1081" s="1">
        <v>50368</v>
      </c>
      <c r="O1081" s="1">
        <v>2018</v>
      </c>
      <c r="P1081" s="1">
        <v>42937</v>
      </c>
      <c r="Q1081" s="1">
        <v>2018</v>
      </c>
      <c r="R1081" s="1" t="s">
        <v>46</v>
      </c>
      <c r="S1081" s="1">
        <v>1</v>
      </c>
      <c r="T1081" s="1">
        <v>1</v>
      </c>
      <c r="U1081" s="1" t="s">
        <v>6341</v>
      </c>
    </row>
    <row r="1082" spans="1:36" ht="17.149999999999999" customHeight="1">
      <c r="A1082" s="41" t="s">
        <v>6342</v>
      </c>
      <c r="B1082" s="41" t="s">
        <v>1198</v>
      </c>
      <c r="C1082" s="41" t="s">
        <v>6343</v>
      </c>
      <c r="D1082" s="1" t="s">
        <v>6343</v>
      </c>
      <c r="E1082" s="1" t="s">
        <v>6343</v>
      </c>
      <c r="F1082" s="1" t="s">
        <v>62</v>
      </c>
      <c r="G1082" s="1" t="s">
        <v>40</v>
      </c>
      <c r="H1082" s="41" t="s">
        <v>1203</v>
      </c>
      <c r="I1082" s="41" t="s">
        <v>46</v>
      </c>
      <c r="J1082" s="41" t="s">
        <v>1204</v>
      </c>
      <c r="K1082" s="41" t="s">
        <v>6344</v>
      </c>
      <c r="L1082" s="41" t="s">
        <v>45</v>
      </c>
      <c r="M1082" s="41" t="s">
        <v>46</v>
      </c>
      <c r="N1082" s="41">
        <v>1016000</v>
      </c>
      <c r="O1082" s="41">
        <v>2017</v>
      </c>
      <c r="P1082" s="41" t="s">
        <v>6345</v>
      </c>
      <c r="Q1082" s="41">
        <v>2019</v>
      </c>
      <c r="R1082" s="41" t="s">
        <v>46</v>
      </c>
      <c r="S1082" s="41">
        <v>1</v>
      </c>
      <c r="T1082" s="41">
        <v>1</v>
      </c>
      <c r="U1082" s="41" t="s">
        <v>6346</v>
      </c>
      <c r="V1082" s="42" t="s">
        <v>57</v>
      </c>
      <c r="W1082" s="42" t="s">
        <v>67</v>
      </c>
      <c r="X1082" s="42" t="s">
        <v>40</v>
      </c>
      <c r="Y1082" s="42"/>
      <c r="Z1082" s="42">
        <v>52</v>
      </c>
      <c r="AA1082" s="5" t="s">
        <v>57</v>
      </c>
      <c r="AB1082" s="42"/>
      <c r="AC1082" s="42"/>
      <c r="AD1082" s="42"/>
      <c r="AE1082" s="42">
        <v>2</v>
      </c>
      <c r="AF1082" s="42" t="s">
        <v>1263</v>
      </c>
      <c r="AG1082" s="42"/>
      <c r="AH1082" s="42"/>
      <c r="AI1082" s="42"/>
      <c r="AJ1082" s="42" t="s">
        <v>57</v>
      </c>
    </row>
    <row r="1083" spans="1:36" ht="17.149999999999999" hidden="1" customHeight="1">
      <c r="A1083" s="1" t="s">
        <v>6347</v>
      </c>
      <c r="B1083" s="1"/>
      <c r="C1083" s="1" t="s">
        <v>6348</v>
      </c>
      <c r="D1083" s="1"/>
      <c r="E1083" s="1"/>
      <c r="F1083" s="1"/>
      <c r="G1083" s="1"/>
      <c r="H1083" s="1" t="s">
        <v>674</v>
      </c>
      <c r="I1083" s="1" t="s">
        <v>46</v>
      </c>
      <c r="J1083" s="1" t="s">
        <v>6349</v>
      </c>
      <c r="K1083" s="1" t="s">
        <v>6350</v>
      </c>
      <c r="L1083" s="1" t="s">
        <v>45</v>
      </c>
      <c r="M1083" s="1" t="s">
        <v>46</v>
      </c>
      <c r="N1083" s="1">
        <v>116726</v>
      </c>
      <c r="O1083" s="1">
        <v>2016</v>
      </c>
      <c r="P1083" s="1">
        <v>53239</v>
      </c>
      <c r="Q1083" s="1">
        <v>2016</v>
      </c>
      <c r="R1083" s="1" t="s">
        <v>46</v>
      </c>
      <c r="S1083" s="1">
        <v>1</v>
      </c>
      <c r="T1083" s="1">
        <v>1</v>
      </c>
      <c r="U1083" s="1" t="s">
        <v>6351</v>
      </c>
    </row>
    <row r="1084" spans="1:36" ht="17.149999999999999" hidden="1" customHeight="1">
      <c r="A1084" s="1" t="s">
        <v>6352</v>
      </c>
      <c r="B1084" s="1"/>
      <c r="C1084" s="1" t="s">
        <v>6353</v>
      </c>
      <c r="D1084" s="1"/>
      <c r="E1084" s="1"/>
      <c r="F1084" s="1"/>
      <c r="G1084" s="1"/>
      <c r="H1084" s="1" t="s">
        <v>249</v>
      </c>
      <c r="I1084" s="1" t="s">
        <v>1308</v>
      </c>
      <c r="J1084" s="1" t="s">
        <v>6354</v>
      </c>
      <c r="K1084" s="1" t="s">
        <v>6355</v>
      </c>
      <c r="L1084" s="1" t="s">
        <v>45</v>
      </c>
      <c r="M1084" s="1" t="s">
        <v>46</v>
      </c>
      <c r="N1084" s="1">
        <v>50350</v>
      </c>
      <c r="O1084" s="1">
        <v>2018</v>
      </c>
      <c r="P1084" s="1">
        <v>47830</v>
      </c>
      <c r="Q1084" s="1">
        <v>2018</v>
      </c>
      <c r="R1084" s="1" t="s">
        <v>46</v>
      </c>
      <c r="S1084" s="1">
        <v>1</v>
      </c>
      <c r="T1084" s="1" t="s">
        <v>46</v>
      </c>
      <c r="U1084" s="1" t="s">
        <v>6356</v>
      </c>
    </row>
    <row r="1085" spans="1:36" ht="17.149999999999999" hidden="1" customHeight="1">
      <c r="A1085" s="17" t="s">
        <v>6357</v>
      </c>
      <c r="B1085" s="17"/>
      <c r="C1085" s="21" t="s">
        <v>6358</v>
      </c>
      <c r="D1085" s="17"/>
      <c r="E1085" s="17"/>
      <c r="F1085" s="17"/>
      <c r="G1085" s="17"/>
      <c r="H1085" s="17" t="s">
        <v>41</v>
      </c>
      <c r="I1085" s="17" t="s">
        <v>592</v>
      </c>
      <c r="J1085" s="17" t="s">
        <v>6359</v>
      </c>
      <c r="K1085" s="17" t="s">
        <v>6360</v>
      </c>
      <c r="L1085" s="17" t="s">
        <v>45</v>
      </c>
      <c r="M1085" s="17" t="s">
        <v>46</v>
      </c>
      <c r="N1085" s="17" t="s">
        <v>46</v>
      </c>
      <c r="O1085" s="17" t="s">
        <v>46</v>
      </c>
      <c r="P1085" s="17">
        <v>53000</v>
      </c>
      <c r="Q1085" s="17">
        <v>2016</v>
      </c>
      <c r="R1085" s="17" t="s">
        <v>46</v>
      </c>
      <c r="S1085" s="17">
        <v>1</v>
      </c>
      <c r="T1085" s="17">
        <v>1</v>
      </c>
      <c r="U1085" s="17" t="s">
        <v>6361</v>
      </c>
      <c r="V1085" s="18"/>
      <c r="W1085" s="18"/>
      <c r="X1085" s="18"/>
      <c r="Y1085" s="18"/>
      <c r="Z1085" s="18"/>
      <c r="AA1085" s="18"/>
      <c r="AB1085" s="18"/>
      <c r="AC1085" s="18"/>
      <c r="AD1085" s="18"/>
    </row>
    <row r="1086" spans="1:36" ht="17.149999999999999" hidden="1" customHeight="1">
      <c r="A1086" s="1" t="s">
        <v>6362</v>
      </c>
      <c r="B1086" s="1"/>
      <c r="C1086" s="1" t="s">
        <v>6363</v>
      </c>
      <c r="D1086" s="1"/>
      <c r="E1086" s="1"/>
      <c r="F1086" s="1"/>
      <c r="G1086" s="1"/>
      <c r="H1086" s="1" t="s">
        <v>128</v>
      </c>
      <c r="I1086" s="1" t="s">
        <v>5481</v>
      </c>
      <c r="J1086" s="1" t="s">
        <v>5481</v>
      </c>
      <c r="K1086" s="1" t="s">
        <v>6364</v>
      </c>
      <c r="L1086" s="1" t="s">
        <v>45</v>
      </c>
      <c r="M1086" s="1" t="s">
        <v>46</v>
      </c>
      <c r="N1086" s="1">
        <v>50000</v>
      </c>
      <c r="O1086" s="1">
        <v>2017</v>
      </c>
      <c r="P1086" s="1">
        <v>52743</v>
      </c>
      <c r="Q1086" s="1">
        <v>2015</v>
      </c>
      <c r="R1086" s="1" t="s">
        <v>46</v>
      </c>
      <c r="S1086" s="1">
        <v>1</v>
      </c>
      <c r="T1086" s="1">
        <v>1</v>
      </c>
      <c r="U1086" s="1" t="s">
        <v>6365</v>
      </c>
    </row>
    <row r="1087" spans="1:36" ht="17.149999999999999" hidden="1" customHeight="1">
      <c r="A1087" s="1" t="s">
        <v>6366</v>
      </c>
      <c r="B1087" s="1"/>
      <c r="C1087" s="1" t="s">
        <v>6367</v>
      </c>
      <c r="D1087" s="1"/>
      <c r="E1087" s="1"/>
      <c r="F1087" s="1"/>
      <c r="G1087" s="1"/>
      <c r="H1087" s="1" t="s">
        <v>640</v>
      </c>
      <c r="I1087" s="1" t="s">
        <v>46</v>
      </c>
      <c r="J1087" s="1" t="s">
        <v>6368</v>
      </c>
      <c r="K1087" s="1" t="s">
        <v>6369</v>
      </c>
      <c r="L1087" s="1" t="s">
        <v>45</v>
      </c>
      <c r="M1087" s="1" t="s">
        <v>46</v>
      </c>
      <c r="N1087" s="1">
        <v>52700</v>
      </c>
      <c r="O1087" s="1">
        <v>2016</v>
      </c>
      <c r="P1087" s="1">
        <v>52700</v>
      </c>
      <c r="Q1087" s="1">
        <v>2016</v>
      </c>
      <c r="R1087" s="1" t="s">
        <v>46</v>
      </c>
      <c r="S1087" s="1">
        <v>1</v>
      </c>
      <c r="T1087" s="1">
        <v>1</v>
      </c>
      <c r="U1087" s="1" t="s">
        <v>6370</v>
      </c>
    </row>
    <row r="1088" spans="1:36" ht="17.149999999999999" hidden="1" customHeight="1">
      <c r="A1088" s="1" t="s">
        <v>6371</v>
      </c>
      <c r="B1088" s="1"/>
      <c r="C1088" s="1" t="s">
        <v>6372</v>
      </c>
      <c r="D1088" s="1"/>
      <c r="E1088" s="1"/>
      <c r="F1088" s="1"/>
      <c r="G1088" s="1"/>
      <c r="H1088" s="1" t="s">
        <v>110</v>
      </c>
      <c r="I1088" s="1" t="s">
        <v>46</v>
      </c>
      <c r="J1088" s="1" t="s">
        <v>6373</v>
      </c>
      <c r="K1088" s="1" t="s">
        <v>6374</v>
      </c>
      <c r="L1088" s="1" t="s">
        <v>45</v>
      </c>
      <c r="M1088" s="1" t="s">
        <v>46</v>
      </c>
      <c r="N1088" s="1">
        <v>52673</v>
      </c>
      <c r="O1088" s="1">
        <v>2015</v>
      </c>
      <c r="P1088" s="1">
        <v>52673</v>
      </c>
      <c r="Q1088" s="1">
        <v>2015</v>
      </c>
      <c r="R1088" s="1" t="s">
        <v>46</v>
      </c>
      <c r="S1088" s="1">
        <v>1</v>
      </c>
      <c r="T1088" s="1">
        <v>1</v>
      </c>
      <c r="U1088" s="1" t="s">
        <v>6375</v>
      </c>
    </row>
    <row r="1089" spans="1:21" ht="17.149999999999999" hidden="1" customHeight="1">
      <c r="A1089" s="1" t="s">
        <v>6376</v>
      </c>
      <c r="B1089" s="1"/>
      <c r="C1089" s="1" t="s">
        <v>6377</v>
      </c>
      <c r="D1089" s="1"/>
      <c r="E1089" s="1"/>
      <c r="F1089" s="1"/>
      <c r="G1089" s="1"/>
      <c r="H1089" s="1" t="s">
        <v>249</v>
      </c>
      <c r="I1089" s="1" t="s">
        <v>6378</v>
      </c>
      <c r="J1089" s="1" t="s">
        <v>6379</v>
      </c>
      <c r="K1089" s="1" t="s">
        <v>6380</v>
      </c>
      <c r="L1089" s="1" t="s">
        <v>45</v>
      </c>
      <c r="M1089" s="1" t="s">
        <v>46</v>
      </c>
      <c r="N1089" s="1">
        <v>48616</v>
      </c>
      <c r="O1089" s="1">
        <v>2018</v>
      </c>
      <c r="P1089" s="1">
        <v>53556</v>
      </c>
      <c r="Q1089" s="1">
        <v>2018</v>
      </c>
      <c r="R1089" s="1" t="s">
        <v>46</v>
      </c>
      <c r="S1089" s="1">
        <v>1</v>
      </c>
      <c r="T1089" s="1" t="s">
        <v>46</v>
      </c>
      <c r="U1089" s="1" t="s">
        <v>6381</v>
      </c>
    </row>
    <row r="1090" spans="1:21" ht="17.149999999999999" hidden="1" customHeight="1">
      <c r="A1090" s="1" t="s">
        <v>6382</v>
      </c>
      <c r="B1090" s="1"/>
      <c r="C1090" s="1" t="s">
        <v>6383</v>
      </c>
      <c r="D1090" s="1"/>
      <c r="E1090" s="1"/>
      <c r="F1090" s="1"/>
      <c r="G1090" s="1"/>
      <c r="H1090" s="1" t="s">
        <v>249</v>
      </c>
      <c r="I1090" s="1" t="s">
        <v>6384</v>
      </c>
      <c r="J1090" s="1" t="s">
        <v>6385</v>
      </c>
      <c r="K1090" s="1" t="s">
        <v>6386</v>
      </c>
      <c r="L1090" s="1" t="s">
        <v>45</v>
      </c>
      <c r="M1090" s="1" t="s">
        <v>1566</v>
      </c>
      <c r="N1090" s="1">
        <v>47032</v>
      </c>
      <c r="O1090" s="1">
        <v>2018</v>
      </c>
      <c r="P1090" s="1">
        <v>57058</v>
      </c>
      <c r="Q1090" s="1">
        <v>2018</v>
      </c>
      <c r="R1090" s="1" t="s">
        <v>46</v>
      </c>
      <c r="S1090" s="1">
        <v>1</v>
      </c>
      <c r="T1090" s="1">
        <v>1</v>
      </c>
      <c r="U1090" s="1" t="s">
        <v>6387</v>
      </c>
    </row>
    <row r="1091" spans="1:21" ht="17.149999999999999" hidden="1" customHeight="1">
      <c r="A1091" s="1" t="s">
        <v>6388</v>
      </c>
      <c r="B1091" s="1"/>
      <c r="C1091" s="1" t="s">
        <v>6389</v>
      </c>
      <c r="D1091" s="1"/>
      <c r="E1091" s="1"/>
      <c r="F1091" s="1"/>
      <c r="G1091" s="1"/>
      <c r="H1091" s="1" t="s">
        <v>1669</v>
      </c>
      <c r="I1091" s="1" t="s">
        <v>46</v>
      </c>
      <c r="J1091" s="1" t="s">
        <v>6390</v>
      </c>
      <c r="K1091" s="1" t="s">
        <v>6391</v>
      </c>
      <c r="L1091" s="1" t="s">
        <v>45</v>
      </c>
      <c r="M1091" s="1" t="s">
        <v>46</v>
      </c>
      <c r="N1091" s="1">
        <v>33153</v>
      </c>
      <c r="O1091" s="1">
        <v>2017</v>
      </c>
      <c r="P1091" s="1">
        <v>52125</v>
      </c>
      <c r="Q1091" s="1">
        <v>2017</v>
      </c>
      <c r="R1091" s="1" t="s">
        <v>46</v>
      </c>
      <c r="S1091" s="1">
        <v>1</v>
      </c>
      <c r="T1091" s="1" t="s">
        <v>46</v>
      </c>
      <c r="U1091" s="1" t="s">
        <v>6392</v>
      </c>
    </row>
    <row r="1092" spans="1:21" ht="17.149999999999999" hidden="1" customHeight="1">
      <c r="A1092" s="1" t="s">
        <v>6393</v>
      </c>
      <c r="B1092" s="1"/>
      <c r="C1092" s="1" t="s">
        <v>6394</v>
      </c>
      <c r="D1092" s="1"/>
      <c r="E1092" s="1"/>
      <c r="F1092" s="1"/>
      <c r="G1092" s="1"/>
      <c r="H1092" s="1" t="s">
        <v>128</v>
      </c>
      <c r="I1092" s="1" t="s">
        <v>4950</v>
      </c>
      <c r="J1092" s="1" t="s">
        <v>6395</v>
      </c>
      <c r="K1092" s="1" t="s">
        <v>6396</v>
      </c>
      <c r="L1092" s="1" t="s">
        <v>45</v>
      </c>
      <c r="M1092" s="1" t="s">
        <v>46</v>
      </c>
      <c r="N1092" s="1">
        <v>52000</v>
      </c>
      <c r="O1092" s="1">
        <v>2019</v>
      </c>
      <c r="P1092" s="1">
        <v>52000</v>
      </c>
      <c r="Q1092" s="1">
        <v>2019</v>
      </c>
      <c r="R1092" s="1" t="s">
        <v>46</v>
      </c>
      <c r="S1092" s="1">
        <v>1</v>
      </c>
      <c r="T1092" s="1">
        <v>1</v>
      </c>
      <c r="U1092" s="1" t="s">
        <v>6397</v>
      </c>
    </row>
    <row r="1093" spans="1:21" ht="17.149999999999999" hidden="1" customHeight="1">
      <c r="A1093" s="1" t="s">
        <v>6398</v>
      </c>
      <c r="B1093" s="1"/>
      <c r="C1093" s="1" t="s">
        <v>6399</v>
      </c>
      <c r="D1093" s="1"/>
      <c r="E1093" s="1"/>
      <c r="F1093" s="1"/>
      <c r="G1093" s="1"/>
      <c r="H1093" s="1" t="s">
        <v>128</v>
      </c>
      <c r="I1093" s="1" t="s">
        <v>3513</v>
      </c>
      <c r="J1093" s="1" t="s">
        <v>6400</v>
      </c>
      <c r="K1093" s="1" t="s">
        <v>6401</v>
      </c>
      <c r="L1093" s="1" t="s">
        <v>45</v>
      </c>
      <c r="M1093" s="1" t="s">
        <v>46</v>
      </c>
      <c r="N1093" s="1">
        <v>52000</v>
      </c>
      <c r="O1093" s="1">
        <v>2019</v>
      </c>
      <c r="P1093" s="1">
        <v>52000</v>
      </c>
      <c r="Q1093" s="1">
        <v>2019</v>
      </c>
      <c r="R1093" s="1" t="s">
        <v>46</v>
      </c>
      <c r="S1093" s="1">
        <v>1</v>
      </c>
      <c r="T1093" s="1">
        <v>1</v>
      </c>
      <c r="U1093" s="1" t="s">
        <v>6402</v>
      </c>
    </row>
    <row r="1094" spans="1:21" ht="17.149999999999999" hidden="1" customHeight="1">
      <c r="A1094" s="1" t="s">
        <v>6403</v>
      </c>
      <c r="B1094" s="1"/>
      <c r="C1094" s="1" t="s">
        <v>6404</v>
      </c>
      <c r="D1094" s="1"/>
      <c r="E1094" s="1"/>
      <c r="F1094" s="1"/>
      <c r="G1094" s="1"/>
      <c r="H1094" s="1" t="s">
        <v>1669</v>
      </c>
      <c r="I1094" s="1" t="s">
        <v>46</v>
      </c>
      <c r="J1094" s="1" t="s">
        <v>6405</v>
      </c>
      <c r="K1094" s="1" t="s">
        <v>6406</v>
      </c>
      <c r="L1094" s="1" t="s">
        <v>45</v>
      </c>
      <c r="M1094" s="1" t="s">
        <v>46</v>
      </c>
      <c r="N1094" s="1">
        <v>40000</v>
      </c>
      <c r="O1094" s="1">
        <v>2023</v>
      </c>
      <c r="P1094" s="1">
        <v>52000</v>
      </c>
      <c r="Q1094" s="1">
        <v>2023</v>
      </c>
      <c r="R1094" s="1" t="s">
        <v>46</v>
      </c>
      <c r="S1094" s="1">
        <v>1</v>
      </c>
      <c r="T1094" s="1" t="s">
        <v>46</v>
      </c>
      <c r="U1094" s="1" t="s">
        <v>6407</v>
      </c>
    </row>
    <row r="1095" spans="1:21" ht="17.149999999999999" hidden="1" customHeight="1">
      <c r="A1095" s="1" t="s">
        <v>6408</v>
      </c>
      <c r="B1095" s="1"/>
      <c r="C1095" s="1" t="s">
        <v>6409</v>
      </c>
      <c r="D1095" s="1"/>
      <c r="E1095" s="1"/>
      <c r="F1095" s="1"/>
      <c r="G1095" s="1"/>
      <c r="H1095" s="1" t="s">
        <v>249</v>
      </c>
      <c r="I1095" s="1" t="s">
        <v>2666</v>
      </c>
      <c r="J1095" s="1" t="s">
        <v>6410</v>
      </c>
      <c r="K1095" s="1" t="s">
        <v>6411</v>
      </c>
      <c r="L1095" s="1" t="s">
        <v>45</v>
      </c>
      <c r="M1095" s="1" t="s">
        <v>46</v>
      </c>
      <c r="N1095" s="1">
        <v>45469</v>
      </c>
      <c r="O1095" s="1">
        <v>2018</v>
      </c>
      <c r="P1095" s="1">
        <v>76486</v>
      </c>
      <c r="Q1095" s="1">
        <v>2018</v>
      </c>
      <c r="R1095" s="1" t="s">
        <v>46</v>
      </c>
      <c r="S1095" s="1">
        <v>1</v>
      </c>
      <c r="T1095" s="1" t="s">
        <v>46</v>
      </c>
      <c r="U1095" s="1" t="s">
        <v>6412</v>
      </c>
    </row>
    <row r="1096" spans="1:21" ht="17.149999999999999" hidden="1" customHeight="1">
      <c r="A1096" s="1" t="s">
        <v>6413</v>
      </c>
      <c r="B1096" s="1"/>
      <c r="C1096" s="1" t="s">
        <v>6414</v>
      </c>
      <c r="D1096" s="1"/>
      <c r="E1096" s="1"/>
      <c r="F1096" s="1"/>
      <c r="G1096" s="1"/>
      <c r="H1096" s="1" t="s">
        <v>128</v>
      </c>
      <c r="I1096" s="1" t="s">
        <v>6415</v>
      </c>
      <c r="J1096" s="1" t="s">
        <v>6415</v>
      </c>
      <c r="K1096" s="1" t="s">
        <v>6416</v>
      </c>
      <c r="L1096" s="1" t="s">
        <v>45</v>
      </c>
      <c r="M1096" s="1" t="s">
        <v>46</v>
      </c>
      <c r="N1096" s="1">
        <v>51850</v>
      </c>
      <c r="O1096" s="1">
        <v>2017</v>
      </c>
      <c r="P1096" s="1">
        <v>51850</v>
      </c>
      <c r="Q1096" s="1">
        <v>2017</v>
      </c>
      <c r="R1096" s="1" t="s">
        <v>46</v>
      </c>
      <c r="S1096" s="1">
        <v>1</v>
      </c>
      <c r="T1096" s="1">
        <v>1</v>
      </c>
      <c r="U1096" s="1" t="s">
        <v>6417</v>
      </c>
    </row>
    <row r="1097" spans="1:21" ht="17.149999999999999" hidden="1" customHeight="1">
      <c r="A1097" s="1" t="s">
        <v>6418</v>
      </c>
      <c r="B1097" s="1"/>
      <c r="C1097" s="1" t="s">
        <v>6419</v>
      </c>
      <c r="D1097" s="1"/>
      <c r="E1097" s="1"/>
      <c r="F1097" s="1"/>
      <c r="G1097" s="1"/>
      <c r="H1097" s="1" t="s">
        <v>249</v>
      </c>
      <c r="I1097" s="1" t="s">
        <v>3317</v>
      </c>
      <c r="J1097" s="1" t="s">
        <v>6420</v>
      </c>
      <c r="K1097" s="1" t="s">
        <v>6421</v>
      </c>
      <c r="L1097" s="1" t="s">
        <v>45</v>
      </c>
      <c r="M1097" s="1" t="s">
        <v>46</v>
      </c>
      <c r="N1097" s="1">
        <v>43015</v>
      </c>
      <c r="O1097" s="1">
        <v>2018</v>
      </c>
      <c r="P1097" s="1">
        <v>61072</v>
      </c>
      <c r="Q1097" s="1">
        <v>2018</v>
      </c>
      <c r="R1097" s="1" t="s">
        <v>46</v>
      </c>
      <c r="S1097" s="1">
        <v>1</v>
      </c>
      <c r="T1097" s="1">
        <v>1</v>
      </c>
      <c r="U1097" s="1" t="s">
        <v>6422</v>
      </c>
    </row>
    <row r="1098" spans="1:21" ht="17.149999999999999" hidden="1" customHeight="1">
      <c r="A1098" s="1" t="s">
        <v>6423</v>
      </c>
      <c r="B1098" s="1"/>
      <c r="C1098" s="1" t="s">
        <v>6424</v>
      </c>
      <c r="D1098" s="1"/>
      <c r="E1098" s="1"/>
      <c r="F1098" s="1"/>
      <c r="G1098" s="1"/>
      <c r="H1098" s="1" t="s">
        <v>128</v>
      </c>
      <c r="I1098" s="1" t="s">
        <v>5481</v>
      </c>
      <c r="J1098" s="1" t="s">
        <v>5482</v>
      </c>
      <c r="K1098" s="1" t="s">
        <v>6425</v>
      </c>
      <c r="L1098" s="1" t="s">
        <v>118</v>
      </c>
      <c r="M1098" s="1" t="s">
        <v>6426</v>
      </c>
      <c r="N1098" s="1">
        <v>57500</v>
      </c>
      <c r="O1098" s="1">
        <v>2016</v>
      </c>
      <c r="P1098" s="1">
        <v>51642</v>
      </c>
      <c r="Q1098" s="1">
        <v>2015</v>
      </c>
      <c r="R1098" s="1" t="s">
        <v>46</v>
      </c>
      <c r="S1098" s="1">
        <v>1</v>
      </c>
      <c r="T1098" s="1">
        <v>1</v>
      </c>
      <c r="U1098" s="1" t="s">
        <v>6427</v>
      </c>
    </row>
    <row r="1099" spans="1:21" ht="17.149999999999999" hidden="1" customHeight="1">
      <c r="A1099" s="1" t="s">
        <v>6428</v>
      </c>
      <c r="B1099" s="1"/>
      <c r="C1099" s="1" t="s">
        <v>6429</v>
      </c>
      <c r="D1099" s="1"/>
      <c r="E1099" s="1"/>
      <c r="F1099" s="1"/>
      <c r="G1099" s="1"/>
      <c r="H1099" s="1" t="s">
        <v>1669</v>
      </c>
      <c r="I1099" s="1" t="s">
        <v>46</v>
      </c>
      <c r="J1099" s="1" t="s">
        <v>6430</v>
      </c>
      <c r="K1099" s="1" t="s">
        <v>6431</v>
      </c>
      <c r="L1099" s="1" t="s">
        <v>45</v>
      </c>
      <c r="M1099" s="1" t="s">
        <v>46</v>
      </c>
      <c r="N1099" s="1">
        <v>9350</v>
      </c>
      <c r="O1099" s="1">
        <v>2017</v>
      </c>
      <c r="P1099" s="1">
        <v>51538</v>
      </c>
      <c r="Q1099" s="1">
        <v>2017</v>
      </c>
      <c r="R1099" s="1" t="s">
        <v>46</v>
      </c>
      <c r="S1099" s="1">
        <v>1</v>
      </c>
      <c r="T1099" s="1" t="s">
        <v>46</v>
      </c>
      <c r="U1099" s="1" t="s">
        <v>6432</v>
      </c>
    </row>
    <row r="1100" spans="1:21" ht="17.149999999999999" hidden="1" customHeight="1">
      <c r="A1100" s="1" t="s">
        <v>6433</v>
      </c>
      <c r="B1100" s="1"/>
      <c r="C1100" s="1" t="s">
        <v>6434</v>
      </c>
      <c r="D1100" s="1"/>
      <c r="E1100" s="1"/>
      <c r="F1100" s="1"/>
      <c r="G1100" s="1"/>
      <c r="H1100" s="1" t="s">
        <v>128</v>
      </c>
      <c r="I1100" s="1" t="s">
        <v>3513</v>
      </c>
      <c r="J1100" s="1" t="s">
        <v>6435</v>
      </c>
      <c r="K1100" s="1" t="s">
        <v>6436</v>
      </c>
      <c r="L1100" s="1" t="s">
        <v>45</v>
      </c>
      <c r="M1100" s="1" t="s">
        <v>46</v>
      </c>
      <c r="N1100" s="1">
        <v>64000</v>
      </c>
      <c r="O1100" s="1">
        <v>2019</v>
      </c>
      <c r="P1100" s="1">
        <v>51522</v>
      </c>
      <c r="Q1100" s="1">
        <v>2015</v>
      </c>
      <c r="R1100" s="1" t="s">
        <v>46</v>
      </c>
      <c r="S1100" s="1">
        <v>1</v>
      </c>
      <c r="T1100" s="1">
        <v>1</v>
      </c>
      <c r="U1100" s="1" t="s">
        <v>6437</v>
      </c>
    </row>
    <row r="1101" spans="1:21" ht="17.149999999999999" hidden="1" customHeight="1">
      <c r="A1101" s="1" t="s">
        <v>6438</v>
      </c>
      <c r="B1101" s="1"/>
      <c r="C1101" s="1" t="s">
        <v>6439</v>
      </c>
      <c r="D1101" s="1"/>
      <c r="E1101" s="1"/>
      <c r="F1101" s="1"/>
      <c r="G1101" s="1"/>
      <c r="H1101" s="1" t="s">
        <v>640</v>
      </c>
      <c r="I1101" s="1" t="s">
        <v>46</v>
      </c>
      <c r="J1101" s="1" t="s">
        <v>6440</v>
      </c>
      <c r="K1101" s="1" t="s">
        <v>6441</v>
      </c>
      <c r="L1101" s="1" t="s">
        <v>45</v>
      </c>
      <c r="M1101" s="1" t="s">
        <v>46</v>
      </c>
      <c r="N1101" s="1">
        <v>51513</v>
      </c>
      <c r="O1101" s="1">
        <v>2016</v>
      </c>
      <c r="P1101" s="1">
        <v>51513</v>
      </c>
      <c r="Q1101" s="1">
        <v>2016</v>
      </c>
      <c r="R1101" s="1" t="s">
        <v>46</v>
      </c>
      <c r="S1101" s="1">
        <v>1</v>
      </c>
      <c r="T1101" s="1">
        <v>1</v>
      </c>
      <c r="U1101" s="1" t="s">
        <v>6442</v>
      </c>
    </row>
    <row r="1102" spans="1:21" ht="17.149999999999999" hidden="1" customHeight="1">
      <c r="A1102" s="1" t="s">
        <v>6443</v>
      </c>
      <c r="B1102" s="1"/>
      <c r="C1102" s="1" t="s">
        <v>6444</v>
      </c>
      <c r="D1102" s="1"/>
      <c r="E1102" s="1"/>
      <c r="F1102" s="1"/>
      <c r="G1102" s="1"/>
      <c r="H1102" s="1" t="s">
        <v>249</v>
      </c>
      <c r="I1102" s="1" t="s">
        <v>2610</v>
      </c>
      <c r="J1102" s="1" t="s">
        <v>6445</v>
      </c>
      <c r="K1102" s="1" t="s">
        <v>6446</v>
      </c>
      <c r="L1102" s="1" t="s">
        <v>45</v>
      </c>
      <c r="M1102" s="1" t="s">
        <v>46</v>
      </c>
      <c r="N1102" s="1">
        <v>42968</v>
      </c>
      <c r="O1102" s="1">
        <v>2018</v>
      </c>
      <c r="P1102" s="1">
        <v>51467</v>
      </c>
      <c r="Q1102" s="1">
        <v>2018</v>
      </c>
      <c r="R1102" s="1" t="s">
        <v>46</v>
      </c>
      <c r="S1102" s="1">
        <v>1</v>
      </c>
      <c r="T1102" s="1" t="s">
        <v>46</v>
      </c>
      <c r="U1102" s="1" t="s">
        <v>6447</v>
      </c>
    </row>
    <row r="1103" spans="1:21" ht="17.149999999999999" hidden="1" customHeight="1">
      <c r="A1103" s="1" t="s">
        <v>6448</v>
      </c>
      <c r="B1103" s="1"/>
      <c r="C1103" s="1" t="s">
        <v>6449</v>
      </c>
      <c r="D1103" s="1"/>
      <c r="E1103" s="1"/>
      <c r="F1103" s="1"/>
      <c r="G1103" s="1"/>
      <c r="H1103" s="1" t="s">
        <v>249</v>
      </c>
      <c r="I1103" s="1" t="s">
        <v>6384</v>
      </c>
      <c r="J1103" s="1" t="s">
        <v>6450</v>
      </c>
      <c r="K1103" s="1" t="s">
        <v>6451</v>
      </c>
      <c r="L1103" s="1" t="s">
        <v>45</v>
      </c>
      <c r="M1103" s="1" t="s">
        <v>46</v>
      </c>
      <c r="N1103" s="1">
        <v>42541</v>
      </c>
      <c r="O1103" s="1">
        <v>2018</v>
      </c>
      <c r="P1103" s="1">
        <v>55382</v>
      </c>
      <c r="Q1103" s="1">
        <v>2018</v>
      </c>
      <c r="R1103" s="1" t="s">
        <v>46</v>
      </c>
      <c r="S1103" s="1">
        <v>1</v>
      </c>
      <c r="T1103" s="1" t="s">
        <v>46</v>
      </c>
      <c r="U1103" s="1" t="s">
        <v>6452</v>
      </c>
    </row>
    <row r="1104" spans="1:21" ht="17.149999999999999" hidden="1" customHeight="1">
      <c r="A1104" s="1" t="s">
        <v>6453</v>
      </c>
      <c r="B1104" s="1"/>
      <c r="C1104" s="1" t="s">
        <v>6454</v>
      </c>
      <c r="D1104" s="1"/>
      <c r="E1104" s="1"/>
      <c r="F1104" s="1"/>
      <c r="G1104" s="1"/>
      <c r="H1104" s="1" t="s">
        <v>1669</v>
      </c>
      <c r="I1104" s="1" t="s">
        <v>46</v>
      </c>
      <c r="J1104" s="1" t="s">
        <v>6455</v>
      </c>
      <c r="K1104" s="1" t="s">
        <v>6456</v>
      </c>
      <c r="L1104" s="1" t="s">
        <v>45</v>
      </c>
      <c r="M1104" s="1" t="s">
        <v>46</v>
      </c>
      <c r="N1104" s="1">
        <v>48163</v>
      </c>
      <c r="O1104" s="1">
        <v>2017</v>
      </c>
      <c r="P1104" s="1">
        <v>51460</v>
      </c>
      <c r="Q1104" s="1">
        <v>2017</v>
      </c>
      <c r="R1104" s="1" t="s">
        <v>46</v>
      </c>
      <c r="S1104" s="1">
        <v>1</v>
      </c>
      <c r="T1104" s="1" t="s">
        <v>46</v>
      </c>
      <c r="U1104" s="1" t="s">
        <v>6457</v>
      </c>
    </row>
    <row r="1105" spans="1:41" ht="17.149999999999999" hidden="1" customHeight="1">
      <c r="A1105" s="1" t="s">
        <v>6458</v>
      </c>
      <c r="B1105" s="1"/>
      <c r="C1105" s="1" t="s">
        <v>6459</v>
      </c>
      <c r="D1105" s="1"/>
      <c r="E1105" s="1"/>
      <c r="F1105" s="1"/>
      <c r="G1105" s="1"/>
      <c r="H1105" s="1" t="s">
        <v>177</v>
      </c>
      <c r="I1105" s="1" t="s">
        <v>3474</v>
      </c>
      <c r="J1105" s="1" t="s">
        <v>5510</v>
      </c>
      <c r="K1105" s="1" t="s">
        <v>6460</v>
      </c>
      <c r="L1105" s="1" t="s">
        <v>118</v>
      </c>
      <c r="M1105" s="1" t="s">
        <v>6461</v>
      </c>
      <c r="N1105" s="1">
        <v>48477</v>
      </c>
      <c r="O1105" s="1">
        <v>2018</v>
      </c>
      <c r="P1105" s="1">
        <v>51305</v>
      </c>
      <c r="Q1105" s="1">
        <v>2015</v>
      </c>
      <c r="R1105" s="1" t="s">
        <v>46</v>
      </c>
      <c r="S1105" s="1">
        <v>1</v>
      </c>
      <c r="T1105" s="1">
        <v>1</v>
      </c>
      <c r="U1105" s="1" t="s">
        <v>6462</v>
      </c>
    </row>
    <row r="1106" spans="1:41" ht="17.149999999999999" hidden="1" customHeight="1">
      <c r="A1106" s="1" t="s">
        <v>6463</v>
      </c>
      <c r="B1106" s="1"/>
      <c r="C1106" s="1" t="s">
        <v>6464</v>
      </c>
      <c r="D1106" s="1"/>
      <c r="E1106" s="1"/>
      <c r="F1106" s="1"/>
      <c r="G1106" s="1"/>
      <c r="H1106" s="1" t="s">
        <v>1367</v>
      </c>
      <c r="I1106" s="1" t="s">
        <v>46</v>
      </c>
      <c r="J1106" s="1" t="s">
        <v>6465</v>
      </c>
      <c r="K1106" s="1" t="s">
        <v>6466</v>
      </c>
      <c r="L1106" s="1" t="s">
        <v>45</v>
      </c>
      <c r="M1106" s="1" t="s">
        <v>46</v>
      </c>
      <c r="N1106" s="1">
        <v>58029</v>
      </c>
      <c r="O1106" s="1">
        <v>2017</v>
      </c>
      <c r="P1106" s="1">
        <v>51077</v>
      </c>
      <c r="Q1106" s="1">
        <v>2017</v>
      </c>
      <c r="R1106" s="1" t="s">
        <v>46</v>
      </c>
      <c r="S1106" s="1">
        <v>1</v>
      </c>
      <c r="T1106" s="1">
        <v>1</v>
      </c>
      <c r="U1106" s="1" t="s">
        <v>6467</v>
      </c>
    </row>
    <row r="1107" spans="1:41" ht="17.149999999999999" hidden="1" customHeight="1">
      <c r="A1107" s="1" t="s">
        <v>6468</v>
      </c>
      <c r="B1107" s="1"/>
      <c r="C1107" s="1" t="s">
        <v>6469</v>
      </c>
      <c r="D1107" s="1"/>
      <c r="E1107" s="1"/>
      <c r="F1107" s="1"/>
      <c r="G1107" s="1"/>
      <c r="H1107" s="1" t="s">
        <v>249</v>
      </c>
      <c r="I1107" s="1" t="s">
        <v>2102</v>
      </c>
      <c r="J1107" s="1" t="s">
        <v>6469</v>
      </c>
      <c r="K1107" s="1" t="s">
        <v>6078</v>
      </c>
      <c r="L1107" s="1" t="s">
        <v>45</v>
      </c>
      <c r="M1107" s="1" t="s">
        <v>46</v>
      </c>
      <c r="N1107" s="1">
        <v>38490</v>
      </c>
      <c r="O1107" s="1">
        <v>2018</v>
      </c>
      <c r="P1107" s="1">
        <v>76980</v>
      </c>
      <c r="Q1107" s="1">
        <v>2018</v>
      </c>
      <c r="R1107" s="1" t="s">
        <v>46</v>
      </c>
      <c r="S1107" s="1">
        <v>1</v>
      </c>
      <c r="T1107" s="1" t="s">
        <v>46</v>
      </c>
      <c r="U1107" s="1" t="s">
        <v>6470</v>
      </c>
    </row>
    <row r="1108" spans="1:41" ht="17.149999999999999" hidden="1" customHeight="1">
      <c r="A1108" s="1" t="s">
        <v>6471</v>
      </c>
      <c r="B1108" s="1"/>
      <c r="C1108" s="1" t="s">
        <v>6472</v>
      </c>
      <c r="D1108" s="1"/>
      <c r="E1108" s="1"/>
      <c r="F1108" s="1"/>
      <c r="G1108" s="1"/>
      <c r="H1108" s="1" t="s">
        <v>177</v>
      </c>
      <c r="I1108" s="1" t="s">
        <v>486</v>
      </c>
      <c r="J1108" s="1" t="s">
        <v>487</v>
      </c>
      <c r="K1108" s="1" t="s">
        <v>6473</v>
      </c>
      <c r="L1108" s="1" t="s">
        <v>45</v>
      </c>
      <c r="M1108" s="1" t="s">
        <v>46</v>
      </c>
      <c r="N1108" s="1" t="s">
        <v>46</v>
      </c>
      <c r="O1108" s="1" t="s">
        <v>46</v>
      </c>
      <c r="P1108" s="1">
        <v>51000</v>
      </c>
      <c r="Q1108" s="1">
        <v>2015</v>
      </c>
      <c r="R1108" s="1" t="s">
        <v>46</v>
      </c>
      <c r="S1108" s="1">
        <v>1</v>
      </c>
      <c r="T1108" s="1">
        <v>1</v>
      </c>
      <c r="U1108" s="1" t="s">
        <v>6474</v>
      </c>
    </row>
    <row r="1109" spans="1:41" ht="17.149999999999999" hidden="1" customHeight="1">
      <c r="A1109" s="1" t="s">
        <v>6475</v>
      </c>
      <c r="B1109" s="1"/>
      <c r="C1109" s="1" t="s">
        <v>6476</v>
      </c>
      <c r="D1109" s="1"/>
      <c r="E1109" s="1"/>
      <c r="F1109" s="1"/>
      <c r="G1109" s="1"/>
      <c r="H1109" s="1" t="s">
        <v>110</v>
      </c>
      <c r="I1109" s="1" t="s">
        <v>46</v>
      </c>
      <c r="J1109" s="1" t="s">
        <v>6477</v>
      </c>
      <c r="K1109" s="1" t="s">
        <v>6478</v>
      </c>
      <c r="L1109" s="1" t="s">
        <v>45</v>
      </c>
      <c r="M1109" s="1" t="s">
        <v>46</v>
      </c>
      <c r="N1109" s="1">
        <v>50916</v>
      </c>
      <c r="O1109" s="1">
        <v>2015</v>
      </c>
      <c r="P1109" s="1">
        <v>50916</v>
      </c>
      <c r="Q1109" s="1">
        <v>2015</v>
      </c>
      <c r="R1109" s="1" t="s">
        <v>46</v>
      </c>
      <c r="S1109" s="1">
        <v>1</v>
      </c>
      <c r="T1109" s="1">
        <v>1</v>
      </c>
      <c r="U1109" s="1" t="s">
        <v>6479</v>
      </c>
    </row>
    <row r="1110" spans="1:41" ht="17.149999999999999" hidden="1" customHeight="1">
      <c r="A1110" s="1" t="s">
        <v>6480</v>
      </c>
      <c r="B1110" s="1"/>
      <c r="C1110" s="1" t="s">
        <v>6481</v>
      </c>
      <c r="D1110" s="1"/>
      <c r="E1110" s="1"/>
      <c r="F1110" s="1"/>
      <c r="G1110" s="1"/>
      <c r="H1110" s="1" t="s">
        <v>1669</v>
      </c>
      <c r="I1110" s="1" t="s">
        <v>46</v>
      </c>
      <c r="J1110" s="1" t="s">
        <v>6482</v>
      </c>
      <c r="K1110" s="1" t="s">
        <v>6483</v>
      </c>
      <c r="L1110" s="1" t="s">
        <v>45</v>
      </c>
      <c r="M1110" s="1" t="s">
        <v>46</v>
      </c>
      <c r="N1110" s="1" t="s">
        <v>46</v>
      </c>
      <c r="O1110" s="1" t="s">
        <v>46</v>
      </c>
      <c r="P1110" s="1">
        <v>50868</v>
      </c>
      <c r="Q1110" s="1">
        <v>2017</v>
      </c>
      <c r="R1110" s="1" t="s">
        <v>46</v>
      </c>
      <c r="S1110" s="1">
        <v>1</v>
      </c>
      <c r="T1110" s="1" t="s">
        <v>46</v>
      </c>
      <c r="U1110" s="1" t="s">
        <v>6484</v>
      </c>
    </row>
    <row r="1111" spans="1:41" ht="17.149999999999999" hidden="1" customHeight="1">
      <c r="A1111" s="1" t="s">
        <v>6485</v>
      </c>
      <c r="B1111" s="1"/>
      <c r="C1111" s="1" t="s">
        <v>6486</v>
      </c>
      <c r="D1111" s="1"/>
      <c r="E1111" s="1"/>
      <c r="F1111" s="1"/>
      <c r="G1111" s="1"/>
      <c r="H1111" s="1" t="s">
        <v>1753</v>
      </c>
      <c r="I1111" s="1" t="s">
        <v>46</v>
      </c>
      <c r="J1111" s="1" t="s">
        <v>6487</v>
      </c>
      <c r="K1111" s="1" t="s">
        <v>6488</v>
      </c>
      <c r="L1111" s="1" t="s">
        <v>45</v>
      </c>
      <c r="M1111" s="1" t="s">
        <v>46</v>
      </c>
      <c r="N1111" s="1">
        <v>67890</v>
      </c>
      <c r="O1111" s="1">
        <v>2015</v>
      </c>
      <c r="P1111" s="1">
        <v>50843</v>
      </c>
      <c r="Q1111" s="1">
        <v>2015</v>
      </c>
      <c r="R1111" s="1" t="s">
        <v>46</v>
      </c>
      <c r="S1111" s="1">
        <v>1</v>
      </c>
      <c r="T1111" s="1" t="s">
        <v>46</v>
      </c>
      <c r="U1111" s="1" t="s">
        <v>6489</v>
      </c>
    </row>
    <row r="1112" spans="1:41" s="42" customFormat="1" ht="17.149999999999999" customHeight="1">
      <c r="A1112" s="1" t="s">
        <v>1256</v>
      </c>
      <c r="B1112" s="1" t="s">
        <v>1198</v>
      </c>
      <c r="C1112" s="1" t="s">
        <v>6490</v>
      </c>
      <c r="D1112" s="1" t="s">
        <v>1200</v>
      </c>
      <c r="E1112" s="1" t="s">
        <v>6491</v>
      </c>
      <c r="F1112" s="1" t="s">
        <v>1202</v>
      </c>
      <c r="G1112" s="1" t="s">
        <v>40</v>
      </c>
      <c r="H1112" s="1" t="s">
        <v>1203</v>
      </c>
      <c r="I1112" s="1"/>
      <c r="J1112" s="1" t="s">
        <v>1204</v>
      </c>
      <c r="K1112" s="1"/>
      <c r="L1112" s="1"/>
      <c r="M1112" s="1"/>
      <c r="N1112" s="1"/>
      <c r="O1112" s="1"/>
      <c r="P1112" s="1">
        <v>1400000</v>
      </c>
      <c r="Q1112" s="1">
        <v>2025</v>
      </c>
      <c r="R1112" s="1">
        <v>1</v>
      </c>
      <c r="S1112" s="1"/>
      <c r="T1112" s="1"/>
      <c r="U1112" s="34" t="s">
        <v>6492</v>
      </c>
      <c r="V1112" s="2"/>
      <c r="W1112" s="2" t="s">
        <v>411</v>
      </c>
      <c r="X1112" s="2" t="s">
        <v>40</v>
      </c>
      <c r="Y1112" s="2"/>
      <c r="Z1112" s="2">
        <v>26</v>
      </c>
      <c r="AA1112" s="2"/>
      <c r="AB1112" s="2"/>
      <c r="AC1112" s="18"/>
      <c r="AD1112" s="18"/>
      <c r="AE1112" s="2">
        <v>1</v>
      </c>
      <c r="AF1112" s="2" t="s">
        <v>1263</v>
      </c>
      <c r="AG1112" s="2"/>
      <c r="AH1112" s="2"/>
      <c r="AI1112" s="2"/>
      <c r="AJ1112" s="2" t="s">
        <v>57</v>
      </c>
      <c r="AK1112" s="2"/>
      <c r="AL1112" s="2"/>
      <c r="AM1112" s="2"/>
      <c r="AN1112" s="2"/>
      <c r="AO1112" s="2"/>
    </row>
    <row r="1113" spans="1:41" ht="17.149999999999999" hidden="1" customHeight="1">
      <c r="A1113" s="1" t="s">
        <v>6493</v>
      </c>
      <c r="B1113" s="1"/>
      <c r="C1113" s="1" t="s">
        <v>6494</v>
      </c>
      <c r="D1113" s="1"/>
      <c r="E1113" s="1"/>
      <c r="F1113" s="1"/>
      <c r="G1113" s="1"/>
      <c r="H1113" s="1" t="s">
        <v>249</v>
      </c>
      <c r="I1113" s="1" t="s">
        <v>5406</v>
      </c>
      <c r="J1113" s="1" t="s">
        <v>6495</v>
      </c>
      <c r="K1113" s="1" t="s">
        <v>6496</v>
      </c>
      <c r="L1113" s="1" t="s">
        <v>45</v>
      </c>
      <c r="M1113" s="1" t="s">
        <v>46</v>
      </c>
      <c r="N1113" s="1">
        <v>35736</v>
      </c>
      <c r="O1113" s="1">
        <v>2018</v>
      </c>
      <c r="P1113" s="1">
        <v>64318</v>
      </c>
      <c r="Q1113" s="1">
        <v>2018</v>
      </c>
      <c r="R1113" s="1" t="s">
        <v>46</v>
      </c>
      <c r="S1113" s="1">
        <v>1</v>
      </c>
      <c r="T1113" s="1" t="s">
        <v>46</v>
      </c>
      <c r="U1113" s="1" t="s">
        <v>6497</v>
      </c>
    </row>
    <row r="1114" spans="1:41" ht="17.149999999999999" customHeight="1">
      <c r="A1114" s="14" t="s">
        <v>6498</v>
      </c>
      <c r="B1114" s="14" t="s">
        <v>37</v>
      </c>
      <c r="C1114" s="56" t="s">
        <v>6499</v>
      </c>
      <c r="D1114" t="s">
        <v>6500</v>
      </c>
      <c r="E1114" t="s">
        <v>6501</v>
      </c>
      <c r="F1114" s="17" t="s">
        <v>62</v>
      </c>
      <c r="G1114" s="61" t="s">
        <v>40</v>
      </c>
      <c r="H1114" s="14" t="s">
        <v>41</v>
      </c>
      <c r="I1114" s="14" t="s">
        <v>42</v>
      </c>
      <c r="J1114" s="49" t="s">
        <v>6502</v>
      </c>
      <c r="K1114" s="14" t="s">
        <v>6503</v>
      </c>
      <c r="L1114" s="14" t="s">
        <v>45</v>
      </c>
      <c r="M1114" s="14" t="s">
        <v>46</v>
      </c>
      <c r="N1114" s="14" t="s">
        <v>46</v>
      </c>
      <c r="O1114" s="14" t="s">
        <v>46</v>
      </c>
      <c r="P1114" s="29">
        <v>50659</v>
      </c>
      <c r="Q1114" s="16">
        <v>2023</v>
      </c>
      <c r="R1114" s="14" t="s">
        <v>46</v>
      </c>
      <c r="S1114" s="14">
        <v>1</v>
      </c>
      <c r="T1114" s="14">
        <v>1</v>
      </c>
      <c r="U1114" s="14" t="s">
        <v>6504</v>
      </c>
      <c r="V1114" s="6" t="s">
        <v>40</v>
      </c>
      <c r="W1114" s="6" t="s">
        <v>48</v>
      </c>
      <c r="X1114" s="6" t="s">
        <v>40</v>
      </c>
      <c r="Y1114" s="6" t="s">
        <v>412</v>
      </c>
      <c r="Z1114" s="6" t="s">
        <v>1538</v>
      </c>
      <c r="AA1114" s="6" t="s">
        <v>6505</v>
      </c>
      <c r="AB1114" s="6"/>
      <c r="AC1114" s="5" t="s">
        <v>6506</v>
      </c>
      <c r="AD1114" s="6" t="s">
        <v>40</v>
      </c>
      <c r="AE1114" s="2">
        <v>3</v>
      </c>
      <c r="AF1114" t="s">
        <v>53</v>
      </c>
      <c r="AJ1114" s="123"/>
    </row>
    <row r="1115" spans="1:41" ht="17.149999999999999" hidden="1" customHeight="1">
      <c r="A1115" s="1" t="s">
        <v>6507</v>
      </c>
      <c r="B1115" s="1"/>
      <c r="C1115" s="1" t="s">
        <v>6508</v>
      </c>
      <c r="D1115" s="1"/>
      <c r="E1115" s="1"/>
      <c r="F1115" s="1"/>
      <c r="G1115" s="1"/>
      <c r="H1115" s="1" t="s">
        <v>640</v>
      </c>
      <c r="I1115" s="1" t="s">
        <v>46</v>
      </c>
      <c r="J1115" s="1" t="s">
        <v>6509</v>
      </c>
      <c r="K1115" s="1" t="s">
        <v>6510</v>
      </c>
      <c r="L1115" s="1" t="s">
        <v>45</v>
      </c>
      <c r="M1115" s="1" t="s">
        <v>46</v>
      </c>
      <c r="N1115" s="1">
        <v>50487</v>
      </c>
      <c r="O1115" s="1">
        <v>2016</v>
      </c>
      <c r="P1115" s="1">
        <v>50487</v>
      </c>
      <c r="Q1115" s="1">
        <v>2016</v>
      </c>
      <c r="R1115" s="1" t="s">
        <v>46</v>
      </c>
      <c r="S1115" s="1">
        <v>1</v>
      </c>
      <c r="T1115" s="1">
        <v>1</v>
      </c>
      <c r="U1115" s="1" t="s">
        <v>6511</v>
      </c>
    </row>
    <row r="1116" spans="1:41" ht="17.149999999999999" hidden="1" customHeight="1">
      <c r="A1116" s="1" t="s">
        <v>6512</v>
      </c>
      <c r="B1116" s="1"/>
      <c r="C1116" s="1" t="s">
        <v>6513</v>
      </c>
      <c r="D1116" s="1"/>
      <c r="E1116" s="1"/>
      <c r="F1116" s="1"/>
      <c r="G1116" s="1"/>
      <c r="H1116" s="1" t="s">
        <v>249</v>
      </c>
      <c r="I1116" s="1" t="s">
        <v>2378</v>
      </c>
      <c r="J1116" s="1" t="s">
        <v>6514</v>
      </c>
      <c r="K1116" s="1" t="s">
        <v>6515</v>
      </c>
      <c r="L1116" s="1" t="s">
        <v>45</v>
      </c>
      <c r="M1116" s="1" t="s">
        <v>46</v>
      </c>
      <c r="N1116" s="1">
        <v>33386</v>
      </c>
      <c r="O1116" s="1">
        <v>2018</v>
      </c>
      <c r="P1116" s="1">
        <v>91499</v>
      </c>
      <c r="Q1116" s="1">
        <v>2018</v>
      </c>
      <c r="R1116" s="1" t="s">
        <v>46</v>
      </c>
      <c r="S1116" s="1">
        <v>1</v>
      </c>
      <c r="T1116" s="1" t="s">
        <v>46</v>
      </c>
      <c r="U1116" s="1" t="s">
        <v>6516</v>
      </c>
    </row>
    <row r="1117" spans="1:41" ht="17.149999999999999" hidden="1" customHeight="1">
      <c r="A1117" s="1" t="s">
        <v>6517</v>
      </c>
      <c r="B1117" s="1"/>
      <c r="C1117" s="141" t="s">
        <v>6518</v>
      </c>
      <c r="D1117" s="1"/>
      <c r="E1117" s="1"/>
      <c r="F1117" s="1"/>
      <c r="G1117" s="1"/>
      <c r="H1117" s="1" t="s">
        <v>249</v>
      </c>
      <c r="I1117" s="1" t="s">
        <v>5406</v>
      </c>
      <c r="J1117" s="1" t="s">
        <v>5870</v>
      </c>
      <c r="K1117" s="1" t="s">
        <v>6519</v>
      </c>
      <c r="L1117" s="1" t="s">
        <v>45</v>
      </c>
      <c r="M1117" s="1" t="s">
        <v>46</v>
      </c>
      <c r="N1117" s="1">
        <v>31357</v>
      </c>
      <c r="O1117" s="1">
        <v>2018</v>
      </c>
      <c r="P1117" s="1">
        <v>166540</v>
      </c>
      <c r="Q1117" s="1">
        <v>2018</v>
      </c>
      <c r="R1117" s="1" t="s">
        <v>46</v>
      </c>
      <c r="S1117" s="1">
        <v>1</v>
      </c>
      <c r="T1117" s="1">
        <v>1</v>
      </c>
      <c r="U1117" s="1" t="s">
        <v>6520</v>
      </c>
      <c r="V1117" s="2" t="s">
        <v>6521</v>
      </c>
      <c r="AC1117" s="2" t="s">
        <v>6522</v>
      </c>
    </row>
    <row r="1118" spans="1:41" ht="17.149999999999999" hidden="1" customHeight="1">
      <c r="A1118" s="1" t="s">
        <v>6523</v>
      </c>
      <c r="B1118" s="1"/>
      <c r="C1118" s="1" t="s">
        <v>6524</v>
      </c>
      <c r="D1118" s="1"/>
      <c r="E1118" s="1"/>
      <c r="F1118" s="1"/>
      <c r="G1118" s="1"/>
      <c r="H1118" s="1" t="s">
        <v>1669</v>
      </c>
      <c r="I1118" s="1" t="s">
        <v>46</v>
      </c>
      <c r="J1118" s="1" t="s">
        <v>6525</v>
      </c>
      <c r="K1118" s="1" t="s">
        <v>6526</v>
      </c>
      <c r="L1118" s="1" t="s">
        <v>45</v>
      </c>
      <c r="M1118" s="1" t="s">
        <v>46</v>
      </c>
      <c r="N1118" s="1">
        <v>28500</v>
      </c>
      <c r="O1118" s="1">
        <v>2017</v>
      </c>
      <c r="P1118" s="1">
        <v>50287</v>
      </c>
      <c r="Q1118" s="1">
        <v>2017</v>
      </c>
      <c r="R1118" s="1" t="s">
        <v>46</v>
      </c>
      <c r="S1118" s="1">
        <v>1</v>
      </c>
      <c r="T1118" s="1" t="s">
        <v>46</v>
      </c>
      <c r="U1118" s="1" t="s">
        <v>6527</v>
      </c>
    </row>
    <row r="1119" spans="1:41" ht="17.149999999999999" hidden="1" customHeight="1">
      <c r="A1119" s="1" t="s">
        <v>6528</v>
      </c>
      <c r="B1119" s="1"/>
      <c r="C1119" s="1" t="s">
        <v>6529</v>
      </c>
      <c r="D1119" s="1"/>
      <c r="E1119" s="1"/>
      <c r="F1119" s="1"/>
      <c r="G1119" s="1"/>
      <c r="H1119" s="1" t="s">
        <v>249</v>
      </c>
      <c r="I1119" s="1" t="s">
        <v>1747</v>
      </c>
      <c r="J1119" s="1" t="s">
        <v>6530</v>
      </c>
      <c r="K1119" s="1" t="s">
        <v>6531</v>
      </c>
      <c r="L1119" s="1" t="s">
        <v>45</v>
      </c>
      <c r="M1119" s="1" t="s">
        <v>46</v>
      </c>
      <c r="N1119" s="1">
        <v>31093</v>
      </c>
      <c r="O1119" s="1">
        <v>2018</v>
      </c>
      <c r="P1119" s="1">
        <v>50421</v>
      </c>
      <c r="Q1119" s="1">
        <v>2018</v>
      </c>
      <c r="R1119" s="1" t="s">
        <v>46</v>
      </c>
      <c r="S1119" s="1">
        <v>1</v>
      </c>
      <c r="T1119" s="1" t="s">
        <v>46</v>
      </c>
      <c r="U1119" s="1" t="s">
        <v>6532</v>
      </c>
    </row>
    <row r="1120" spans="1:41" ht="17.149999999999999" hidden="1" customHeight="1">
      <c r="A1120" s="1" t="s">
        <v>6533</v>
      </c>
      <c r="B1120" s="1"/>
      <c r="C1120" s="1" t="s">
        <v>6534</v>
      </c>
      <c r="D1120" s="1"/>
      <c r="E1120" s="1"/>
      <c r="F1120" s="1"/>
      <c r="G1120" s="1"/>
      <c r="H1120" s="1" t="s">
        <v>567</v>
      </c>
      <c r="I1120" s="1" t="s">
        <v>46</v>
      </c>
      <c r="J1120" s="1" t="s">
        <v>6535</v>
      </c>
      <c r="K1120" s="1" t="s">
        <v>6536</v>
      </c>
      <c r="L1120" s="1" t="s">
        <v>45</v>
      </c>
      <c r="M1120" s="1" t="s">
        <v>46</v>
      </c>
      <c r="N1120" s="1" t="s">
        <v>46</v>
      </c>
      <c r="O1120" s="1" t="s">
        <v>46</v>
      </c>
      <c r="P1120" s="1">
        <v>50000</v>
      </c>
      <c r="Q1120" s="1">
        <v>2019</v>
      </c>
      <c r="R1120" s="1" t="s">
        <v>46</v>
      </c>
      <c r="S1120" s="1">
        <v>1</v>
      </c>
      <c r="T1120" s="1">
        <v>1</v>
      </c>
      <c r="U1120" s="1" t="s">
        <v>6537</v>
      </c>
    </row>
    <row r="1121" spans="1:36" ht="17.149999999999999" hidden="1" customHeight="1">
      <c r="A1121" s="1" t="s">
        <v>6538</v>
      </c>
      <c r="B1121" s="1"/>
      <c r="C1121" s="1" t="s">
        <v>6539</v>
      </c>
      <c r="D1121" s="1"/>
      <c r="E1121" s="1"/>
      <c r="F1121" s="1"/>
      <c r="G1121" s="1"/>
      <c r="H1121" s="1" t="s">
        <v>177</v>
      </c>
      <c r="I1121" s="1" t="s">
        <v>3007</v>
      </c>
      <c r="J1121" s="1" t="s">
        <v>6540</v>
      </c>
      <c r="K1121" s="1" t="s">
        <v>6541</v>
      </c>
      <c r="L1121" s="1" t="s">
        <v>118</v>
      </c>
      <c r="M1121" s="1" t="s">
        <v>3296</v>
      </c>
      <c r="N1121" s="1">
        <v>50000</v>
      </c>
      <c r="O1121" s="1">
        <v>2015</v>
      </c>
      <c r="P1121" s="1">
        <v>50000</v>
      </c>
      <c r="Q1121" s="1">
        <v>2015</v>
      </c>
      <c r="R1121" s="1" t="s">
        <v>46</v>
      </c>
      <c r="S1121" s="1">
        <v>1</v>
      </c>
      <c r="T1121" s="1">
        <v>1</v>
      </c>
      <c r="U1121" s="1" t="s">
        <v>6542</v>
      </c>
    </row>
    <row r="1122" spans="1:36" ht="17.149999999999999" hidden="1" customHeight="1">
      <c r="A1122" s="1" t="s">
        <v>6543</v>
      </c>
      <c r="B1122" s="1"/>
      <c r="C1122" s="1" t="s">
        <v>6544</v>
      </c>
      <c r="D1122" s="1"/>
      <c r="E1122" s="1"/>
      <c r="F1122" s="1"/>
      <c r="G1122" s="1"/>
      <c r="H1122" s="1" t="s">
        <v>177</v>
      </c>
      <c r="I1122" s="1" t="s">
        <v>2395</v>
      </c>
      <c r="J1122" s="1" t="s">
        <v>6545</v>
      </c>
      <c r="K1122" s="1" t="s">
        <v>6546</v>
      </c>
      <c r="L1122" s="1" t="s">
        <v>45</v>
      </c>
      <c r="M1122" s="1" t="s">
        <v>46</v>
      </c>
      <c r="N1122" s="1">
        <v>50000</v>
      </c>
      <c r="O1122" s="1">
        <v>2019</v>
      </c>
      <c r="P1122" s="1">
        <v>50000</v>
      </c>
      <c r="Q1122" s="1">
        <v>2019</v>
      </c>
      <c r="R1122" s="1" t="s">
        <v>46</v>
      </c>
      <c r="S1122" s="1">
        <v>1</v>
      </c>
      <c r="T1122" s="1" t="s">
        <v>46</v>
      </c>
      <c r="U1122" s="1" t="s">
        <v>6547</v>
      </c>
    </row>
    <row r="1123" spans="1:36" ht="17.149999999999999" hidden="1" customHeight="1">
      <c r="A1123" s="1" t="s">
        <v>6548</v>
      </c>
      <c r="B1123" s="1"/>
      <c r="C1123" s="1" t="s">
        <v>6549</v>
      </c>
      <c r="D1123" s="1"/>
      <c r="E1123" s="1"/>
      <c r="F1123" s="1"/>
      <c r="G1123" s="1"/>
      <c r="H1123" s="1" t="s">
        <v>110</v>
      </c>
      <c r="I1123" s="1" t="s">
        <v>46</v>
      </c>
      <c r="J1123" s="1" t="s">
        <v>6550</v>
      </c>
      <c r="K1123" s="1" t="s">
        <v>6551</v>
      </c>
      <c r="L1123" s="1" t="s">
        <v>45</v>
      </c>
      <c r="M1123" s="1" t="s">
        <v>46</v>
      </c>
      <c r="N1123" s="1">
        <v>50000</v>
      </c>
      <c r="O1123" s="1">
        <v>2015</v>
      </c>
      <c r="P1123" s="1">
        <v>50000</v>
      </c>
      <c r="Q1123" s="1">
        <v>2015</v>
      </c>
      <c r="R1123" s="1" t="s">
        <v>46</v>
      </c>
      <c r="S1123" s="1">
        <v>1</v>
      </c>
      <c r="T1123" s="1">
        <v>1</v>
      </c>
      <c r="U1123" s="1" t="s">
        <v>6552</v>
      </c>
    </row>
    <row r="1124" spans="1:36" ht="17.149999999999999" hidden="1" customHeight="1">
      <c r="A1124" s="1" t="s">
        <v>6553</v>
      </c>
      <c r="B1124" s="1"/>
      <c r="C1124" s="1" t="s">
        <v>6554</v>
      </c>
      <c r="D1124" s="1"/>
      <c r="E1124" s="1"/>
      <c r="F1124" s="1"/>
      <c r="G1124" s="1"/>
      <c r="H1124" s="1" t="s">
        <v>1047</v>
      </c>
      <c r="I1124" s="1" t="s">
        <v>46</v>
      </c>
      <c r="J1124" s="1" t="s">
        <v>6555</v>
      </c>
      <c r="K1124" s="1" t="s">
        <v>6556</v>
      </c>
      <c r="L1124" s="1" t="s">
        <v>45</v>
      </c>
      <c r="M1124" s="1" t="s">
        <v>46</v>
      </c>
      <c r="N1124" s="1">
        <v>93000</v>
      </c>
      <c r="O1124" s="1">
        <v>2015</v>
      </c>
      <c r="P1124" s="1">
        <v>50000</v>
      </c>
      <c r="Q1124" s="1">
        <v>2015</v>
      </c>
      <c r="R1124" s="1" t="s">
        <v>46</v>
      </c>
      <c r="S1124" s="1">
        <v>1</v>
      </c>
      <c r="T1124" s="1" t="s">
        <v>46</v>
      </c>
      <c r="U1124" s="1" t="s">
        <v>6557</v>
      </c>
    </row>
    <row r="1125" spans="1:36" ht="17.149999999999999" hidden="1" customHeight="1">
      <c r="A1125" s="1" t="s">
        <v>6558</v>
      </c>
      <c r="B1125" s="1"/>
      <c r="C1125" s="1" t="s">
        <v>6559</v>
      </c>
      <c r="D1125" s="1"/>
      <c r="E1125" s="1"/>
      <c r="F1125" s="1"/>
      <c r="G1125" s="1"/>
      <c r="H1125" s="1" t="s">
        <v>1669</v>
      </c>
      <c r="I1125" s="1" t="s">
        <v>46</v>
      </c>
      <c r="J1125" s="1" t="s">
        <v>6560</v>
      </c>
      <c r="K1125" s="1" t="s">
        <v>6561</v>
      </c>
      <c r="L1125" s="1" t="s">
        <v>45</v>
      </c>
      <c r="M1125" s="1" t="s">
        <v>46</v>
      </c>
      <c r="N1125" s="1" t="s">
        <v>46</v>
      </c>
      <c r="O1125" s="1" t="s">
        <v>46</v>
      </c>
      <c r="P1125" s="1">
        <v>49516</v>
      </c>
      <c r="Q1125" s="1">
        <v>2017</v>
      </c>
      <c r="R1125" s="1" t="s">
        <v>46</v>
      </c>
      <c r="S1125" s="1">
        <v>1</v>
      </c>
      <c r="T1125" s="1" t="s">
        <v>46</v>
      </c>
      <c r="U1125" s="1" t="s">
        <v>1005</v>
      </c>
    </row>
    <row r="1126" spans="1:36" ht="17.149999999999999" hidden="1" customHeight="1">
      <c r="A1126" s="1" t="s">
        <v>6562</v>
      </c>
      <c r="B1126" s="1"/>
      <c r="C1126" s="1" t="s">
        <v>6563</v>
      </c>
      <c r="D1126" s="1"/>
      <c r="E1126" s="1"/>
      <c r="F1126" s="1"/>
      <c r="G1126" s="1"/>
      <c r="H1126" s="1" t="s">
        <v>674</v>
      </c>
      <c r="I1126" s="1" t="s">
        <v>46</v>
      </c>
      <c r="J1126" s="1" t="s">
        <v>6564</v>
      </c>
      <c r="K1126" s="1" t="s">
        <v>6565</v>
      </c>
      <c r="L1126" s="1" t="s">
        <v>45</v>
      </c>
      <c r="M1126" s="1" t="s">
        <v>46</v>
      </c>
      <c r="N1126" s="1">
        <v>112420</v>
      </c>
      <c r="O1126" s="1">
        <v>2016</v>
      </c>
      <c r="P1126" s="1">
        <v>49398</v>
      </c>
      <c r="Q1126" s="1">
        <v>2016</v>
      </c>
      <c r="R1126" s="1" t="s">
        <v>46</v>
      </c>
      <c r="S1126" s="1">
        <v>1</v>
      </c>
      <c r="T1126" s="1">
        <v>1</v>
      </c>
      <c r="U1126" s="1" t="s">
        <v>6566</v>
      </c>
    </row>
    <row r="1127" spans="1:36" ht="17.149999999999999" hidden="1" customHeight="1">
      <c r="A1127" s="1" t="s">
        <v>6567</v>
      </c>
      <c r="B1127" s="1"/>
      <c r="C1127" s="1" t="s">
        <v>6568</v>
      </c>
      <c r="D1127" s="1"/>
      <c r="E1127" s="1"/>
      <c r="F1127" s="1"/>
      <c r="G1127" s="1"/>
      <c r="H1127" s="1" t="s">
        <v>249</v>
      </c>
      <c r="I1127" s="1" t="s">
        <v>4274</v>
      </c>
      <c r="J1127" s="1" t="s">
        <v>6569</v>
      </c>
      <c r="K1127" s="1" t="s">
        <v>6570</v>
      </c>
      <c r="L1127" s="1" t="s">
        <v>45</v>
      </c>
      <c r="M1127" s="1" t="s">
        <v>46</v>
      </c>
      <c r="N1127" s="1">
        <v>30583</v>
      </c>
      <c r="O1127" s="1">
        <v>2018</v>
      </c>
      <c r="P1127" s="1">
        <v>61180</v>
      </c>
      <c r="Q1127" s="1">
        <v>2018</v>
      </c>
      <c r="R1127" s="1" t="s">
        <v>46</v>
      </c>
      <c r="S1127" s="1">
        <v>1</v>
      </c>
      <c r="T1127" s="1" t="s">
        <v>46</v>
      </c>
      <c r="U1127" s="1" t="s">
        <v>6571</v>
      </c>
    </row>
    <row r="1128" spans="1:36" ht="17.149999999999999" hidden="1" customHeight="1">
      <c r="A1128" s="1" t="s">
        <v>6572</v>
      </c>
      <c r="B1128" s="1"/>
      <c r="C1128" s="1" t="s">
        <v>6573</v>
      </c>
      <c r="D1128" s="1"/>
      <c r="E1128" s="1"/>
      <c r="F1128" s="1"/>
      <c r="G1128" s="1"/>
      <c r="H1128" s="1" t="s">
        <v>1367</v>
      </c>
      <c r="I1128" s="1" t="s">
        <v>46</v>
      </c>
      <c r="J1128" s="1" t="s">
        <v>6574</v>
      </c>
      <c r="K1128" s="1" t="s">
        <v>6575</v>
      </c>
      <c r="L1128" s="1" t="s">
        <v>45</v>
      </c>
      <c r="M1128" s="1" t="s">
        <v>46</v>
      </c>
      <c r="N1128" s="1">
        <v>70940</v>
      </c>
      <c r="O1128" s="1">
        <v>2017</v>
      </c>
      <c r="P1128" s="1">
        <v>48663</v>
      </c>
      <c r="Q1128" s="1">
        <v>2017</v>
      </c>
      <c r="R1128" s="1" t="s">
        <v>46</v>
      </c>
      <c r="S1128" s="1">
        <v>1</v>
      </c>
      <c r="T1128" s="1">
        <v>1</v>
      </c>
      <c r="U1128" s="1" t="s">
        <v>6576</v>
      </c>
    </row>
    <row r="1129" spans="1:36" ht="17.149999999999999" hidden="1" customHeight="1">
      <c r="A1129" s="1" t="s">
        <v>6577</v>
      </c>
      <c r="B1129" s="1"/>
      <c r="C1129" s="1" t="s">
        <v>6578</v>
      </c>
      <c r="D1129" s="1"/>
      <c r="E1129" s="1"/>
      <c r="F1129" s="1"/>
      <c r="G1129" s="1"/>
      <c r="H1129" s="1" t="s">
        <v>1669</v>
      </c>
      <c r="I1129" s="1" t="s">
        <v>46</v>
      </c>
      <c r="J1129" s="1" t="s">
        <v>6579</v>
      </c>
      <c r="K1129" s="1" t="s">
        <v>6580</v>
      </c>
      <c r="L1129" s="1" t="s">
        <v>45</v>
      </c>
      <c r="M1129" s="1" t="s">
        <v>46</v>
      </c>
      <c r="N1129" s="1">
        <v>48231</v>
      </c>
      <c r="O1129" s="1">
        <v>2017</v>
      </c>
      <c r="P1129" s="1">
        <v>48139</v>
      </c>
      <c r="Q1129" s="1">
        <v>2017</v>
      </c>
      <c r="R1129" s="1" t="s">
        <v>46</v>
      </c>
      <c r="S1129" s="1">
        <v>1</v>
      </c>
      <c r="T1129" s="1" t="s">
        <v>46</v>
      </c>
      <c r="U1129" s="1" t="s">
        <v>3246</v>
      </c>
    </row>
    <row r="1130" spans="1:36" ht="17.149999999999999" hidden="1" customHeight="1">
      <c r="A1130" s="1" t="s">
        <v>6581</v>
      </c>
      <c r="B1130" s="1"/>
      <c r="C1130" s="1" t="s">
        <v>6582</v>
      </c>
      <c r="D1130" s="1"/>
      <c r="E1130" s="1"/>
      <c r="F1130" s="1"/>
      <c r="G1130" s="1"/>
      <c r="H1130" s="1" t="s">
        <v>249</v>
      </c>
      <c r="I1130" s="1" t="s">
        <v>6583</v>
      </c>
      <c r="J1130" s="1" t="s">
        <v>6584</v>
      </c>
      <c r="K1130" s="1" t="s">
        <v>6585</v>
      </c>
      <c r="L1130" s="1" t="s">
        <v>45</v>
      </c>
      <c r="M1130" s="1" t="s">
        <v>6586</v>
      </c>
      <c r="N1130" s="1">
        <v>30473</v>
      </c>
      <c r="O1130" s="1">
        <v>2018</v>
      </c>
      <c r="P1130" s="1">
        <v>60206</v>
      </c>
      <c r="Q1130" s="1">
        <v>2018</v>
      </c>
      <c r="R1130" s="1" t="s">
        <v>46</v>
      </c>
      <c r="S1130" s="1">
        <v>1</v>
      </c>
      <c r="T1130" s="1">
        <v>1</v>
      </c>
      <c r="U1130" s="1" t="s">
        <v>6587</v>
      </c>
    </row>
    <row r="1131" spans="1:36" ht="17.149999999999999" hidden="1" customHeight="1">
      <c r="A1131" s="1" t="s">
        <v>6588</v>
      </c>
      <c r="B1131" s="1"/>
      <c r="C1131" s="1" t="s">
        <v>6589</v>
      </c>
      <c r="D1131" s="1"/>
      <c r="E1131" s="1"/>
      <c r="F1131" s="1"/>
      <c r="G1131" s="1"/>
      <c r="H1131" s="1" t="s">
        <v>674</v>
      </c>
      <c r="I1131" s="1" t="s">
        <v>46</v>
      </c>
      <c r="J1131" s="1" t="s">
        <v>6590</v>
      </c>
      <c r="K1131" s="1" t="s">
        <v>6591</v>
      </c>
      <c r="L1131" s="1" t="s">
        <v>45</v>
      </c>
      <c r="M1131" s="1" t="s">
        <v>46</v>
      </c>
      <c r="N1131" s="1">
        <v>60452</v>
      </c>
      <c r="O1131" s="1">
        <v>2016</v>
      </c>
      <c r="P1131" s="1">
        <v>47758</v>
      </c>
      <c r="Q1131" s="1">
        <v>2016</v>
      </c>
      <c r="R1131" s="1" t="s">
        <v>46</v>
      </c>
      <c r="S1131" s="1">
        <v>1</v>
      </c>
      <c r="T1131" s="1">
        <v>1</v>
      </c>
      <c r="U1131" s="1" t="s">
        <v>6592</v>
      </c>
    </row>
    <row r="1132" spans="1:36" ht="17.149999999999999" hidden="1" customHeight="1">
      <c r="A1132" s="1" t="s">
        <v>6593</v>
      </c>
      <c r="B1132" s="1"/>
      <c r="C1132" s="1" t="s">
        <v>6594</v>
      </c>
      <c r="D1132" s="1"/>
      <c r="E1132" s="1"/>
      <c r="F1132" s="1"/>
      <c r="G1132" s="1"/>
      <c r="H1132" s="1" t="s">
        <v>674</v>
      </c>
      <c r="I1132" s="1" t="s">
        <v>46</v>
      </c>
      <c r="J1132" s="1" t="s">
        <v>6595</v>
      </c>
      <c r="K1132" s="1" t="s">
        <v>6596</v>
      </c>
      <c r="L1132" s="1" t="s">
        <v>45</v>
      </c>
      <c r="M1132" s="1" t="s">
        <v>46</v>
      </c>
      <c r="N1132" s="1">
        <v>78381</v>
      </c>
      <c r="O1132" s="1">
        <v>2016</v>
      </c>
      <c r="P1132" s="1">
        <v>47139</v>
      </c>
      <c r="Q1132" s="1">
        <v>2016</v>
      </c>
      <c r="R1132" s="1" t="s">
        <v>46</v>
      </c>
      <c r="S1132" s="1">
        <v>1</v>
      </c>
      <c r="T1132" s="1">
        <v>1</v>
      </c>
      <c r="U1132" s="1" t="s">
        <v>6597</v>
      </c>
    </row>
    <row r="1133" spans="1:36" ht="17.149999999999999" hidden="1" customHeight="1">
      <c r="A1133" s="1" t="s">
        <v>6598</v>
      </c>
      <c r="B1133" s="1"/>
      <c r="C1133" s="1" t="s">
        <v>6599</v>
      </c>
      <c r="D1133" s="1"/>
      <c r="E1133" s="1"/>
      <c r="F1133" s="1"/>
      <c r="G1133" s="1"/>
      <c r="H1133" s="1" t="s">
        <v>128</v>
      </c>
      <c r="I1133" s="1" t="s">
        <v>4950</v>
      </c>
      <c r="J1133" s="1" t="s">
        <v>6600</v>
      </c>
      <c r="K1133" s="1" t="s">
        <v>6601</v>
      </c>
      <c r="L1133" s="1" t="s">
        <v>45</v>
      </c>
      <c r="M1133" s="1" t="s">
        <v>46</v>
      </c>
      <c r="N1133" s="1">
        <v>51729</v>
      </c>
      <c r="O1133" s="1">
        <v>2018</v>
      </c>
      <c r="P1133" s="1">
        <v>45005</v>
      </c>
      <c r="Q1133" s="1">
        <v>2018</v>
      </c>
      <c r="R1133" s="1" t="s">
        <v>46</v>
      </c>
      <c r="S1133" s="1">
        <v>1</v>
      </c>
      <c r="T1133" s="1">
        <v>1</v>
      </c>
      <c r="U1133" s="1" t="s">
        <v>6602</v>
      </c>
    </row>
    <row r="1134" spans="1:36" ht="17.149999999999999" hidden="1" customHeight="1">
      <c r="A1134" s="1" t="s">
        <v>6603</v>
      </c>
      <c r="B1134" s="1"/>
      <c r="C1134" s="1" t="s">
        <v>6604</v>
      </c>
      <c r="D1134" s="1"/>
      <c r="E1134" s="1"/>
      <c r="F1134" s="1"/>
      <c r="G1134" s="1"/>
      <c r="H1134" s="1" t="s">
        <v>110</v>
      </c>
      <c r="I1134" s="1" t="s">
        <v>46</v>
      </c>
      <c r="J1134" s="1" t="s">
        <v>6605</v>
      </c>
      <c r="K1134" s="1" t="s">
        <v>6606</v>
      </c>
      <c r="L1134" s="1" t="s">
        <v>118</v>
      </c>
      <c r="M1134" s="1" t="s">
        <v>6607</v>
      </c>
      <c r="N1134" s="1">
        <v>45000</v>
      </c>
      <c r="O1134" s="1">
        <v>2019</v>
      </c>
      <c r="P1134" s="1">
        <v>45000</v>
      </c>
      <c r="Q1134" s="1">
        <v>2019</v>
      </c>
      <c r="R1134" s="1" t="s">
        <v>46</v>
      </c>
      <c r="S1134" s="1">
        <v>1</v>
      </c>
      <c r="T1134" s="1">
        <v>1</v>
      </c>
      <c r="U1134" s="1" t="s">
        <v>6608</v>
      </c>
    </row>
    <row r="1135" spans="1:36" ht="17.149999999999999" customHeight="1">
      <c r="A1135" s="41" t="s">
        <v>6609</v>
      </c>
      <c r="B1135" s="41" t="s">
        <v>37</v>
      </c>
      <c r="C1135" s="41" t="s">
        <v>6610</v>
      </c>
      <c r="D1135" s="1" t="s">
        <v>6610</v>
      </c>
      <c r="E1135" s="1" t="s">
        <v>6611</v>
      </c>
      <c r="F1135" s="1" t="s">
        <v>62</v>
      </c>
      <c r="G1135" s="1" t="s">
        <v>40</v>
      </c>
      <c r="H1135" s="41" t="s">
        <v>1203</v>
      </c>
      <c r="I1135" s="41" t="s">
        <v>46</v>
      </c>
      <c r="J1135" s="41" t="s">
        <v>6612</v>
      </c>
      <c r="K1135" s="41" t="s">
        <v>6613</v>
      </c>
      <c r="L1135" s="41" t="s">
        <v>45</v>
      </c>
      <c r="M1135" s="41" t="s">
        <v>46</v>
      </c>
      <c r="N1135" s="41" t="s">
        <v>46</v>
      </c>
      <c r="O1135" s="41" t="s">
        <v>46</v>
      </c>
      <c r="P1135" s="41">
        <v>1116260</v>
      </c>
      <c r="Q1135" s="41">
        <v>2019</v>
      </c>
      <c r="R1135" s="41" t="s">
        <v>46</v>
      </c>
      <c r="S1135" s="41">
        <v>1</v>
      </c>
      <c r="T1135" s="41" t="s">
        <v>46</v>
      </c>
      <c r="U1135" s="41" t="s">
        <v>6614</v>
      </c>
      <c r="V1135" s="42" t="s">
        <v>40</v>
      </c>
      <c r="W1135" s="42" t="s">
        <v>930</v>
      </c>
      <c r="X1135" s="85" t="s">
        <v>40</v>
      </c>
      <c r="Y1135" s="85"/>
      <c r="Z1135" s="42" t="s">
        <v>6615</v>
      </c>
      <c r="AA1135" s="42" t="s">
        <v>6616</v>
      </c>
      <c r="AB1135" s="42"/>
      <c r="AC1135" s="42" t="s">
        <v>6617</v>
      </c>
      <c r="AD1135" s="42"/>
      <c r="AE1135" s="42"/>
      <c r="AF1135" s="42"/>
      <c r="AG1135" s="42"/>
      <c r="AJ1135" s="2" t="s">
        <v>57</v>
      </c>
    </row>
    <row r="1136" spans="1:36" ht="17.149999999999999" hidden="1" customHeight="1">
      <c r="A1136" s="1" t="s">
        <v>6618</v>
      </c>
      <c r="B1136" s="1"/>
      <c r="C1136" s="1" t="s">
        <v>6619</v>
      </c>
      <c r="D1136" s="1"/>
      <c r="E1136" s="1"/>
      <c r="F1136" s="1"/>
      <c r="G1136" s="1"/>
      <c r="H1136" s="1" t="s">
        <v>2258</v>
      </c>
      <c r="I1136" s="1" t="s">
        <v>46</v>
      </c>
      <c r="J1136" s="1" t="s">
        <v>6620</v>
      </c>
      <c r="K1136" s="1" t="s">
        <v>6621</v>
      </c>
      <c r="L1136" s="1" t="s">
        <v>45</v>
      </c>
      <c r="M1136" s="1" t="s">
        <v>46</v>
      </c>
      <c r="N1136" s="1">
        <v>44000</v>
      </c>
      <c r="O1136" s="1">
        <v>2018</v>
      </c>
      <c r="P1136" s="1">
        <v>44000</v>
      </c>
      <c r="Q1136" s="1">
        <v>2018</v>
      </c>
      <c r="R1136" s="1" t="s">
        <v>46</v>
      </c>
      <c r="S1136" s="1">
        <v>1</v>
      </c>
      <c r="T1136" s="1">
        <v>1</v>
      </c>
      <c r="U1136" s="1" t="s">
        <v>6622</v>
      </c>
    </row>
    <row r="1137" spans="1:21" ht="17.149999999999999" hidden="1" customHeight="1">
      <c r="A1137" s="1" t="s">
        <v>6623</v>
      </c>
      <c r="B1137" s="1"/>
      <c r="C1137" s="1" t="s">
        <v>6624</v>
      </c>
      <c r="D1137" s="1"/>
      <c r="E1137" s="1"/>
      <c r="F1137" s="1"/>
      <c r="G1137" s="1"/>
      <c r="H1137" s="1" t="s">
        <v>249</v>
      </c>
      <c r="I1137" s="1" t="s">
        <v>4778</v>
      </c>
      <c r="J1137" s="1" t="s">
        <v>6625</v>
      </c>
      <c r="K1137" s="1" t="s">
        <v>6626</v>
      </c>
      <c r="L1137" s="1" t="s">
        <v>45</v>
      </c>
      <c r="M1137" s="1" t="s">
        <v>46</v>
      </c>
      <c r="N1137" s="1">
        <v>28059</v>
      </c>
      <c r="O1137" s="1">
        <v>2018</v>
      </c>
      <c r="P1137" s="1">
        <v>77656</v>
      </c>
      <c r="Q1137" s="1">
        <v>2018</v>
      </c>
      <c r="R1137" s="1" t="s">
        <v>46</v>
      </c>
      <c r="S1137" s="1">
        <v>1</v>
      </c>
      <c r="T1137" s="1">
        <v>1</v>
      </c>
      <c r="U1137" s="1" t="s">
        <v>6627</v>
      </c>
    </row>
    <row r="1138" spans="1:21" ht="17.149999999999999" hidden="1" customHeight="1">
      <c r="A1138" s="1" t="s">
        <v>6628</v>
      </c>
      <c r="B1138" s="1"/>
      <c r="C1138" s="1" t="s">
        <v>6629</v>
      </c>
      <c r="D1138" s="1"/>
      <c r="E1138" s="1"/>
      <c r="F1138" s="1"/>
      <c r="G1138" s="1"/>
      <c r="H1138" s="1" t="s">
        <v>674</v>
      </c>
      <c r="I1138" s="1" t="s">
        <v>46</v>
      </c>
      <c r="J1138" s="1" t="s">
        <v>6630</v>
      </c>
      <c r="K1138" s="1" t="s">
        <v>6631</v>
      </c>
      <c r="L1138" s="1" t="s">
        <v>45</v>
      </c>
      <c r="M1138" s="1" t="s">
        <v>46</v>
      </c>
      <c r="N1138" s="1">
        <v>99579</v>
      </c>
      <c r="O1138" s="1">
        <v>2016</v>
      </c>
      <c r="P1138" s="1">
        <v>41575</v>
      </c>
      <c r="Q1138" s="1">
        <v>2016</v>
      </c>
      <c r="R1138" s="1" t="s">
        <v>46</v>
      </c>
      <c r="S1138" s="1">
        <v>1</v>
      </c>
      <c r="T1138" s="1">
        <v>1</v>
      </c>
      <c r="U1138" s="1" t="s">
        <v>6632</v>
      </c>
    </row>
    <row r="1139" spans="1:21" ht="17.149999999999999" hidden="1" customHeight="1">
      <c r="A1139" s="1" t="s">
        <v>6633</v>
      </c>
      <c r="B1139" s="1"/>
      <c r="C1139" s="1" t="s">
        <v>6634</v>
      </c>
      <c r="D1139" s="1"/>
      <c r="E1139" s="1"/>
      <c r="F1139" s="1"/>
      <c r="G1139" s="1"/>
      <c r="H1139" s="1" t="s">
        <v>1391</v>
      </c>
      <c r="I1139" s="1" t="s">
        <v>4856</v>
      </c>
      <c r="J1139" s="1" t="s">
        <v>6635</v>
      </c>
      <c r="K1139" s="1" t="s">
        <v>6636</v>
      </c>
      <c r="L1139" s="1" t="s">
        <v>45</v>
      </c>
      <c r="M1139" s="1" t="s">
        <v>46</v>
      </c>
      <c r="N1139" s="1" t="s">
        <v>46</v>
      </c>
      <c r="O1139" s="1" t="s">
        <v>46</v>
      </c>
      <c r="P1139" s="1">
        <v>41163</v>
      </c>
      <c r="Q1139" s="1">
        <v>2019</v>
      </c>
      <c r="R1139" s="1" t="s">
        <v>46</v>
      </c>
      <c r="S1139" s="1">
        <v>1</v>
      </c>
      <c r="T1139" s="1">
        <v>1</v>
      </c>
      <c r="U1139" s="1" t="s">
        <v>6637</v>
      </c>
    </row>
    <row r="1140" spans="1:21" ht="17.149999999999999" hidden="1" customHeight="1">
      <c r="A1140" s="1" t="s">
        <v>6638</v>
      </c>
      <c r="B1140" s="1"/>
      <c r="C1140" s="1" t="s">
        <v>6639</v>
      </c>
      <c r="D1140" s="1"/>
      <c r="E1140" s="1"/>
      <c r="F1140" s="1"/>
      <c r="G1140" s="1"/>
      <c r="H1140" s="1" t="s">
        <v>619</v>
      </c>
      <c r="I1140" s="1" t="s">
        <v>46</v>
      </c>
      <c r="J1140" s="1" t="s">
        <v>6640</v>
      </c>
      <c r="K1140" s="1" t="s">
        <v>6641</v>
      </c>
      <c r="L1140" s="1" t="s">
        <v>45</v>
      </c>
      <c r="M1140" s="1" t="s">
        <v>46</v>
      </c>
      <c r="N1140" s="1">
        <v>54500</v>
      </c>
      <c r="O1140" s="1">
        <v>2015</v>
      </c>
      <c r="P1140" s="1">
        <v>40800</v>
      </c>
      <c r="Q1140" s="1">
        <v>2015</v>
      </c>
      <c r="R1140" s="1" t="s">
        <v>46</v>
      </c>
      <c r="S1140" s="1">
        <v>1</v>
      </c>
      <c r="T1140" s="1">
        <v>1</v>
      </c>
      <c r="U1140" s="1" t="s">
        <v>6642</v>
      </c>
    </row>
    <row r="1141" spans="1:21" ht="17.149999999999999" hidden="1" customHeight="1">
      <c r="A1141" s="1" t="s">
        <v>6643</v>
      </c>
      <c r="B1141" s="1"/>
      <c r="C1141" s="1" t="s">
        <v>6644</v>
      </c>
      <c r="D1141" s="1"/>
      <c r="E1141" s="1"/>
      <c r="F1141" s="1"/>
      <c r="G1141" s="1"/>
      <c r="H1141" s="1" t="s">
        <v>500</v>
      </c>
      <c r="I1141" s="1" t="s">
        <v>46</v>
      </c>
      <c r="J1141" s="1" t="s">
        <v>6645</v>
      </c>
      <c r="K1141" s="1" t="s">
        <v>508</v>
      </c>
      <c r="L1141" s="1" t="s">
        <v>45</v>
      </c>
      <c r="M1141" s="1" t="s">
        <v>46</v>
      </c>
      <c r="N1141" s="1" t="s">
        <v>46</v>
      </c>
      <c r="O1141" s="1" t="s">
        <v>46</v>
      </c>
      <c r="P1141" s="1">
        <v>40000</v>
      </c>
      <c r="Q1141" s="1">
        <v>2015</v>
      </c>
      <c r="R1141" s="1" t="s">
        <v>46</v>
      </c>
      <c r="S1141" s="1">
        <v>1</v>
      </c>
      <c r="T1141" s="1" t="s">
        <v>46</v>
      </c>
      <c r="U1141" s="1" t="s">
        <v>6646</v>
      </c>
    </row>
    <row r="1142" spans="1:21" ht="17.149999999999999" hidden="1" customHeight="1">
      <c r="A1142" s="1" t="s">
        <v>6647</v>
      </c>
      <c r="B1142" s="1"/>
      <c r="C1142" s="1" t="s">
        <v>6648</v>
      </c>
      <c r="D1142" s="1"/>
      <c r="E1142" s="1"/>
      <c r="F1142" s="1"/>
      <c r="G1142" s="1"/>
      <c r="H1142" s="1" t="s">
        <v>110</v>
      </c>
      <c r="I1142" s="1" t="s">
        <v>46</v>
      </c>
      <c r="J1142" s="1" t="s">
        <v>6649</v>
      </c>
      <c r="K1142" s="1" t="s">
        <v>6650</v>
      </c>
      <c r="L1142" s="1" t="s">
        <v>45</v>
      </c>
      <c r="M1142" s="1" t="s">
        <v>46</v>
      </c>
      <c r="N1142" s="1">
        <v>40000</v>
      </c>
      <c r="O1142" s="1">
        <v>2019</v>
      </c>
      <c r="P1142" s="1">
        <v>40000</v>
      </c>
      <c r="Q1142" s="1">
        <v>2019</v>
      </c>
      <c r="R1142" s="1" t="s">
        <v>46</v>
      </c>
      <c r="S1142" s="1">
        <v>1</v>
      </c>
      <c r="T1142" s="1">
        <v>1</v>
      </c>
      <c r="U1142" s="1" t="s">
        <v>6651</v>
      </c>
    </row>
    <row r="1143" spans="1:21" ht="17.149999999999999" hidden="1" customHeight="1">
      <c r="A1143" s="1" t="s">
        <v>6652</v>
      </c>
      <c r="B1143" s="1"/>
      <c r="C1143" s="1" t="s">
        <v>6653</v>
      </c>
      <c r="D1143" s="1"/>
      <c r="E1143" s="1"/>
      <c r="F1143" s="1"/>
      <c r="G1143" s="1"/>
      <c r="H1143" s="1" t="s">
        <v>249</v>
      </c>
      <c r="I1143" s="1" t="s">
        <v>2102</v>
      </c>
      <c r="J1143" s="1" t="s">
        <v>6654</v>
      </c>
      <c r="K1143" s="1" t="s">
        <v>6655</v>
      </c>
      <c r="L1143" s="1" t="s">
        <v>45</v>
      </c>
      <c r="M1143" s="1" t="s">
        <v>1311</v>
      </c>
      <c r="N1143" s="1">
        <v>25753</v>
      </c>
      <c r="O1143" s="1">
        <v>2018</v>
      </c>
      <c r="P1143" s="1">
        <v>51506</v>
      </c>
      <c r="Q1143" s="1">
        <v>2018</v>
      </c>
      <c r="R1143" s="1" t="s">
        <v>46</v>
      </c>
      <c r="S1143" s="1">
        <v>1</v>
      </c>
      <c r="T1143" s="1">
        <v>1</v>
      </c>
      <c r="U1143" s="1" t="s">
        <v>6656</v>
      </c>
    </row>
    <row r="1144" spans="1:21" ht="17.149999999999999" hidden="1" customHeight="1">
      <c r="A1144" s="1" t="s">
        <v>6657</v>
      </c>
      <c r="B1144" s="1"/>
      <c r="C1144" s="1" t="s">
        <v>6658</v>
      </c>
      <c r="D1144" s="1"/>
      <c r="E1144" s="1"/>
      <c r="F1144" s="1"/>
      <c r="G1144" s="1"/>
      <c r="H1144" s="1" t="s">
        <v>110</v>
      </c>
      <c r="I1144" s="1" t="s">
        <v>46</v>
      </c>
      <c r="J1144" s="1" t="s">
        <v>6659</v>
      </c>
      <c r="K1144" s="1" t="s">
        <v>6660</v>
      </c>
      <c r="L1144" s="1" t="s">
        <v>118</v>
      </c>
      <c r="M1144" s="1" t="s">
        <v>6661</v>
      </c>
      <c r="N1144" s="1">
        <v>39543</v>
      </c>
      <c r="O1144" s="1">
        <v>2015</v>
      </c>
      <c r="P1144" s="1">
        <v>39543</v>
      </c>
      <c r="Q1144" s="1">
        <v>2015</v>
      </c>
      <c r="R1144" s="1" t="s">
        <v>46</v>
      </c>
      <c r="S1144" s="1">
        <v>1</v>
      </c>
      <c r="T1144" s="1">
        <v>1</v>
      </c>
      <c r="U1144" s="1" t="s">
        <v>6662</v>
      </c>
    </row>
    <row r="1145" spans="1:21" ht="17.149999999999999" hidden="1" customHeight="1">
      <c r="A1145" s="1" t="s">
        <v>6663</v>
      </c>
      <c r="B1145" s="1"/>
      <c r="C1145" s="1" t="s">
        <v>6664</v>
      </c>
      <c r="D1145" s="1"/>
      <c r="E1145" s="1"/>
      <c r="F1145" s="1"/>
      <c r="G1145" s="1"/>
      <c r="H1145" s="1" t="s">
        <v>249</v>
      </c>
      <c r="I1145" s="1" t="s">
        <v>4227</v>
      </c>
      <c r="J1145" s="1" t="s">
        <v>6665</v>
      </c>
      <c r="K1145" s="1" t="s">
        <v>6666</v>
      </c>
      <c r="L1145" s="1" t="s">
        <v>45</v>
      </c>
      <c r="M1145" s="1" t="s">
        <v>6667</v>
      </c>
      <c r="N1145" s="1">
        <v>25574</v>
      </c>
      <c r="O1145" s="1">
        <v>2018</v>
      </c>
      <c r="P1145" s="1">
        <v>106225</v>
      </c>
      <c r="Q1145" s="1">
        <v>2018</v>
      </c>
      <c r="R1145" s="1" t="s">
        <v>46</v>
      </c>
      <c r="S1145" s="1">
        <v>1</v>
      </c>
      <c r="T1145" s="1">
        <v>1</v>
      </c>
      <c r="U1145" s="1" t="s">
        <v>6668</v>
      </c>
    </row>
    <row r="1146" spans="1:21" ht="17.149999999999999" hidden="1" customHeight="1">
      <c r="A1146" s="1" t="s">
        <v>6669</v>
      </c>
      <c r="B1146" s="1"/>
      <c r="C1146" s="1" t="s">
        <v>6670</v>
      </c>
      <c r="D1146" s="1"/>
      <c r="E1146" s="1"/>
      <c r="F1146" s="1"/>
      <c r="G1146" s="1"/>
      <c r="H1146" s="1" t="s">
        <v>110</v>
      </c>
      <c r="I1146" s="1" t="s">
        <v>46</v>
      </c>
      <c r="J1146" s="1" t="s">
        <v>4850</v>
      </c>
      <c r="K1146" s="1" t="s">
        <v>6671</v>
      </c>
      <c r="L1146" s="1" t="s">
        <v>45</v>
      </c>
      <c r="M1146" s="1" t="s">
        <v>46</v>
      </c>
      <c r="N1146" s="1">
        <v>39055</v>
      </c>
      <c r="O1146" s="1">
        <v>2019</v>
      </c>
      <c r="P1146" s="1">
        <v>39463</v>
      </c>
      <c r="Q1146" s="1">
        <v>2015</v>
      </c>
      <c r="R1146" s="1" t="s">
        <v>46</v>
      </c>
      <c r="S1146" s="1">
        <v>1</v>
      </c>
      <c r="T1146" s="1">
        <v>1</v>
      </c>
      <c r="U1146" s="1" t="s">
        <v>6672</v>
      </c>
    </row>
    <row r="1147" spans="1:21" ht="17.149999999999999" hidden="1" customHeight="1">
      <c r="A1147" s="1" t="s">
        <v>6673</v>
      </c>
      <c r="B1147" s="1"/>
      <c r="C1147" s="1" t="s">
        <v>6674</v>
      </c>
      <c r="D1147" s="1"/>
      <c r="E1147" s="1"/>
      <c r="F1147" s="1"/>
      <c r="G1147" s="1"/>
      <c r="H1147" s="1" t="s">
        <v>177</v>
      </c>
      <c r="I1147" s="1" t="s">
        <v>3474</v>
      </c>
      <c r="J1147" s="1" t="s">
        <v>6675</v>
      </c>
      <c r="K1147" s="1" t="s">
        <v>6676</v>
      </c>
      <c r="L1147" s="1" t="s">
        <v>118</v>
      </c>
      <c r="M1147" s="1" t="s">
        <v>725</v>
      </c>
      <c r="N1147" s="1">
        <v>90000</v>
      </c>
      <c r="O1147" s="1">
        <v>2019</v>
      </c>
      <c r="P1147" s="1">
        <v>39000</v>
      </c>
      <c r="Q1147" s="1">
        <v>2015</v>
      </c>
      <c r="R1147" s="1" t="s">
        <v>46</v>
      </c>
      <c r="S1147" s="1">
        <v>1</v>
      </c>
      <c r="T1147" s="1">
        <v>1</v>
      </c>
      <c r="U1147" s="1" t="s">
        <v>6677</v>
      </c>
    </row>
    <row r="1148" spans="1:21" ht="17.149999999999999" hidden="1" customHeight="1">
      <c r="A1148" s="1" t="s">
        <v>6678</v>
      </c>
      <c r="B1148" s="1"/>
      <c r="C1148" s="1" t="s">
        <v>6679</v>
      </c>
      <c r="D1148" s="1"/>
      <c r="E1148" s="1"/>
      <c r="F1148" s="1"/>
      <c r="G1148" s="1"/>
      <c r="H1148" s="1" t="s">
        <v>493</v>
      </c>
      <c r="I1148" s="1" t="s">
        <v>46</v>
      </c>
      <c r="J1148" s="1" t="s">
        <v>6680</v>
      </c>
      <c r="K1148" s="1" t="s">
        <v>6681</v>
      </c>
      <c r="L1148" s="1" t="s">
        <v>45</v>
      </c>
      <c r="M1148" s="1" t="s">
        <v>46</v>
      </c>
      <c r="N1148" s="1">
        <v>38000</v>
      </c>
      <c r="O1148" s="1">
        <v>2019</v>
      </c>
      <c r="P1148" s="1">
        <v>38000</v>
      </c>
      <c r="Q1148" s="1">
        <v>2019</v>
      </c>
      <c r="R1148" s="1" t="s">
        <v>46</v>
      </c>
      <c r="S1148" s="1">
        <v>1</v>
      </c>
      <c r="T1148" s="1">
        <v>1</v>
      </c>
      <c r="U1148" s="1" t="s">
        <v>6682</v>
      </c>
    </row>
    <row r="1149" spans="1:21" ht="17.149999999999999" hidden="1" customHeight="1">
      <c r="A1149" s="1" t="s">
        <v>6683</v>
      </c>
      <c r="B1149" s="1"/>
      <c r="C1149" s="1" t="s">
        <v>6684</v>
      </c>
      <c r="D1149" s="1"/>
      <c r="E1149" s="1"/>
      <c r="F1149" s="1"/>
      <c r="G1149" s="1"/>
      <c r="H1149" s="1" t="s">
        <v>128</v>
      </c>
      <c r="I1149" s="1" t="s">
        <v>926</v>
      </c>
      <c r="J1149" s="1" t="s">
        <v>6685</v>
      </c>
      <c r="K1149" s="1" t="s">
        <v>6686</v>
      </c>
      <c r="L1149" s="1" t="s">
        <v>118</v>
      </c>
      <c r="M1149" s="1" t="s">
        <v>6687</v>
      </c>
      <c r="N1149" s="1">
        <v>42655</v>
      </c>
      <c r="O1149" s="1">
        <v>2015</v>
      </c>
      <c r="P1149" s="1">
        <v>36192</v>
      </c>
      <c r="Q1149" s="1">
        <v>2015</v>
      </c>
      <c r="R1149" s="1" t="s">
        <v>46</v>
      </c>
      <c r="S1149" s="1">
        <v>1</v>
      </c>
      <c r="T1149" s="1">
        <v>1</v>
      </c>
      <c r="U1149" s="1" t="s">
        <v>6688</v>
      </c>
    </row>
    <row r="1150" spans="1:21" ht="17.149999999999999" hidden="1" customHeight="1">
      <c r="A1150" s="1" t="s">
        <v>6689</v>
      </c>
      <c r="B1150" s="1"/>
      <c r="C1150" s="1" t="s">
        <v>6690</v>
      </c>
      <c r="D1150" s="1"/>
      <c r="E1150" s="1"/>
      <c r="F1150" s="1"/>
      <c r="G1150" s="1"/>
      <c r="H1150" s="1" t="s">
        <v>674</v>
      </c>
      <c r="I1150" s="1" t="s">
        <v>46</v>
      </c>
      <c r="J1150" s="1" t="s">
        <v>6691</v>
      </c>
      <c r="K1150" s="1" t="s">
        <v>6692</v>
      </c>
      <c r="L1150" s="1" t="s">
        <v>45</v>
      </c>
      <c r="M1150" s="1" t="s">
        <v>46</v>
      </c>
      <c r="N1150" s="1">
        <v>42000</v>
      </c>
      <c r="O1150" s="1">
        <v>2016</v>
      </c>
      <c r="P1150" s="1">
        <v>35996</v>
      </c>
      <c r="Q1150" s="1">
        <v>2016</v>
      </c>
      <c r="R1150" s="1" t="s">
        <v>46</v>
      </c>
      <c r="S1150" s="1">
        <v>1</v>
      </c>
      <c r="T1150" s="1">
        <v>1</v>
      </c>
      <c r="U1150" s="1" t="s">
        <v>6693</v>
      </c>
    </row>
    <row r="1151" spans="1:21" ht="17.149999999999999" hidden="1" customHeight="1">
      <c r="A1151" s="1" t="s">
        <v>6694</v>
      </c>
      <c r="B1151" s="1"/>
      <c r="C1151" s="1" t="s">
        <v>6695</v>
      </c>
      <c r="D1151" s="1"/>
      <c r="E1151" s="1"/>
      <c r="F1151" s="1"/>
      <c r="G1151" s="1"/>
      <c r="H1151" s="1" t="s">
        <v>110</v>
      </c>
      <c r="I1151" s="1" t="s">
        <v>46</v>
      </c>
      <c r="J1151" s="1" t="s">
        <v>6696</v>
      </c>
      <c r="K1151" s="1" t="s">
        <v>6697</v>
      </c>
      <c r="L1151" s="1" t="s">
        <v>45</v>
      </c>
      <c r="M1151" s="1" t="s">
        <v>46</v>
      </c>
      <c r="N1151" s="1">
        <v>35910</v>
      </c>
      <c r="O1151" s="1">
        <v>2015</v>
      </c>
      <c r="P1151" s="1">
        <v>35910</v>
      </c>
      <c r="Q1151" s="1">
        <v>2015</v>
      </c>
      <c r="R1151" s="1" t="s">
        <v>46</v>
      </c>
      <c r="S1151" s="1">
        <v>1</v>
      </c>
      <c r="T1151" s="1">
        <v>1</v>
      </c>
      <c r="U1151" s="1" t="s">
        <v>6698</v>
      </c>
    </row>
    <row r="1152" spans="1:21" ht="17.149999999999999" hidden="1" customHeight="1">
      <c r="A1152" s="1" t="s">
        <v>6699</v>
      </c>
      <c r="B1152" s="1"/>
      <c r="C1152" s="1" t="s">
        <v>6700</v>
      </c>
      <c r="D1152" s="1"/>
      <c r="E1152" s="1"/>
      <c r="F1152" s="1"/>
      <c r="G1152" s="1"/>
      <c r="H1152" s="1" t="s">
        <v>6701</v>
      </c>
      <c r="I1152" s="1" t="s">
        <v>46</v>
      </c>
      <c r="J1152" s="1" t="s">
        <v>6701</v>
      </c>
      <c r="K1152" s="1" t="s">
        <v>6702</v>
      </c>
      <c r="L1152" s="1" t="s">
        <v>45</v>
      </c>
      <c r="M1152" s="1" t="s">
        <v>46</v>
      </c>
      <c r="N1152" s="1">
        <v>35000</v>
      </c>
      <c r="O1152" s="1">
        <v>2019</v>
      </c>
      <c r="P1152" s="1">
        <v>35000</v>
      </c>
      <c r="Q1152" s="1">
        <v>2019</v>
      </c>
      <c r="R1152" s="1" t="s">
        <v>46</v>
      </c>
      <c r="S1152" s="1">
        <v>1</v>
      </c>
      <c r="T1152" s="1" t="s">
        <v>46</v>
      </c>
      <c r="U1152" s="1" t="s">
        <v>6703</v>
      </c>
    </row>
    <row r="1153" spans="1:36" ht="17.149999999999999" hidden="1" customHeight="1">
      <c r="A1153" s="1" t="s">
        <v>6704</v>
      </c>
      <c r="B1153" s="1"/>
      <c r="C1153" s="1" t="s">
        <v>6705</v>
      </c>
      <c r="D1153" s="1"/>
      <c r="E1153" s="1"/>
      <c r="F1153" s="1"/>
      <c r="G1153" s="1"/>
      <c r="H1153" s="1" t="s">
        <v>1047</v>
      </c>
      <c r="I1153" s="1" t="s">
        <v>46</v>
      </c>
      <c r="J1153" s="1" t="s">
        <v>6706</v>
      </c>
      <c r="K1153" s="1" t="s">
        <v>6707</v>
      </c>
      <c r="L1153" s="1" t="s">
        <v>45</v>
      </c>
      <c r="M1153" s="1" t="s">
        <v>46</v>
      </c>
      <c r="N1153" s="1">
        <v>78900</v>
      </c>
      <c r="O1153" s="1">
        <v>2015</v>
      </c>
      <c r="P1153" s="1">
        <v>35000</v>
      </c>
      <c r="Q1153" s="1">
        <v>2015</v>
      </c>
      <c r="R1153" s="1" t="s">
        <v>46</v>
      </c>
      <c r="S1153" s="1">
        <v>1</v>
      </c>
      <c r="T1153" s="1">
        <v>1</v>
      </c>
      <c r="U1153" s="1" t="s">
        <v>6708</v>
      </c>
    </row>
    <row r="1154" spans="1:36" ht="17.149999999999999" hidden="1" customHeight="1">
      <c r="A1154" s="1" t="s">
        <v>6709</v>
      </c>
      <c r="B1154" s="1"/>
      <c r="C1154" s="1" t="s">
        <v>6710</v>
      </c>
      <c r="D1154" s="1"/>
      <c r="E1154" s="1"/>
      <c r="F1154" s="1"/>
      <c r="G1154" s="1"/>
      <c r="H1154" s="1" t="s">
        <v>110</v>
      </c>
      <c r="I1154" s="1" t="s">
        <v>46</v>
      </c>
      <c r="J1154" s="1" t="s">
        <v>6711</v>
      </c>
      <c r="K1154" s="1" t="s">
        <v>6712</v>
      </c>
      <c r="L1154" s="1" t="s">
        <v>45</v>
      </c>
      <c r="M1154" s="1" t="s">
        <v>46</v>
      </c>
      <c r="N1154" s="1">
        <v>34772</v>
      </c>
      <c r="O1154" s="1">
        <v>2015</v>
      </c>
      <c r="P1154" s="1">
        <v>34772</v>
      </c>
      <c r="Q1154" s="1">
        <v>2015</v>
      </c>
      <c r="R1154" s="1" t="s">
        <v>46</v>
      </c>
      <c r="S1154" s="1">
        <v>1</v>
      </c>
      <c r="T1154" s="1">
        <v>1</v>
      </c>
      <c r="U1154" s="1" t="s">
        <v>6713</v>
      </c>
    </row>
    <row r="1155" spans="1:36" ht="17.149999999999999" hidden="1" customHeight="1">
      <c r="A1155" s="1" t="s">
        <v>6714</v>
      </c>
      <c r="B1155" s="1"/>
      <c r="C1155" s="1" t="s">
        <v>6715</v>
      </c>
      <c r="D1155" s="1"/>
      <c r="E1155" s="1"/>
      <c r="F1155" s="1"/>
      <c r="G1155" s="1"/>
      <c r="H1155" s="1" t="s">
        <v>128</v>
      </c>
      <c r="I1155" s="1" t="s">
        <v>5678</v>
      </c>
      <c r="J1155" s="1" t="s">
        <v>6716</v>
      </c>
      <c r="K1155" s="1" t="s">
        <v>6717</v>
      </c>
      <c r="L1155" s="1" t="s">
        <v>45</v>
      </c>
      <c r="M1155" s="1" t="s">
        <v>46</v>
      </c>
      <c r="N1155" s="1">
        <v>40828</v>
      </c>
      <c r="O1155" s="1">
        <v>2015</v>
      </c>
      <c r="P1155" s="1">
        <v>34704</v>
      </c>
      <c r="Q1155" s="1">
        <v>2015</v>
      </c>
      <c r="R1155" s="1" t="s">
        <v>46</v>
      </c>
      <c r="S1155" s="1">
        <v>1</v>
      </c>
      <c r="T1155" s="1">
        <v>1</v>
      </c>
      <c r="U1155" s="1" t="s">
        <v>6718</v>
      </c>
    </row>
    <row r="1156" spans="1:36" ht="17.149999999999999" hidden="1" customHeight="1">
      <c r="A1156" s="1" t="s">
        <v>6719</v>
      </c>
      <c r="B1156" s="1"/>
      <c r="C1156" s="141" t="s">
        <v>6720</v>
      </c>
      <c r="D1156" s="1"/>
      <c r="E1156" s="1"/>
      <c r="F1156" s="1"/>
      <c r="G1156" s="1"/>
      <c r="H1156" s="1" t="s">
        <v>249</v>
      </c>
      <c r="I1156" s="1" t="s">
        <v>2070</v>
      </c>
      <c r="J1156" s="1" t="s">
        <v>2070</v>
      </c>
      <c r="K1156" s="1" t="s">
        <v>6721</v>
      </c>
      <c r="L1156" s="1" t="s">
        <v>45</v>
      </c>
      <c r="M1156" s="1" t="s">
        <v>46</v>
      </c>
      <c r="N1156" s="1">
        <v>22396</v>
      </c>
      <c r="O1156" s="1">
        <v>2018</v>
      </c>
      <c r="P1156" s="1">
        <v>171369</v>
      </c>
      <c r="Q1156" s="1">
        <v>2018</v>
      </c>
      <c r="R1156" s="1" t="s">
        <v>46</v>
      </c>
      <c r="S1156" s="1">
        <v>1</v>
      </c>
      <c r="T1156" s="1" t="s">
        <v>46</v>
      </c>
      <c r="U1156" s="1" t="s">
        <v>6722</v>
      </c>
    </row>
    <row r="1157" spans="1:36" ht="17.149999999999999" hidden="1" customHeight="1">
      <c r="A1157" s="1" t="s">
        <v>6723</v>
      </c>
      <c r="B1157" s="1"/>
      <c r="C1157" s="1" t="s">
        <v>6724</v>
      </c>
      <c r="D1157" s="1"/>
      <c r="E1157" s="1"/>
      <c r="F1157" s="1"/>
      <c r="G1157" s="1"/>
      <c r="H1157" s="1" t="s">
        <v>640</v>
      </c>
      <c r="I1157" s="1" t="s">
        <v>46</v>
      </c>
      <c r="J1157" s="1" t="s">
        <v>6725</v>
      </c>
      <c r="K1157" s="1" t="s">
        <v>6726</v>
      </c>
      <c r="L1157" s="1" t="s">
        <v>45</v>
      </c>
      <c r="M1157" s="1" t="s">
        <v>46</v>
      </c>
      <c r="N1157" s="1">
        <v>64136</v>
      </c>
      <c r="O1157" s="1">
        <v>2016</v>
      </c>
      <c r="P1157" s="1">
        <v>34136</v>
      </c>
      <c r="Q1157" s="1">
        <v>2016</v>
      </c>
      <c r="R1157" s="1" t="s">
        <v>46</v>
      </c>
      <c r="S1157" s="1">
        <v>1</v>
      </c>
      <c r="T1157" s="1">
        <v>1</v>
      </c>
      <c r="U1157" s="1" t="s">
        <v>6727</v>
      </c>
      <c r="V1157" s="2" t="s">
        <v>40</v>
      </c>
      <c r="W1157" s="2" t="s">
        <v>6728</v>
      </c>
      <c r="X1157" t="s">
        <v>103</v>
      </c>
      <c r="Z1157" s="2" t="s">
        <v>6729</v>
      </c>
    </row>
    <row r="1158" spans="1:36" ht="17.149999999999999" hidden="1" customHeight="1">
      <c r="A1158" s="1" t="s">
        <v>6730</v>
      </c>
      <c r="B1158" s="1"/>
      <c r="C1158" s="1" t="s">
        <v>6731</v>
      </c>
      <c r="D1158" s="1"/>
      <c r="E1158" s="1"/>
      <c r="F1158" s="1"/>
      <c r="G1158" s="1"/>
      <c r="H1158" s="1" t="s">
        <v>110</v>
      </c>
      <c r="I1158" s="1" t="s">
        <v>46</v>
      </c>
      <c r="J1158" s="1" t="s">
        <v>6732</v>
      </c>
      <c r="K1158" s="1" t="s">
        <v>6733</v>
      </c>
      <c r="L1158" s="1" t="s">
        <v>118</v>
      </c>
      <c r="M1158" s="1" t="s">
        <v>6734</v>
      </c>
      <c r="N1158" s="1">
        <v>34000</v>
      </c>
      <c r="O1158" s="1">
        <v>2019</v>
      </c>
      <c r="P1158" s="1">
        <v>34000</v>
      </c>
      <c r="Q1158" s="1">
        <v>2019</v>
      </c>
      <c r="R1158" s="1" t="s">
        <v>46</v>
      </c>
      <c r="S1158" s="1">
        <v>1</v>
      </c>
      <c r="T1158" s="1">
        <v>1</v>
      </c>
      <c r="U1158" s="1" t="s">
        <v>6735</v>
      </c>
    </row>
    <row r="1159" spans="1:36" ht="17.149999999999999" hidden="1" customHeight="1">
      <c r="A1159" s="1" t="s">
        <v>6736</v>
      </c>
      <c r="B1159" s="1"/>
      <c r="C1159" s="1" t="s">
        <v>6737</v>
      </c>
      <c r="D1159" s="1"/>
      <c r="E1159" s="1"/>
      <c r="F1159" s="1"/>
      <c r="G1159" s="1"/>
      <c r="H1159" s="1" t="s">
        <v>110</v>
      </c>
      <c r="I1159" s="1" t="s">
        <v>46</v>
      </c>
      <c r="J1159" s="1" t="s">
        <v>6738</v>
      </c>
      <c r="K1159" s="1" t="s">
        <v>6739</v>
      </c>
      <c r="L1159" s="1" t="s">
        <v>45</v>
      </c>
      <c r="M1159" s="1" t="s">
        <v>46</v>
      </c>
      <c r="N1159" s="1">
        <v>34000</v>
      </c>
      <c r="O1159" s="1">
        <v>2015</v>
      </c>
      <c r="P1159" s="1">
        <v>34000</v>
      </c>
      <c r="Q1159" s="1">
        <v>2015</v>
      </c>
      <c r="R1159" s="1" t="s">
        <v>46</v>
      </c>
      <c r="S1159" s="1">
        <v>1</v>
      </c>
      <c r="T1159" s="1">
        <v>1</v>
      </c>
      <c r="U1159" s="1" t="s">
        <v>6740</v>
      </c>
    </row>
    <row r="1160" spans="1:36" s="73" customFormat="1" ht="17.149999999999999" hidden="1" customHeight="1">
      <c r="A1160" s="1" t="s">
        <v>6741</v>
      </c>
      <c r="B1160" s="1"/>
      <c r="C1160" s="1" t="s">
        <v>6742</v>
      </c>
      <c r="D1160" s="1"/>
      <c r="E1160" s="1"/>
      <c r="F1160" s="1"/>
      <c r="G1160" s="1"/>
      <c r="H1160" s="1" t="s">
        <v>110</v>
      </c>
      <c r="I1160" s="1" t="s">
        <v>46</v>
      </c>
      <c r="J1160" s="1" t="s">
        <v>6743</v>
      </c>
      <c r="K1160" s="1" t="s">
        <v>6744</v>
      </c>
      <c r="L1160" s="1" t="s">
        <v>45</v>
      </c>
      <c r="M1160" s="1" t="s">
        <v>46</v>
      </c>
      <c r="N1160" s="1">
        <v>68377</v>
      </c>
      <c r="O1160" s="1">
        <v>2015</v>
      </c>
      <c r="P1160" s="1">
        <v>32745</v>
      </c>
      <c r="Q1160" s="1">
        <v>2015</v>
      </c>
      <c r="R1160" s="1" t="s">
        <v>46</v>
      </c>
      <c r="S1160" s="1">
        <v>1</v>
      </c>
      <c r="T1160" s="1">
        <v>1</v>
      </c>
      <c r="U1160" s="1" t="s">
        <v>6745</v>
      </c>
      <c r="V1160" s="2"/>
      <c r="W1160" s="2"/>
      <c r="X1160" s="2"/>
      <c r="Y1160" s="2"/>
      <c r="Z1160" s="2"/>
      <c r="AA1160" s="2"/>
      <c r="AB1160" s="2"/>
      <c r="AC1160" s="2"/>
      <c r="AD1160" s="2"/>
      <c r="AE1160" s="2"/>
      <c r="AF1160" s="2"/>
      <c r="AG1160" s="2"/>
      <c r="AH1160" s="2"/>
      <c r="AI1160" s="2"/>
      <c r="AJ1160" s="2"/>
    </row>
    <row r="1161" spans="1:36" ht="17.149999999999999" hidden="1" customHeight="1">
      <c r="A1161" s="1" t="s">
        <v>6746</v>
      </c>
      <c r="B1161" s="1"/>
      <c r="C1161" s="141" t="s">
        <v>6747</v>
      </c>
      <c r="D1161" s="1"/>
      <c r="E1161" s="1"/>
      <c r="F1161" s="1"/>
      <c r="G1161" s="1"/>
      <c r="H1161" s="1" t="s">
        <v>249</v>
      </c>
      <c r="I1161" s="1" t="s">
        <v>4204</v>
      </c>
      <c r="J1161" s="1" t="s">
        <v>6748</v>
      </c>
      <c r="K1161" s="1" t="s">
        <v>6749</v>
      </c>
      <c r="L1161" s="1" t="s">
        <v>45</v>
      </c>
      <c r="M1161" s="1" t="s">
        <v>1566</v>
      </c>
      <c r="N1161" s="1">
        <v>9091</v>
      </c>
      <c r="O1161" s="1">
        <v>2018</v>
      </c>
      <c r="P1161" s="1">
        <v>76293</v>
      </c>
      <c r="Q1161" s="1">
        <v>2018</v>
      </c>
      <c r="R1161" s="1" t="s">
        <v>46</v>
      </c>
      <c r="S1161" s="1">
        <v>1</v>
      </c>
      <c r="T1161" s="1">
        <v>1</v>
      </c>
      <c r="U1161" s="1" t="s">
        <v>6750</v>
      </c>
    </row>
    <row r="1162" spans="1:36" ht="17.149999999999999" hidden="1" customHeight="1">
      <c r="A1162" s="1" t="s">
        <v>6751</v>
      </c>
      <c r="B1162" s="1"/>
      <c r="C1162" s="1" t="s">
        <v>6752</v>
      </c>
      <c r="D1162" s="1"/>
      <c r="E1162" s="1"/>
      <c r="F1162" s="1"/>
      <c r="G1162" s="1"/>
      <c r="H1162" s="1" t="s">
        <v>1171</v>
      </c>
      <c r="I1162" s="1" t="s">
        <v>6753</v>
      </c>
      <c r="J1162" s="1" t="s">
        <v>6754</v>
      </c>
      <c r="K1162" s="1" t="s">
        <v>6755</v>
      </c>
      <c r="L1162" s="1" t="s">
        <v>118</v>
      </c>
      <c r="M1162" s="1" t="s">
        <v>6756</v>
      </c>
      <c r="N1162" s="1">
        <v>32000</v>
      </c>
      <c r="O1162" s="1">
        <v>2025</v>
      </c>
      <c r="P1162" s="1">
        <v>32000</v>
      </c>
      <c r="Q1162" s="1">
        <v>2025</v>
      </c>
      <c r="R1162" s="1" t="s">
        <v>46</v>
      </c>
      <c r="S1162" s="1">
        <v>1</v>
      </c>
      <c r="T1162" s="1" t="s">
        <v>46</v>
      </c>
      <c r="U1162" s="1" t="s">
        <v>6757</v>
      </c>
    </row>
    <row r="1163" spans="1:36" ht="17.149999999999999" hidden="1" customHeight="1">
      <c r="A1163" s="1" t="s">
        <v>6758</v>
      </c>
      <c r="B1163" s="1"/>
      <c r="C1163" s="141" t="s">
        <v>6759</v>
      </c>
      <c r="D1163" s="1"/>
      <c r="E1163" s="1"/>
      <c r="F1163" s="1"/>
      <c r="G1163" s="1"/>
      <c r="H1163" s="1" t="s">
        <v>249</v>
      </c>
      <c r="I1163" s="1" t="s">
        <v>2070</v>
      </c>
      <c r="J1163" s="1" t="s">
        <v>2070</v>
      </c>
      <c r="K1163" s="1" t="s">
        <v>6721</v>
      </c>
      <c r="L1163" s="1" t="s">
        <v>45</v>
      </c>
      <c r="M1163" s="1" t="s">
        <v>46</v>
      </c>
      <c r="N1163" s="1">
        <v>8052</v>
      </c>
      <c r="O1163" s="1">
        <v>2018</v>
      </c>
      <c r="P1163" s="1">
        <v>118360</v>
      </c>
      <c r="Q1163" s="1">
        <v>2018</v>
      </c>
      <c r="R1163" s="1" t="s">
        <v>46</v>
      </c>
      <c r="S1163" s="1">
        <v>1</v>
      </c>
      <c r="T1163" s="1" t="s">
        <v>46</v>
      </c>
      <c r="U1163" s="1" t="s">
        <v>6760</v>
      </c>
    </row>
    <row r="1164" spans="1:36" ht="17.149999999999999" hidden="1" customHeight="1">
      <c r="A1164" s="1" t="s">
        <v>6761</v>
      </c>
      <c r="B1164" s="1"/>
      <c r="C1164" s="1" t="s">
        <v>6762</v>
      </c>
      <c r="D1164" s="1"/>
      <c r="E1164" s="1"/>
      <c r="F1164" s="1"/>
      <c r="G1164" s="1"/>
      <c r="H1164" s="1" t="s">
        <v>110</v>
      </c>
      <c r="I1164" s="1" t="s">
        <v>46</v>
      </c>
      <c r="J1164" s="1" t="s">
        <v>6763</v>
      </c>
      <c r="K1164" s="1" t="s">
        <v>6764</v>
      </c>
      <c r="L1164" s="1" t="s">
        <v>118</v>
      </c>
      <c r="M1164" s="1" t="s">
        <v>6765</v>
      </c>
      <c r="N1164" s="1">
        <v>31500</v>
      </c>
      <c r="O1164" s="1">
        <v>2019</v>
      </c>
      <c r="P1164" s="1">
        <v>31500</v>
      </c>
      <c r="Q1164" s="1">
        <v>2019</v>
      </c>
      <c r="R1164" s="1" t="s">
        <v>46</v>
      </c>
      <c r="S1164" s="1">
        <v>1</v>
      </c>
      <c r="T1164" s="1">
        <v>1</v>
      </c>
      <c r="U1164" s="1" t="s">
        <v>6766</v>
      </c>
    </row>
    <row r="1165" spans="1:36" ht="17.149999999999999" hidden="1" customHeight="1">
      <c r="A1165" s="1" t="s">
        <v>6767</v>
      </c>
      <c r="B1165" s="1"/>
      <c r="C1165" s="141" t="s">
        <v>6768</v>
      </c>
      <c r="D1165" s="1"/>
      <c r="E1165" s="1"/>
      <c r="F1165" s="1"/>
      <c r="G1165" s="1"/>
      <c r="H1165" s="1" t="s">
        <v>249</v>
      </c>
      <c r="I1165" s="1" t="s">
        <v>1728</v>
      </c>
      <c r="J1165" s="1" t="s">
        <v>3879</v>
      </c>
      <c r="K1165" s="1" t="s">
        <v>6769</v>
      </c>
      <c r="L1165" s="1" t="s">
        <v>45</v>
      </c>
      <c r="M1165" s="1" t="s">
        <v>46</v>
      </c>
      <c r="N1165" s="1">
        <v>6995</v>
      </c>
      <c r="O1165" s="1">
        <v>2018</v>
      </c>
      <c r="P1165" s="1">
        <v>60690</v>
      </c>
      <c r="Q1165" s="1">
        <v>2018</v>
      </c>
      <c r="R1165" s="1" t="s">
        <v>46</v>
      </c>
      <c r="S1165" s="1">
        <v>1</v>
      </c>
      <c r="T1165" s="1" t="s">
        <v>46</v>
      </c>
      <c r="U1165" s="1" t="s">
        <v>6770</v>
      </c>
    </row>
    <row r="1166" spans="1:36" ht="17.149999999999999" hidden="1" customHeight="1">
      <c r="A1166" s="1" t="s">
        <v>6771</v>
      </c>
      <c r="B1166" s="1"/>
      <c r="C1166" s="1" t="s">
        <v>6772</v>
      </c>
      <c r="D1166" s="1"/>
      <c r="E1166" s="1"/>
      <c r="F1166" s="1"/>
      <c r="G1166" s="1"/>
      <c r="H1166" s="1" t="s">
        <v>1171</v>
      </c>
      <c r="I1166" s="1" t="s">
        <v>46</v>
      </c>
      <c r="J1166" s="1" t="s">
        <v>6773</v>
      </c>
      <c r="K1166" s="1" t="s">
        <v>6774</v>
      </c>
      <c r="L1166" s="1" t="s">
        <v>118</v>
      </c>
      <c r="M1166" s="1" t="s">
        <v>6775</v>
      </c>
      <c r="N1166" s="1">
        <v>36217</v>
      </c>
      <c r="O1166" s="1">
        <v>2018</v>
      </c>
      <c r="P1166" s="1">
        <v>29949</v>
      </c>
      <c r="Q1166" s="1">
        <v>2018</v>
      </c>
      <c r="R1166" s="1" t="s">
        <v>46</v>
      </c>
      <c r="S1166" s="1">
        <v>1</v>
      </c>
      <c r="T1166" s="1" t="s">
        <v>46</v>
      </c>
      <c r="U1166" s="1" t="s">
        <v>6776</v>
      </c>
    </row>
    <row r="1167" spans="1:36" ht="17.149999999999999" hidden="1" customHeight="1">
      <c r="A1167" s="1" t="s">
        <v>6777</v>
      </c>
      <c r="B1167" s="1"/>
      <c r="C1167" s="1" t="s">
        <v>5612</v>
      </c>
      <c r="D1167" s="1"/>
      <c r="E1167" s="1"/>
      <c r="F1167" s="1"/>
      <c r="G1167" s="1"/>
      <c r="H1167" s="1" t="s">
        <v>128</v>
      </c>
      <c r="I1167" s="1" t="s">
        <v>2419</v>
      </c>
      <c r="J1167" s="1" t="s">
        <v>5613</v>
      </c>
      <c r="K1167" s="1" t="s">
        <v>6778</v>
      </c>
      <c r="L1167" s="1" t="s">
        <v>118</v>
      </c>
      <c r="M1167" s="1" t="s">
        <v>6779</v>
      </c>
      <c r="N1167" s="1">
        <v>71000</v>
      </c>
      <c r="O1167" s="1">
        <v>2017</v>
      </c>
      <c r="P1167" s="1">
        <v>29503</v>
      </c>
      <c r="Q1167" s="1">
        <v>2015</v>
      </c>
      <c r="R1167" s="1" t="s">
        <v>46</v>
      </c>
      <c r="S1167" s="1">
        <v>1</v>
      </c>
      <c r="T1167" s="1">
        <v>1</v>
      </c>
      <c r="U1167" s="1" t="s">
        <v>6780</v>
      </c>
    </row>
    <row r="1168" spans="1:36" ht="17.149999999999999" hidden="1" customHeight="1">
      <c r="A1168" s="1" t="s">
        <v>6781</v>
      </c>
      <c r="B1168" s="1"/>
      <c r="C1168" s="1" t="s">
        <v>6782</v>
      </c>
      <c r="D1168" s="1"/>
      <c r="E1168" s="1"/>
      <c r="F1168" s="1"/>
      <c r="G1168" s="1"/>
      <c r="H1168" s="1" t="s">
        <v>110</v>
      </c>
      <c r="I1168" s="1" t="s">
        <v>46</v>
      </c>
      <c r="J1168" s="1" t="s">
        <v>6783</v>
      </c>
      <c r="K1168" s="1" t="s">
        <v>6784</v>
      </c>
      <c r="L1168" s="1" t="s">
        <v>45</v>
      </c>
      <c r="M1168" s="1" t="s">
        <v>46</v>
      </c>
      <c r="N1168" s="1">
        <v>29039</v>
      </c>
      <c r="O1168" s="1">
        <v>2015</v>
      </c>
      <c r="P1168" s="1">
        <v>29039</v>
      </c>
      <c r="Q1168" s="1">
        <v>2015</v>
      </c>
      <c r="R1168" s="1" t="s">
        <v>46</v>
      </c>
      <c r="S1168" s="1">
        <v>1</v>
      </c>
      <c r="T1168" s="1">
        <v>1</v>
      </c>
      <c r="U1168" s="1" t="s">
        <v>6785</v>
      </c>
    </row>
    <row r="1169" spans="1:36" ht="17.149999999999999" hidden="1" customHeight="1">
      <c r="A1169" s="1" t="s">
        <v>6786</v>
      </c>
      <c r="B1169" s="1"/>
      <c r="C1169" s="1" t="s">
        <v>6787</v>
      </c>
      <c r="D1169" s="1"/>
      <c r="E1169" s="1"/>
      <c r="F1169" s="1"/>
      <c r="G1169" s="1"/>
      <c r="H1169" s="1" t="s">
        <v>500</v>
      </c>
      <c r="I1169" s="1" t="s">
        <v>46</v>
      </c>
      <c r="J1169" s="1" t="s">
        <v>6788</v>
      </c>
      <c r="K1169" s="1" t="s">
        <v>502</v>
      </c>
      <c r="L1169" s="1" t="s">
        <v>45</v>
      </c>
      <c r="M1169" s="1" t="s">
        <v>46</v>
      </c>
      <c r="N1169" s="1" t="s">
        <v>46</v>
      </c>
      <c r="O1169" s="1" t="s">
        <v>46</v>
      </c>
      <c r="P1169" s="1">
        <v>29000</v>
      </c>
      <c r="Q1169" s="1">
        <v>2017</v>
      </c>
      <c r="R1169" s="1" t="s">
        <v>46</v>
      </c>
      <c r="S1169" s="1">
        <v>1</v>
      </c>
      <c r="T1169" s="1" t="s">
        <v>46</v>
      </c>
      <c r="U1169" s="1" t="s">
        <v>6789</v>
      </c>
    </row>
    <row r="1170" spans="1:36" ht="17.149999999999999" hidden="1" customHeight="1">
      <c r="A1170" s="1" t="s">
        <v>6790</v>
      </c>
      <c r="B1170" s="1"/>
      <c r="C1170" s="1" t="s">
        <v>6791</v>
      </c>
      <c r="D1170" s="1"/>
      <c r="E1170" s="1"/>
      <c r="F1170" s="1"/>
      <c r="G1170" s="1"/>
      <c r="H1170" s="1" t="s">
        <v>334</v>
      </c>
      <c r="I1170" s="1" t="s">
        <v>46</v>
      </c>
      <c r="J1170" s="1" t="s">
        <v>6792</v>
      </c>
      <c r="K1170" s="1" t="s">
        <v>6793</v>
      </c>
      <c r="L1170" s="1" t="s">
        <v>45</v>
      </c>
      <c r="M1170" s="1" t="s">
        <v>46</v>
      </c>
      <c r="N1170" s="1">
        <v>47786</v>
      </c>
      <c r="O1170" s="1">
        <v>2015</v>
      </c>
      <c r="P1170" s="1">
        <v>27000</v>
      </c>
      <c r="Q1170" s="1">
        <v>2015</v>
      </c>
      <c r="R1170" s="1" t="s">
        <v>46</v>
      </c>
      <c r="S1170" s="1">
        <v>1</v>
      </c>
      <c r="T1170" s="1" t="s">
        <v>46</v>
      </c>
      <c r="U1170" s="1" t="s">
        <v>6794</v>
      </c>
    </row>
    <row r="1171" spans="1:36" ht="17.149999999999999" hidden="1" customHeight="1">
      <c r="A1171" s="21" t="s">
        <v>6795</v>
      </c>
      <c r="B1171" s="21"/>
      <c r="C1171" s="58" t="s">
        <v>6796</v>
      </c>
      <c r="D1171" s="61"/>
      <c r="E1171" s="61"/>
      <c r="F1171" s="61"/>
      <c r="G1171" s="61"/>
      <c r="H1171" s="21" t="s">
        <v>41</v>
      </c>
      <c r="I1171" s="21" t="s">
        <v>63</v>
      </c>
      <c r="J1171" s="21" t="s">
        <v>6797</v>
      </c>
      <c r="K1171" s="21" t="s">
        <v>6798</v>
      </c>
      <c r="L1171" s="21" t="s">
        <v>151</v>
      </c>
      <c r="M1171" s="21" t="s">
        <v>6799</v>
      </c>
      <c r="N1171" s="21">
        <v>26011</v>
      </c>
      <c r="O1171" s="21">
        <v>2025</v>
      </c>
      <c r="P1171" s="21">
        <v>26011</v>
      </c>
      <c r="Q1171" s="21">
        <v>2025</v>
      </c>
      <c r="R1171" s="21" t="s">
        <v>46</v>
      </c>
      <c r="S1171" s="21">
        <v>1</v>
      </c>
      <c r="T1171" s="21" t="s">
        <v>46</v>
      </c>
      <c r="U1171" s="21" t="s">
        <v>6800</v>
      </c>
      <c r="V1171" s="22" t="s">
        <v>6801</v>
      </c>
      <c r="W1171" s="22"/>
      <c r="X1171" s="22"/>
      <c r="Y1171" s="22"/>
      <c r="Z1171" s="22"/>
      <c r="AA1171" s="22" t="s">
        <v>6802</v>
      </c>
      <c r="AB1171" s="22"/>
      <c r="AC1171" s="22"/>
      <c r="AD1171" s="22"/>
    </row>
    <row r="1172" spans="1:36" ht="17.149999999999999" hidden="1" customHeight="1">
      <c r="A1172" s="1" t="s">
        <v>6803</v>
      </c>
      <c r="B1172" s="1"/>
      <c r="C1172" s="1" t="s">
        <v>6804</v>
      </c>
      <c r="D1172" s="1"/>
      <c r="E1172" s="1"/>
      <c r="F1172" s="1"/>
      <c r="G1172" s="1"/>
      <c r="H1172" s="1" t="s">
        <v>110</v>
      </c>
      <c r="I1172" s="1" t="s">
        <v>46</v>
      </c>
      <c r="J1172" s="1" t="s">
        <v>6805</v>
      </c>
      <c r="K1172" s="1" t="s">
        <v>6806</v>
      </c>
      <c r="L1172" s="1" t="s">
        <v>45</v>
      </c>
      <c r="M1172" s="1" t="s">
        <v>46</v>
      </c>
      <c r="N1172" s="1">
        <v>25355</v>
      </c>
      <c r="O1172" s="1">
        <v>2015</v>
      </c>
      <c r="P1172" s="1">
        <v>25355</v>
      </c>
      <c r="Q1172" s="1">
        <v>2015</v>
      </c>
      <c r="R1172" s="1" t="s">
        <v>46</v>
      </c>
      <c r="S1172" s="1">
        <v>1</v>
      </c>
      <c r="T1172" s="1">
        <v>1</v>
      </c>
      <c r="U1172" s="1" t="s">
        <v>6807</v>
      </c>
    </row>
    <row r="1173" spans="1:36" ht="17.149999999999999" hidden="1" customHeight="1">
      <c r="A1173" s="1" t="s">
        <v>6808</v>
      </c>
      <c r="B1173" s="1"/>
      <c r="C1173" s="1" t="s">
        <v>6809</v>
      </c>
      <c r="D1173" s="1"/>
      <c r="E1173" s="1"/>
      <c r="F1173" s="1"/>
      <c r="G1173" s="1"/>
      <c r="H1173" s="1" t="s">
        <v>177</v>
      </c>
      <c r="I1173" s="1" t="s">
        <v>2310</v>
      </c>
      <c r="J1173" s="1" t="s">
        <v>46</v>
      </c>
      <c r="K1173" s="1" t="s">
        <v>6810</v>
      </c>
      <c r="L1173" s="1" t="s">
        <v>118</v>
      </c>
      <c r="M1173" s="1" t="s">
        <v>46</v>
      </c>
      <c r="N1173" s="1">
        <v>25000</v>
      </c>
      <c r="O1173" s="1">
        <v>2020</v>
      </c>
      <c r="P1173" s="1">
        <v>25000</v>
      </c>
      <c r="Q1173" s="1">
        <v>2020</v>
      </c>
      <c r="R1173" s="1" t="s">
        <v>46</v>
      </c>
      <c r="S1173" s="1">
        <v>1</v>
      </c>
      <c r="T1173" s="1" t="s">
        <v>46</v>
      </c>
      <c r="U1173" s="1" t="s">
        <v>6811</v>
      </c>
    </row>
    <row r="1174" spans="1:36" ht="17.149999999999999" hidden="1" customHeight="1">
      <c r="A1174" s="17" t="s">
        <v>6812</v>
      </c>
      <c r="B1174" s="17"/>
      <c r="C1174" s="61" t="s">
        <v>6813</v>
      </c>
      <c r="D1174" s="61"/>
      <c r="E1174" s="61"/>
      <c r="F1174" s="61"/>
      <c r="G1174" s="61"/>
      <c r="H1174" s="17" t="s">
        <v>41</v>
      </c>
      <c r="I1174" s="17" t="s">
        <v>63</v>
      </c>
      <c r="J1174" s="17" t="s">
        <v>3832</v>
      </c>
      <c r="K1174" s="17" t="s">
        <v>6814</v>
      </c>
      <c r="L1174" s="17" t="s">
        <v>45</v>
      </c>
      <c r="M1174" s="17" t="s">
        <v>46</v>
      </c>
      <c r="N1174" s="17" t="s">
        <v>46</v>
      </c>
      <c r="O1174" s="17" t="s">
        <v>46</v>
      </c>
      <c r="P1174" s="17">
        <v>25000</v>
      </c>
      <c r="Q1174" s="17">
        <v>2015</v>
      </c>
      <c r="R1174" s="17" t="s">
        <v>46</v>
      </c>
      <c r="S1174" s="17">
        <v>1</v>
      </c>
      <c r="T1174" s="17">
        <v>1</v>
      </c>
      <c r="U1174" s="17" t="s">
        <v>6815</v>
      </c>
      <c r="V1174" s="18"/>
      <c r="W1174" s="18"/>
      <c r="X1174" s="18"/>
      <c r="Y1174" s="18"/>
      <c r="Z1174" s="18"/>
      <c r="AA1174" s="18"/>
      <c r="AB1174" s="18"/>
      <c r="AC1174" s="18"/>
      <c r="AD1174" s="18"/>
    </row>
    <row r="1175" spans="1:36" ht="17.149999999999999" customHeight="1">
      <c r="A1175" s="14" t="s">
        <v>6816</v>
      </c>
      <c r="B1175" s="14" t="s">
        <v>37</v>
      </c>
      <c r="C1175" s="56" t="s">
        <v>6817</v>
      </c>
      <c r="D1175" s="17" t="s">
        <v>6817</v>
      </c>
      <c r="E1175" s="17" t="s">
        <v>6817</v>
      </c>
      <c r="F1175" s="1" t="s">
        <v>62</v>
      </c>
      <c r="G1175" s="61" t="s">
        <v>40</v>
      </c>
      <c r="H1175" s="14" t="s">
        <v>41</v>
      </c>
      <c r="I1175" s="14" t="s">
        <v>592</v>
      </c>
      <c r="J1175" s="14" t="s">
        <v>6818</v>
      </c>
      <c r="K1175" s="14" t="s">
        <v>6819</v>
      </c>
      <c r="L1175" s="14" t="s">
        <v>45</v>
      </c>
      <c r="M1175" s="14" t="s">
        <v>46</v>
      </c>
      <c r="N1175" s="14" t="s">
        <v>46</v>
      </c>
      <c r="O1175" s="14" t="s">
        <v>46</v>
      </c>
      <c r="P1175" s="14">
        <v>238200</v>
      </c>
      <c r="Q1175" s="14">
        <v>2016</v>
      </c>
      <c r="R1175" s="14" t="s">
        <v>46</v>
      </c>
      <c r="S1175" s="14">
        <v>1</v>
      </c>
      <c r="T1175" s="14">
        <v>1</v>
      </c>
      <c r="U1175" s="14" t="s">
        <v>6820</v>
      </c>
      <c r="V1175" s="6" t="s">
        <v>103</v>
      </c>
      <c r="W1175" s="6" t="s">
        <v>78</v>
      </c>
      <c r="X1175" s="6" t="s">
        <v>40</v>
      </c>
      <c r="Y1175" s="6"/>
      <c r="Z1175" s="6" t="s">
        <v>6821</v>
      </c>
      <c r="AA1175" s="6" t="s">
        <v>6822</v>
      </c>
      <c r="AB1175" s="6"/>
      <c r="AC1175" s="6" t="s">
        <v>6823</v>
      </c>
      <c r="AD1175" s="8" t="s">
        <v>286</v>
      </c>
      <c r="AE1175" s="2">
        <v>3</v>
      </c>
      <c r="AF1175" s="2" t="s">
        <v>1263</v>
      </c>
      <c r="AJ1175" s="2" t="s">
        <v>57</v>
      </c>
    </row>
    <row r="1176" spans="1:36" ht="17.149999999999999" hidden="1" customHeight="1">
      <c r="A1176" s="1" t="s">
        <v>6824</v>
      </c>
      <c r="B1176" s="1"/>
      <c r="C1176" s="1" t="s">
        <v>6825</v>
      </c>
      <c r="D1176" s="1"/>
      <c r="E1176" s="1"/>
      <c r="F1176" s="1"/>
      <c r="G1176" s="1"/>
      <c r="H1176" s="1" t="s">
        <v>110</v>
      </c>
      <c r="I1176" s="1" t="s">
        <v>46</v>
      </c>
      <c r="J1176" s="1" t="s">
        <v>6826</v>
      </c>
      <c r="K1176" s="1" t="s">
        <v>6827</v>
      </c>
      <c r="L1176" s="1" t="s">
        <v>45</v>
      </c>
      <c r="M1176" s="1" t="s">
        <v>46</v>
      </c>
      <c r="N1176" s="1">
        <v>24500</v>
      </c>
      <c r="O1176" s="1">
        <v>2015</v>
      </c>
      <c r="P1176" s="1">
        <v>24500</v>
      </c>
      <c r="Q1176" s="1">
        <v>2015</v>
      </c>
      <c r="R1176" s="1" t="s">
        <v>46</v>
      </c>
      <c r="S1176" s="1">
        <v>1</v>
      </c>
      <c r="T1176" s="1">
        <v>1</v>
      </c>
      <c r="U1176" s="1" t="s">
        <v>6828</v>
      </c>
    </row>
    <row r="1177" spans="1:36" ht="17.149999999999999" hidden="1" customHeight="1">
      <c r="A1177" s="1" t="s">
        <v>6829</v>
      </c>
      <c r="B1177" s="1"/>
      <c r="C1177" s="1" t="s">
        <v>6830</v>
      </c>
      <c r="D1177" s="1"/>
      <c r="E1177" s="1"/>
      <c r="F1177" s="1"/>
      <c r="G1177" s="1"/>
      <c r="H1177" s="1" t="s">
        <v>110</v>
      </c>
      <c r="I1177" s="1" t="s">
        <v>46</v>
      </c>
      <c r="J1177" s="1" t="s">
        <v>6831</v>
      </c>
      <c r="K1177" s="1" t="s">
        <v>6832</v>
      </c>
      <c r="L1177" s="1" t="s">
        <v>45</v>
      </c>
      <c r="M1177" s="1" t="s">
        <v>46</v>
      </c>
      <c r="N1177" s="1">
        <v>23367</v>
      </c>
      <c r="O1177" s="1">
        <v>2015</v>
      </c>
      <c r="P1177" s="1">
        <v>23367</v>
      </c>
      <c r="Q1177" s="1">
        <v>2015</v>
      </c>
      <c r="R1177" s="1" t="s">
        <v>46</v>
      </c>
      <c r="S1177" s="1">
        <v>1</v>
      </c>
      <c r="T1177" s="1">
        <v>1</v>
      </c>
      <c r="U1177" s="1" t="s">
        <v>6833</v>
      </c>
    </row>
    <row r="1178" spans="1:36" ht="17.149999999999999" hidden="1" customHeight="1">
      <c r="A1178" s="1" t="s">
        <v>6834</v>
      </c>
      <c r="B1178" s="1"/>
      <c r="C1178" s="1" t="s">
        <v>6835</v>
      </c>
      <c r="D1178" s="1"/>
      <c r="E1178" s="1"/>
      <c r="F1178" s="1"/>
      <c r="G1178" s="1"/>
      <c r="H1178" s="1" t="s">
        <v>128</v>
      </c>
      <c r="I1178" s="1" t="s">
        <v>46</v>
      </c>
      <c r="J1178" s="1" t="s">
        <v>46</v>
      </c>
      <c r="K1178" s="1" t="s">
        <v>6836</v>
      </c>
      <c r="L1178" s="1" t="s">
        <v>118</v>
      </c>
      <c r="M1178" s="1" t="s">
        <v>46</v>
      </c>
      <c r="N1178" s="1">
        <v>23300</v>
      </c>
      <c r="O1178" s="1">
        <v>2020</v>
      </c>
      <c r="P1178" s="1">
        <v>23300</v>
      </c>
      <c r="Q1178" s="1">
        <v>2020</v>
      </c>
      <c r="R1178" s="1" t="s">
        <v>46</v>
      </c>
      <c r="S1178" s="1">
        <v>1</v>
      </c>
      <c r="T1178" s="1">
        <v>1</v>
      </c>
      <c r="U1178" s="1" t="s">
        <v>6837</v>
      </c>
    </row>
    <row r="1179" spans="1:36" ht="17.149999999999999" hidden="1" customHeight="1">
      <c r="A1179" s="1" t="s">
        <v>6838</v>
      </c>
      <c r="B1179" s="1"/>
      <c r="C1179" s="1" t="s">
        <v>6839</v>
      </c>
      <c r="D1179" s="1"/>
      <c r="E1179" s="1"/>
      <c r="F1179" s="1"/>
      <c r="G1179" s="1"/>
      <c r="H1179" s="1" t="s">
        <v>1669</v>
      </c>
      <c r="I1179" s="1" t="s">
        <v>6840</v>
      </c>
      <c r="J1179" s="1" t="s">
        <v>6841</v>
      </c>
      <c r="K1179" s="1" t="s">
        <v>6842</v>
      </c>
      <c r="L1179" s="1" t="s">
        <v>45</v>
      </c>
      <c r="M1179" s="1" t="s">
        <v>46</v>
      </c>
      <c r="N1179" s="1">
        <v>7948</v>
      </c>
      <c r="O1179" s="1">
        <v>2023</v>
      </c>
      <c r="P1179" s="1">
        <v>22874</v>
      </c>
      <c r="Q1179" s="1">
        <v>2023</v>
      </c>
      <c r="R1179" s="1" t="s">
        <v>46</v>
      </c>
      <c r="S1179" s="1">
        <v>1</v>
      </c>
      <c r="T1179" s="1" t="s">
        <v>46</v>
      </c>
      <c r="U1179" s="1" t="s">
        <v>6843</v>
      </c>
    </row>
    <row r="1180" spans="1:36" ht="17.149999999999999" hidden="1" customHeight="1">
      <c r="A1180" s="1" t="s">
        <v>6844</v>
      </c>
      <c r="B1180" s="1"/>
      <c r="C1180" s="1" t="s">
        <v>6845</v>
      </c>
      <c r="D1180" s="1"/>
      <c r="E1180" s="1"/>
      <c r="F1180" s="1"/>
      <c r="G1180" s="1"/>
      <c r="H1180" s="1" t="s">
        <v>500</v>
      </c>
      <c r="I1180" s="1" t="s">
        <v>46</v>
      </c>
      <c r="J1180" s="1" t="s">
        <v>6846</v>
      </c>
      <c r="K1180" s="1" t="s">
        <v>508</v>
      </c>
      <c r="L1180" s="1" t="s">
        <v>45</v>
      </c>
      <c r="M1180" s="1" t="s">
        <v>46</v>
      </c>
      <c r="N1180" s="1">
        <v>21615</v>
      </c>
      <c r="O1180" s="1">
        <v>2016</v>
      </c>
      <c r="P1180" s="1">
        <v>21400</v>
      </c>
      <c r="Q1180" s="1">
        <v>2016</v>
      </c>
      <c r="R1180" s="1" t="s">
        <v>46</v>
      </c>
      <c r="S1180" s="1">
        <v>1</v>
      </c>
      <c r="T1180" s="1">
        <v>1</v>
      </c>
      <c r="U1180" s="1" t="s">
        <v>6847</v>
      </c>
    </row>
    <row r="1181" spans="1:36" ht="17.149999999999999" hidden="1" customHeight="1">
      <c r="A1181" s="1" t="s">
        <v>6848</v>
      </c>
      <c r="B1181" s="1"/>
      <c r="C1181" s="1" t="s">
        <v>6849</v>
      </c>
      <c r="D1181" s="1"/>
      <c r="E1181" s="1"/>
      <c r="F1181" s="1"/>
      <c r="G1181" s="1"/>
      <c r="H1181" s="1" t="s">
        <v>128</v>
      </c>
      <c r="I1181" s="1" t="s">
        <v>908</v>
      </c>
      <c r="J1181" s="1" t="s">
        <v>6850</v>
      </c>
      <c r="K1181" s="1" t="s">
        <v>6851</v>
      </c>
      <c r="L1181" s="1" t="s">
        <v>151</v>
      </c>
      <c r="M1181" s="1" t="s">
        <v>6852</v>
      </c>
      <c r="N1181" s="1">
        <v>21100</v>
      </c>
      <c r="O1181" s="1">
        <v>2015</v>
      </c>
      <c r="P1181" s="1">
        <v>21100</v>
      </c>
      <c r="Q1181" s="1">
        <v>2015</v>
      </c>
      <c r="R1181" s="1" t="s">
        <v>46</v>
      </c>
      <c r="S1181" s="1">
        <v>1</v>
      </c>
      <c r="T1181" s="1">
        <v>1</v>
      </c>
      <c r="U1181" s="1" t="s">
        <v>6853</v>
      </c>
    </row>
    <row r="1182" spans="1:36" ht="17.149999999999999" hidden="1" customHeight="1">
      <c r="A1182" s="1" t="s">
        <v>6854</v>
      </c>
      <c r="B1182" s="1"/>
      <c r="C1182" s="1" t="s">
        <v>6855</v>
      </c>
      <c r="D1182" s="1"/>
      <c r="E1182" s="1"/>
      <c r="F1182" s="1"/>
      <c r="G1182" s="1"/>
      <c r="H1182" s="1" t="s">
        <v>128</v>
      </c>
      <c r="I1182" s="1" t="s">
        <v>5678</v>
      </c>
      <c r="J1182" s="1" t="s">
        <v>6856</v>
      </c>
      <c r="K1182" s="1" t="s">
        <v>6857</v>
      </c>
      <c r="L1182" s="1" t="s">
        <v>151</v>
      </c>
      <c r="M1182" s="1" t="s">
        <v>6858</v>
      </c>
      <c r="N1182" s="1">
        <v>22805</v>
      </c>
      <c r="O1182" s="1">
        <v>2015</v>
      </c>
      <c r="P1182" s="1">
        <v>21012</v>
      </c>
      <c r="Q1182" s="1">
        <v>2015</v>
      </c>
      <c r="R1182" s="1" t="s">
        <v>46</v>
      </c>
      <c r="S1182" s="1">
        <v>1</v>
      </c>
      <c r="T1182" s="1">
        <v>1</v>
      </c>
      <c r="U1182" s="1" t="s">
        <v>6859</v>
      </c>
    </row>
    <row r="1183" spans="1:36" ht="17.149999999999999" hidden="1" customHeight="1">
      <c r="A1183" s="1" t="s">
        <v>6860</v>
      </c>
      <c r="B1183" s="1"/>
      <c r="C1183" s="1" t="s">
        <v>6861</v>
      </c>
      <c r="D1183" s="1"/>
      <c r="E1183" s="1"/>
      <c r="F1183" s="1"/>
      <c r="G1183" s="1"/>
      <c r="H1183" s="1" t="s">
        <v>110</v>
      </c>
      <c r="I1183" s="1" t="s">
        <v>46</v>
      </c>
      <c r="J1183" s="1" t="s">
        <v>6862</v>
      </c>
      <c r="K1183" s="1" t="s">
        <v>6863</v>
      </c>
      <c r="L1183" s="1" t="s">
        <v>45</v>
      </c>
      <c r="M1183" s="1" t="s">
        <v>46</v>
      </c>
      <c r="N1183" s="1">
        <v>20206</v>
      </c>
      <c r="O1183" s="1">
        <v>2019</v>
      </c>
      <c r="P1183" s="1">
        <v>20206</v>
      </c>
      <c r="Q1183" s="1">
        <v>2019</v>
      </c>
      <c r="R1183" s="1" t="s">
        <v>46</v>
      </c>
      <c r="S1183" s="1">
        <v>1</v>
      </c>
      <c r="T1183" s="1">
        <v>1</v>
      </c>
      <c r="U1183" s="1" t="s">
        <v>6864</v>
      </c>
    </row>
    <row r="1184" spans="1:36" ht="17.149999999999999" hidden="1" customHeight="1">
      <c r="A1184" s="1" t="s">
        <v>6865</v>
      </c>
      <c r="B1184" s="1"/>
      <c r="C1184" s="1" t="s">
        <v>6866</v>
      </c>
      <c r="D1184" s="1"/>
      <c r="E1184" s="1"/>
      <c r="F1184" s="1"/>
      <c r="G1184" s="1"/>
      <c r="H1184" s="1" t="s">
        <v>500</v>
      </c>
      <c r="I1184" s="1" t="s">
        <v>46</v>
      </c>
      <c r="J1184" s="1" t="s">
        <v>6867</v>
      </c>
      <c r="K1184" s="1" t="s">
        <v>508</v>
      </c>
      <c r="L1184" s="1" t="s">
        <v>45</v>
      </c>
      <c r="M1184" s="1" t="s">
        <v>46</v>
      </c>
      <c r="N1184" s="1">
        <v>16309</v>
      </c>
      <c r="O1184" s="1">
        <v>2018</v>
      </c>
      <c r="P1184" s="1">
        <v>16309</v>
      </c>
      <c r="Q1184" s="1">
        <v>2018</v>
      </c>
      <c r="R1184" s="1" t="s">
        <v>46</v>
      </c>
      <c r="S1184" s="1">
        <v>1</v>
      </c>
      <c r="T1184" s="1" t="s">
        <v>46</v>
      </c>
      <c r="U1184" s="1" t="s">
        <v>6868</v>
      </c>
    </row>
    <row r="1185" spans="1:41" ht="17.149999999999999" hidden="1" customHeight="1">
      <c r="A1185" s="17" t="s">
        <v>6869</v>
      </c>
      <c r="B1185" s="17"/>
      <c r="C1185" s="61" t="s">
        <v>6870</v>
      </c>
      <c r="D1185" s="61"/>
      <c r="E1185" s="61"/>
      <c r="F1185" s="61"/>
      <c r="G1185" s="61"/>
      <c r="H1185" s="17" t="s">
        <v>41</v>
      </c>
      <c r="I1185" s="17" t="s">
        <v>592</v>
      </c>
      <c r="J1185" s="17" t="s">
        <v>46</v>
      </c>
      <c r="K1185" s="17" t="s">
        <v>6871</v>
      </c>
      <c r="L1185" s="17" t="s">
        <v>151</v>
      </c>
      <c r="M1185" s="17" t="s">
        <v>6872</v>
      </c>
      <c r="N1185" s="17">
        <v>10992</v>
      </c>
      <c r="O1185" s="17">
        <v>2025</v>
      </c>
      <c r="P1185" s="17">
        <v>10992</v>
      </c>
      <c r="Q1185" s="17">
        <v>2025</v>
      </c>
      <c r="R1185" s="17">
        <v>1</v>
      </c>
      <c r="S1185" s="17" t="s">
        <v>46</v>
      </c>
      <c r="T1185" s="17" t="s">
        <v>46</v>
      </c>
      <c r="U1185" s="17" t="s">
        <v>6873</v>
      </c>
      <c r="V1185" s="18"/>
      <c r="W1185" s="18"/>
      <c r="X1185" s="18"/>
      <c r="Y1185" s="18"/>
      <c r="Z1185" s="18"/>
      <c r="AA1185" s="18"/>
      <c r="AB1185" s="18"/>
      <c r="AC1185" s="18"/>
      <c r="AD1185" s="18"/>
    </row>
    <row r="1186" spans="1:41" ht="17.149999999999999" hidden="1" customHeight="1">
      <c r="A1186" s="1" t="s">
        <v>6874</v>
      </c>
      <c r="B1186" s="1"/>
      <c r="C1186" s="1" t="s">
        <v>6875</v>
      </c>
      <c r="D1186" s="1"/>
      <c r="E1186" s="1"/>
      <c r="F1186" s="1"/>
      <c r="G1186" s="1"/>
      <c r="H1186" s="1" t="s">
        <v>500</v>
      </c>
      <c r="I1186" s="1" t="s">
        <v>46</v>
      </c>
      <c r="J1186" s="1" t="s">
        <v>6876</v>
      </c>
      <c r="K1186" s="1" t="s">
        <v>508</v>
      </c>
      <c r="L1186" s="1" t="s">
        <v>45</v>
      </c>
      <c r="M1186" s="1" t="s">
        <v>46</v>
      </c>
      <c r="N1186" s="1">
        <v>18296</v>
      </c>
      <c r="O1186" s="1">
        <v>2016</v>
      </c>
      <c r="P1186" s="1">
        <v>8316</v>
      </c>
      <c r="Q1186" s="1">
        <v>2016</v>
      </c>
      <c r="R1186" s="1" t="s">
        <v>46</v>
      </c>
      <c r="S1186" s="1">
        <v>1</v>
      </c>
      <c r="T1186" s="1" t="s">
        <v>46</v>
      </c>
      <c r="U1186" s="1" t="s">
        <v>6877</v>
      </c>
    </row>
    <row r="1187" spans="1:41" ht="17.149999999999999" hidden="1" customHeight="1">
      <c r="A1187" s="1" t="s">
        <v>6878</v>
      </c>
      <c r="B1187" s="1"/>
      <c r="C1187" s="1" t="s">
        <v>6879</v>
      </c>
      <c r="D1187" s="1"/>
      <c r="E1187" s="1"/>
      <c r="F1187" s="1"/>
      <c r="G1187" s="1"/>
      <c r="H1187" s="1" t="s">
        <v>110</v>
      </c>
      <c r="I1187" s="1" t="s">
        <v>46</v>
      </c>
      <c r="J1187" s="1" t="s">
        <v>6880</v>
      </c>
      <c r="K1187" s="1" t="s">
        <v>6881</v>
      </c>
      <c r="L1187" s="1" t="s">
        <v>45</v>
      </c>
      <c r="M1187" s="1" t="s">
        <v>46</v>
      </c>
      <c r="N1187" s="1">
        <v>72493</v>
      </c>
      <c r="O1187" s="1">
        <v>2015</v>
      </c>
      <c r="P1187" s="1">
        <v>8055</v>
      </c>
      <c r="Q1187" s="1">
        <v>2015</v>
      </c>
      <c r="R1187" s="1" t="s">
        <v>46</v>
      </c>
      <c r="S1187" s="1">
        <v>1</v>
      </c>
      <c r="T1187" s="1">
        <v>1</v>
      </c>
      <c r="U1187" s="1" t="s">
        <v>6882</v>
      </c>
    </row>
    <row r="1188" spans="1:41" ht="17.149999999999999" hidden="1" customHeight="1">
      <c r="A1188" s="1" t="s">
        <v>6883</v>
      </c>
      <c r="B1188" s="1"/>
      <c r="C1188" s="1" t="s">
        <v>6884</v>
      </c>
      <c r="D1188" s="1"/>
      <c r="E1188" s="1"/>
      <c r="F1188" s="1"/>
      <c r="G1188" s="1"/>
      <c r="H1188" s="1" t="s">
        <v>128</v>
      </c>
      <c r="I1188" s="1" t="s">
        <v>46</v>
      </c>
      <c r="J1188" s="1" t="s">
        <v>46</v>
      </c>
      <c r="K1188" s="1" t="s">
        <v>6885</v>
      </c>
      <c r="L1188" s="1" t="s">
        <v>118</v>
      </c>
      <c r="M1188" s="1" t="s">
        <v>46</v>
      </c>
      <c r="N1188" s="1">
        <v>8000</v>
      </c>
      <c r="O1188" s="1">
        <v>2020</v>
      </c>
      <c r="P1188" s="1">
        <v>8000</v>
      </c>
      <c r="Q1188" s="1">
        <v>2020</v>
      </c>
      <c r="R1188" s="1" t="s">
        <v>46</v>
      </c>
      <c r="S1188" s="1">
        <v>1</v>
      </c>
      <c r="T1188" s="1" t="s">
        <v>46</v>
      </c>
      <c r="U1188" s="1" t="s">
        <v>6886</v>
      </c>
    </row>
    <row r="1189" spans="1:41" ht="17.149999999999999" hidden="1" customHeight="1">
      <c r="A1189" s="1" t="s">
        <v>6887</v>
      </c>
      <c r="B1189" s="1"/>
      <c r="C1189" s="1" t="s">
        <v>6888</v>
      </c>
      <c r="D1189" s="1"/>
      <c r="E1189" s="1"/>
      <c r="F1189" s="1"/>
      <c r="G1189" s="1"/>
      <c r="H1189" s="1" t="s">
        <v>110</v>
      </c>
      <c r="I1189" s="1" t="s">
        <v>46</v>
      </c>
      <c r="J1189" s="1" t="s">
        <v>3892</v>
      </c>
      <c r="K1189" s="1" t="s">
        <v>6889</v>
      </c>
      <c r="L1189" s="1" t="s">
        <v>118</v>
      </c>
      <c r="M1189" s="1" t="s">
        <v>172</v>
      </c>
      <c r="N1189" s="1">
        <v>155000</v>
      </c>
      <c r="O1189" s="1">
        <v>2019</v>
      </c>
      <c r="P1189" s="1">
        <v>7424</v>
      </c>
      <c r="Q1189" s="1">
        <v>2015</v>
      </c>
      <c r="R1189" s="1" t="s">
        <v>46</v>
      </c>
      <c r="S1189" s="1">
        <v>1</v>
      </c>
      <c r="T1189" s="1">
        <v>1</v>
      </c>
      <c r="U1189" s="1" t="s">
        <v>6890</v>
      </c>
    </row>
    <row r="1190" spans="1:41" ht="17.149999999999999" hidden="1" customHeight="1">
      <c r="A1190" s="1" t="s">
        <v>6891</v>
      </c>
      <c r="B1190" s="1"/>
      <c r="C1190" s="1" t="s">
        <v>6892</v>
      </c>
      <c r="D1190" s="1"/>
      <c r="E1190" s="1"/>
      <c r="F1190" s="1"/>
      <c r="G1190" s="1"/>
      <c r="H1190" s="1" t="s">
        <v>500</v>
      </c>
      <c r="I1190" s="1" t="s">
        <v>46</v>
      </c>
      <c r="J1190" s="1" t="s">
        <v>6893</v>
      </c>
      <c r="K1190" s="1" t="s">
        <v>508</v>
      </c>
      <c r="L1190" s="1" t="s">
        <v>45</v>
      </c>
      <c r="M1190" s="1" t="s">
        <v>46</v>
      </c>
      <c r="N1190" s="1">
        <v>7000</v>
      </c>
      <c r="O1190" s="1">
        <v>2015</v>
      </c>
      <c r="P1190" s="1">
        <v>6100</v>
      </c>
      <c r="Q1190" s="1">
        <v>2015</v>
      </c>
      <c r="R1190" s="1" t="s">
        <v>46</v>
      </c>
      <c r="S1190" s="1">
        <v>1</v>
      </c>
      <c r="T1190" s="1" t="s">
        <v>46</v>
      </c>
      <c r="U1190" s="1" t="s">
        <v>6894</v>
      </c>
    </row>
    <row r="1191" spans="1:41" s="36" customFormat="1" ht="17.149999999999999" hidden="1" customHeight="1">
      <c r="A1191" s="1" t="s">
        <v>6895</v>
      </c>
      <c r="B1191" s="1"/>
      <c r="C1191" s="1" t="s">
        <v>6896</v>
      </c>
      <c r="D1191" s="1"/>
      <c r="E1191" s="1"/>
      <c r="F1191" s="1"/>
      <c r="G1191" s="1"/>
      <c r="H1191" s="1" t="s">
        <v>110</v>
      </c>
      <c r="I1191" s="1" t="s">
        <v>46</v>
      </c>
      <c r="J1191" s="1" t="s">
        <v>6897</v>
      </c>
      <c r="K1191" s="1" t="s">
        <v>6898</v>
      </c>
      <c r="L1191" s="1" t="s">
        <v>118</v>
      </c>
      <c r="M1191" s="1" t="s">
        <v>6899</v>
      </c>
      <c r="N1191" s="1">
        <v>34466</v>
      </c>
      <c r="O1191" s="1">
        <v>2015</v>
      </c>
      <c r="P1191" s="1">
        <v>6080</v>
      </c>
      <c r="Q1191" s="1">
        <v>2015</v>
      </c>
      <c r="R1191" s="1" t="s">
        <v>46</v>
      </c>
      <c r="S1191" s="1">
        <v>1</v>
      </c>
      <c r="T1191" s="1">
        <v>1</v>
      </c>
      <c r="U1191" s="1" t="s">
        <v>6900</v>
      </c>
      <c r="V1191" s="2"/>
      <c r="W1191" s="2"/>
      <c r="X1191" s="2"/>
      <c r="Y1191" s="2"/>
      <c r="Z1191" s="2"/>
      <c r="AA1191" s="2"/>
      <c r="AB1191" s="2"/>
      <c r="AC1191" s="2"/>
      <c r="AD1191" s="2"/>
      <c r="AE1191" s="2"/>
      <c r="AF1191" s="2"/>
      <c r="AG1191" s="2"/>
      <c r="AH1191" s="2"/>
      <c r="AI1191" s="2"/>
      <c r="AJ1191" s="2"/>
    </row>
    <row r="1192" spans="1:41" ht="17.149999999999999" hidden="1" customHeight="1">
      <c r="A1192" s="1" t="s">
        <v>6901</v>
      </c>
      <c r="B1192" s="1"/>
      <c r="C1192" s="1" t="s">
        <v>6902</v>
      </c>
      <c r="D1192" s="1"/>
      <c r="E1192" s="1"/>
      <c r="F1192" s="1"/>
      <c r="G1192" s="1"/>
      <c r="H1192" s="1" t="s">
        <v>128</v>
      </c>
      <c r="I1192" s="1" t="s">
        <v>6903</v>
      </c>
      <c r="J1192" s="1" t="s">
        <v>6904</v>
      </c>
      <c r="K1192" s="1" t="s">
        <v>6905</v>
      </c>
      <c r="L1192" s="1" t="s">
        <v>118</v>
      </c>
      <c r="M1192" s="1" t="s">
        <v>6906</v>
      </c>
      <c r="N1192" s="1">
        <v>5517</v>
      </c>
      <c r="O1192" s="1">
        <v>2015</v>
      </c>
      <c r="P1192" s="1">
        <v>5275</v>
      </c>
      <c r="Q1192" s="1">
        <v>2015</v>
      </c>
      <c r="R1192" s="1" t="s">
        <v>46</v>
      </c>
      <c r="S1192" s="1">
        <v>1</v>
      </c>
      <c r="T1192" s="1">
        <v>1</v>
      </c>
      <c r="U1192" s="1" t="s">
        <v>6907</v>
      </c>
    </row>
    <row r="1193" spans="1:41" ht="17.149999999999999" hidden="1" customHeight="1">
      <c r="A1193" s="1" t="s">
        <v>6908</v>
      </c>
      <c r="B1193" s="1"/>
      <c r="C1193" s="141" t="s">
        <v>6909</v>
      </c>
      <c r="D1193" s="1"/>
      <c r="E1193" s="1"/>
      <c r="F1193" s="1"/>
      <c r="G1193" s="1"/>
      <c r="H1193" s="1" t="s">
        <v>249</v>
      </c>
      <c r="I1193" s="1" t="s">
        <v>4059</v>
      </c>
      <c r="J1193" s="1" t="s">
        <v>6910</v>
      </c>
      <c r="K1193" s="1" t="s">
        <v>6911</v>
      </c>
      <c r="L1193" s="1" t="s">
        <v>45</v>
      </c>
      <c r="M1193" s="1" t="s">
        <v>6912</v>
      </c>
      <c r="N1193" s="1">
        <v>1559</v>
      </c>
      <c r="O1193" s="1">
        <v>2018</v>
      </c>
      <c r="P1193" s="1">
        <v>83958</v>
      </c>
      <c r="Q1193" s="1">
        <v>2018</v>
      </c>
      <c r="R1193" s="1" t="s">
        <v>46</v>
      </c>
      <c r="S1193" s="1">
        <v>1</v>
      </c>
      <c r="T1193" s="1">
        <v>1</v>
      </c>
      <c r="U1193" s="1" t="s">
        <v>6913</v>
      </c>
    </row>
    <row r="1194" spans="1:41" ht="17.149999999999999" hidden="1" customHeight="1">
      <c r="A1194" s="1" t="s">
        <v>6914</v>
      </c>
      <c r="B1194" s="1"/>
      <c r="C1194" s="1" t="s">
        <v>6915</v>
      </c>
      <c r="D1194" s="1"/>
      <c r="E1194" s="1"/>
      <c r="F1194" s="1"/>
      <c r="G1194" s="1"/>
      <c r="H1194" s="1" t="s">
        <v>500</v>
      </c>
      <c r="I1194" s="1" t="s">
        <v>46</v>
      </c>
      <c r="J1194" s="1" t="s">
        <v>6916</v>
      </c>
      <c r="K1194" s="1" t="s">
        <v>508</v>
      </c>
      <c r="L1194" s="1" t="s">
        <v>45</v>
      </c>
      <c r="M1194" s="1" t="s">
        <v>46</v>
      </c>
      <c r="N1194" s="1">
        <v>4700</v>
      </c>
      <c r="O1194" s="1">
        <v>2017</v>
      </c>
      <c r="P1194" s="1">
        <v>4600</v>
      </c>
      <c r="Q1194" s="1">
        <v>2017</v>
      </c>
      <c r="R1194" s="1" t="s">
        <v>46</v>
      </c>
      <c r="S1194" s="1">
        <v>1</v>
      </c>
      <c r="T1194" s="1" t="s">
        <v>46</v>
      </c>
      <c r="U1194" s="1" t="s">
        <v>6917</v>
      </c>
    </row>
    <row r="1195" spans="1:41" ht="17.149999999999999" hidden="1" customHeight="1">
      <c r="A1195" s="17" t="s">
        <v>6918</v>
      </c>
      <c r="B1195" s="17"/>
      <c r="C1195" s="61" t="s">
        <v>6919</v>
      </c>
      <c r="D1195" s="61"/>
      <c r="E1195" s="61"/>
      <c r="F1195" s="61"/>
      <c r="G1195" s="61"/>
      <c r="H1195" s="17" t="s">
        <v>41</v>
      </c>
      <c r="I1195" s="17" t="s">
        <v>518</v>
      </c>
      <c r="J1195" s="17" t="s">
        <v>6920</v>
      </c>
      <c r="K1195" s="17" t="s">
        <v>6921</v>
      </c>
      <c r="L1195" s="17" t="s">
        <v>45</v>
      </c>
      <c r="M1195" s="17" t="s">
        <v>46</v>
      </c>
      <c r="N1195" s="17" t="s">
        <v>46</v>
      </c>
      <c r="O1195" s="17" t="s">
        <v>46</v>
      </c>
      <c r="P1195" s="17">
        <v>180</v>
      </c>
      <c r="Q1195" s="17">
        <v>2016</v>
      </c>
      <c r="R1195" s="17" t="s">
        <v>46</v>
      </c>
      <c r="S1195" s="17">
        <v>1</v>
      </c>
      <c r="T1195" s="17">
        <v>1</v>
      </c>
      <c r="U1195" s="17" t="s">
        <v>6922</v>
      </c>
      <c r="V1195" s="18"/>
      <c r="W1195" s="18"/>
      <c r="X1195" s="18"/>
      <c r="Y1195" s="18"/>
      <c r="Z1195" s="18"/>
      <c r="AA1195" s="18"/>
      <c r="AB1195" s="18"/>
      <c r="AC1195" s="18"/>
      <c r="AD1195" s="18"/>
    </row>
    <row r="1196" spans="1:41" ht="17.149999999999999" customHeight="1">
      <c r="A1196" s="41" t="s">
        <v>6923</v>
      </c>
      <c r="B1196" s="41" t="s">
        <v>175</v>
      </c>
      <c r="C1196" s="41" t="s">
        <v>6924</v>
      </c>
      <c r="D1196" s="1" t="s">
        <v>6924</v>
      </c>
      <c r="E1196" s="117" t="s">
        <v>6925</v>
      </c>
      <c r="F1196" s="1" t="s">
        <v>62</v>
      </c>
      <c r="G1196" s="1" t="s">
        <v>40</v>
      </c>
      <c r="H1196" s="41" t="s">
        <v>1279</v>
      </c>
      <c r="I1196" s="41" t="s">
        <v>46</v>
      </c>
      <c r="J1196" s="41" t="s">
        <v>6926</v>
      </c>
      <c r="K1196" s="41" t="s">
        <v>6927</v>
      </c>
      <c r="L1196" s="41" t="s">
        <v>45</v>
      </c>
      <c r="M1196" s="41" t="s">
        <v>46</v>
      </c>
      <c r="N1196" s="41">
        <v>900000</v>
      </c>
      <c r="O1196" s="41">
        <v>2019</v>
      </c>
      <c r="P1196" s="41">
        <v>900000</v>
      </c>
      <c r="Q1196" s="41">
        <v>2019</v>
      </c>
      <c r="R1196" s="41" t="s">
        <v>46</v>
      </c>
      <c r="S1196" s="41">
        <v>1</v>
      </c>
      <c r="T1196" s="41" t="s">
        <v>46</v>
      </c>
      <c r="U1196" s="41" t="s">
        <v>6928</v>
      </c>
      <c r="V1196" s="42" t="s">
        <v>40</v>
      </c>
      <c r="W1196" s="42" t="s">
        <v>411</v>
      </c>
      <c r="X1196" s="42" t="s">
        <v>40</v>
      </c>
      <c r="Y1196" s="42"/>
      <c r="Z1196" s="129">
        <v>25</v>
      </c>
      <c r="AA1196" s="5" t="s">
        <v>6929</v>
      </c>
      <c r="AB1196" s="42"/>
      <c r="AC1196" s="42"/>
      <c r="AD1196" s="42"/>
      <c r="AE1196" s="42"/>
      <c r="AF1196" s="42"/>
      <c r="AG1196" s="42"/>
      <c r="AH1196" s="42"/>
      <c r="AI1196" s="42"/>
      <c r="AJ1196" s="2" t="s">
        <v>57</v>
      </c>
    </row>
    <row r="1197" spans="1:41" s="42" customFormat="1" ht="17.149999999999999" customHeight="1">
      <c r="A1197" s="41" t="s">
        <v>1256</v>
      </c>
      <c r="B1197" s="41" t="s">
        <v>37</v>
      </c>
      <c r="C1197" s="69" t="s">
        <v>6930</v>
      </c>
      <c r="D1197" s="1" t="s">
        <v>6930</v>
      </c>
      <c r="E1197" s="1" t="s">
        <v>6930</v>
      </c>
      <c r="F1197" s="1" t="s">
        <v>62</v>
      </c>
      <c r="G1197" s="1" t="s">
        <v>40</v>
      </c>
      <c r="H1197" s="41" t="s">
        <v>41</v>
      </c>
      <c r="I1197" s="41" t="s">
        <v>6931</v>
      </c>
      <c r="J1197" s="41" t="s">
        <v>6932</v>
      </c>
      <c r="K1197" s="67" t="s">
        <v>6933</v>
      </c>
      <c r="L1197" s="41" t="s">
        <v>6934</v>
      </c>
      <c r="M1197" s="41"/>
      <c r="N1197" s="41"/>
      <c r="O1197" s="41"/>
      <c r="P1197" s="41">
        <v>1000000</v>
      </c>
      <c r="Q1197" s="41">
        <v>2024</v>
      </c>
      <c r="R1197" s="41"/>
      <c r="S1197" s="41"/>
      <c r="T1197" s="41"/>
      <c r="U1197" s="41" t="s">
        <v>6935</v>
      </c>
      <c r="V1197" s="42" t="s">
        <v>40</v>
      </c>
      <c r="W1197" s="42" t="s">
        <v>323</v>
      </c>
      <c r="X1197" s="42" t="s">
        <v>40</v>
      </c>
      <c r="Z1197" s="42" t="s">
        <v>6936</v>
      </c>
      <c r="AA1197" s="5" t="s">
        <v>6937</v>
      </c>
      <c r="AC1197" s="6" t="s">
        <v>6938</v>
      </c>
      <c r="AD1197" s="6" t="s">
        <v>40</v>
      </c>
      <c r="AE1197" s="2">
        <v>1</v>
      </c>
      <c r="AF1197" s="2" t="s">
        <v>1263</v>
      </c>
      <c r="AG1197" s="2"/>
      <c r="AH1197" s="2"/>
      <c r="AI1197" s="2"/>
      <c r="AJ1197" s="2" t="s">
        <v>57</v>
      </c>
      <c r="AK1197" s="2"/>
      <c r="AL1197" s="2"/>
      <c r="AM1197" s="2"/>
      <c r="AN1197" s="2"/>
      <c r="AO1197" s="2"/>
    </row>
    <row r="1198" spans="1:41" ht="17.149999999999999" hidden="1" customHeight="1">
      <c r="A1198" s="1" t="s">
        <v>1256</v>
      </c>
      <c r="B1198" s="1" t="s">
        <v>37</v>
      </c>
      <c r="C1198" s="1" t="s">
        <v>6939</v>
      </c>
      <c r="D1198" s="1"/>
      <c r="E1198" s="1"/>
      <c r="F1198" s="1"/>
      <c r="G1198" s="1"/>
      <c r="H1198" s="1" t="s">
        <v>110</v>
      </c>
      <c r="I1198" s="1"/>
      <c r="J1198" s="1" t="s">
        <v>6940</v>
      </c>
      <c r="K1198" s="1"/>
      <c r="L1198" s="1"/>
      <c r="M1198" s="1"/>
      <c r="N1198" s="1"/>
      <c r="O1198" s="1"/>
      <c r="P1198" s="1"/>
      <c r="Q1198" s="1"/>
      <c r="R1198" s="1"/>
      <c r="S1198" s="1"/>
      <c r="T1198" s="1"/>
      <c r="U1198" s="1"/>
      <c r="V1198" s="2" t="s">
        <v>40</v>
      </c>
      <c r="W1198" s="2" t="s">
        <v>930</v>
      </c>
      <c r="X1198" s="73" t="s">
        <v>103</v>
      </c>
      <c r="Y1198" s="73"/>
      <c r="Z1198" s="2" t="s">
        <v>6941</v>
      </c>
      <c r="AA1198" s="2" t="s">
        <v>6942</v>
      </c>
      <c r="AC1198" s="18"/>
      <c r="AD1198" s="18"/>
    </row>
    <row r="1199" spans="1:41" s="42" customFormat="1" ht="17.149999999999999" customHeight="1">
      <c r="A1199" s="14" t="s">
        <v>6943</v>
      </c>
      <c r="B1199" s="14" t="s">
        <v>37</v>
      </c>
      <c r="C1199" s="90" t="s">
        <v>6944</v>
      </c>
      <c r="D1199" s="17" t="s">
        <v>6944</v>
      </c>
      <c r="E1199" s="17" t="s">
        <v>6944</v>
      </c>
      <c r="F1199" s="17" t="s">
        <v>62</v>
      </c>
      <c r="G1199" s="61" t="s">
        <v>40</v>
      </c>
      <c r="H1199" s="14" t="s">
        <v>41</v>
      </c>
      <c r="I1199" s="14" t="s">
        <v>3088</v>
      </c>
      <c r="J1199" s="14" t="s">
        <v>6945</v>
      </c>
      <c r="K1199" s="14" t="s">
        <v>6946</v>
      </c>
      <c r="L1199" s="14" t="s">
        <v>45</v>
      </c>
      <c r="M1199" s="14" t="s">
        <v>6947</v>
      </c>
      <c r="N1199" s="14">
        <v>94667</v>
      </c>
      <c r="O1199" s="14">
        <v>2016</v>
      </c>
      <c r="P1199" s="14">
        <v>95100</v>
      </c>
      <c r="Q1199" s="14">
        <v>2016</v>
      </c>
      <c r="R1199" s="14" t="s">
        <v>46</v>
      </c>
      <c r="S1199" s="14">
        <v>1</v>
      </c>
      <c r="T1199" s="14">
        <v>1</v>
      </c>
      <c r="U1199" s="14" t="s">
        <v>6948</v>
      </c>
      <c r="V1199" s="6" t="s">
        <v>40</v>
      </c>
      <c r="W1199" s="6" t="s">
        <v>78</v>
      </c>
      <c r="X1199" s="6" t="s">
        <v>40</v>
      </c>
      <c r="Y1199" s="6"/>
      <c r="Z1199" s="6" t="s">
        <v>6949</v>
      </c>
      <c r="AA1199" s="6" t="s">
        <v>6950</v>
      </c>
      <c r="AB1199" s="6"/>
      <c r="AC1199" s="6" t="s">
        <v>6951</v>
      </c>
      <c r="AD1199" s="6" t="s">
        <v>40</v>
      </c>
      <c r="AE1199" s="2">
        <v>1</v>
      </c>
      <c r="AF1199" s="2" t="s">
        <v>1263</v>
      </c>
      <c r="AG1199" s="2"/>
      <c r="AH1199" s="2" t="s">
        <v>55</v>
      </c>
      <c r="AI1199" s="2"/>
      <c r="AJ1199" s="2" t="s">
        <v>57</v>
      </c>
      <c r="AK1199" s="2"/>
      <c r="AL1199" s="2"/>
      <c r="AM1199" s="2"/>
      <c r="AN1199" s="2"/>
      <c r="AO1199" s="2"/>
    </row>
    <row r="1200" spans="1:41" ht="17.149999999999999" customHeight="1">
      <c r="A1200" s="1"/>
      <c r="B1200" s="1"/>
      <c r="C1200" s="1"/>
      <c r="D1200" s="1"/>
      <c r="E1200" s="1"/>
      <c r="F1200" s="1"/>
      <c r="G1200" s="1"/>
      <c r="H1200" s="1"/>
      <c r="I1200" s="1"/>
      <c r="J1200" s="1"/>
      <c r="K1200" s="1"/>
      <c r="L1200" s="1"/>
      <c r="M1200" s="1"/>
      <c r="N1200" s="1"/>
      <c r="O1200" s="1"/>
      <c r="P1200" s="1"/>
      <c r="Q1200" s="1"/>
      <c r="R1200" s="1"/>
      <c r="S1200" s="1"/>
      <c r="T1200" s="1"/>
      <c r="U1200" s="1"/>
      <c r="AC1200" s="18"/>
      <c r="AD1200" s="18"/>
    </row>
    <row r="1201" spans="1:30" ht="17.149999999999999" customHeight="1">
      <c r="A1201" s="72"/>
      <c r="B1201" s="72"/>
      <c r="C1201" s="72"/>
      <c r="D1201" s="72"/>
      <c r="E1201" s="72"/>
      <c r="F1201" s="72"/>
      <c r="G1201" s="72"/>
      <c r="H1201" s="72"/>
      <c r="I1201" s="1"/>
      <c r="J1201" s="1"/>
      <c r="K1201" s="1"/>
      <c r="L1201" s="1"/>
      <c r="M1201" s="1"/>
      <c r="N1201" s="1"/>
      <c r="O1201" s="1"/>
      <c r="P1201" s="1"/>
      <c r="Q1201" s="1"/>
      <c r="R1201" s="1"/>
      <c r="S1201" s="1"/>
      <c r="T1201" s="1"/>
      <c r="U1201" s="1"/>
      <c r="AC1201" s="18"/>
      <c r="AD1201" s="18"/>
    </row>
    <row r="1202" spans="1:30" ht="17.149999999999999" customHeight="1">
      <c r="A1202" s="72"/>
      <c r="B1202" s="72"/>
      <c r="C1202" s="72"/>
      <c r="D1202" s="72"/>
      <c r="E1202" s="72"/>
      <c r="F1202" s="72"/>
      <c r="G1202" s="72"/>
      <c r="H1202" s="72"/>
      <c r="I1202" s="1"/>
      <c r="J1202" s="1"/>
      <c r="K1202" s="1"/>
      <c r="L1202" s="1"/>
      <c r="M1202" s="1"/>
      <c r="N1202" s="1"/>
      <c r="O1202" s="1"/>
      <c r="P1202" s="1"/>
      <c r="Q1202" s="1"/>
      <c r="R1202" s="1"/>
      <c r="S1202" s="1"/>
      <c r="T1202" s="1"/>
      <c r="U1202" s="1"/>
      <c r="AC1202" s="18"/>
      <c r="AD1202" s="18"/>
    </row>
    <row r="1203" spans="1:30" ht="17.149999999999999" customHeight="1">
      <c r="A1203" s="1"/>
      <c r="B1203" s="1"/>
      <c r="C1203" s="1"/>
      <c r="D1203" s="1"/>
      <c r="E1203" s="1"/>
      <c r="F1203" s="1"/>
      <c r="G1203" s="1"/>
      <c r="H1203" s="1"/>
      <c r="I1203" s="1"/>
      <c r="J1203" s="1"/>
      <c r="K1203" s="1"/>
      <c r="L1203" s="1"/>
      <c r="M1203" s="1"/>
      <c r="N1203" s="1"/>
      <c r="O1203" s="1"/>
      <c r="P1203" s="1"/>
      <c r="Q1203" s="1"/>
      <c r="R1203" s="1"/>
      <c r="S1203" s="1"/>
      <c r="T1203" s="1"/>
      <c r="U1203" s="1"/>
      <c r="AC1203" s="18"/>
      <c r="AD1203" s="18"/>
    </row>
    <row r="1204" spans="1:30" ht="17.149999999999999" customHeight="1">
      <c r="A1204" s="1"/>
      <c r="B1204" s="1"/>
      <c r="C1204" s="1"/>
      <c r="D1204" s="1"/>
      <c r="E1204" s="1"/>
      <c r="F1204" s="1"/>
      <c r="G1204" s="1"/>
      <c r="H1204" s="1"/>
      <c r="I1204" s="1"/>
      <c r="J1204" s="1"/>
      <c r="K1204" s="1"/>
      <c r="L1204" s="1"/>
      <c r="M1204" s="1"/>
      <c r="N1204" s="1"/>
      <c r="O1204" s="1"/>
      <c r="P1204" s="1"/>
      <c r="Q1204" s="1"/>
      <c r="R1204" s="1"/>
      <c r="S1204" s="1"/>
      <c r="T1204" s="1"/>
      <c r="U1204" s="1"/>
      <c r="AC1204" s="18"/>
      <c r="AD1204" s="18"/>
    </row>
    <row r="1205" spans="1:30" ht="17.149999999999999" customHeight="1">
      <c r="A1205" s="1"/>
      <c r="B1205" s="1"/>
      <c r="C1205" s="1"/>
      <c r="D1205" s="1"/>
      <c r="E1205" s="1"/>
      <c r="F1205" s="1"/>
      <c r="G1205" s="1"/>
      <c r="H1205" s="1"/>
      <c r="I1205" s="1"/>
      <c r="J1205" s="1"/>
      <c r="K1205" s="1"/>
      <c r="L1205" s="1"/>
      <c r="M1205" s="1"/>
      <c r="N1205" s="1"/>
      <c r="O1205" s="1"/>
      <c r="P1205" s="1"/>
      <c r="Q1205" s="1"/>
      <c r="R1205" s="1"/>
      <c r="S1205" s="1"/>
      <c r="T1205" s="1"/>
      <c r="U1205" s="1"/>
      <c r="AC1205" s="18"/>
      <c r="AD1205" s="18"/>
    </row>
    <row r="1206" spans="1:30" ht="17.149999999999999" customHeight="1">
      <c r="A1206" s="1"/>
      <c r="B1206" s="1"/>
      <c r="C1206" s="1"/>
      <c r="D1206" s="1"/>
      <c r="E1206" s="1"/>
      <c r="F1206" s="1"/>
      <c r="G1206" s="1"/>
      <c r="H1206" s="1"/>
      <c r="I1206" s="1"/>
      <c r="J1206" s="1"/>
      <c r="K1206" s="1"/>
      <c r="L1206" s="1"/>
      <c r="M1206" s="1"/>
      <c r="N1206" s="1"/>
      <c r="O1206" s="1"/>
      <c r="P1206" s="1"/>
      <c r="Q1206" s="1"/>
      <c r="R1206" s="1"/>
      <c r="S1206" s="1"/>
      <c r="T1206" s="1"/>
      <c r="U1206" s="1"/>
      <c r="AC1206" s="18"/>
      <c r="AD1206" s="18"/>
    </row>
    <row r="1207" spans="1:30" ht="17.149999999999999" customHeight="1">
      <c r="A1207" s="1"/>
      <c r="B1207" s="1"/>
      <c r="C1207" s="1"/>
      <c r="D1207" s="1"/>
      <c r="E1207" s="1"/>
      <c r="F1207" s="1"/>
      <c r="G1207" s="1"/>
      <c r="H1207" s="1"/>
      <c r="I1207" s="1"/>
      <c r="J1207" s="1"/>
      <c r="K1207" s="1"/>
      <c r="L1207" s="1"/>
      <c r="M1207" s="1"/>
      <c r="N1207" s="1"/>
      <c r="O1207" s="1"/>
      <c r="P1207" s="1"/>
      <c r="Q1207" s="1"/>
      <c r="R1207" s="1"/>
      <c r="S1207" s="1"/>
      <c r="T1207" s="1"/>
      <c r="U1207" s="1"/>
      <c r="AC1207" s="18"/>
      <c r="AD1207" s="18"/>
    </row>
    <row r="1208" spans="1:30" ht="17.149999999999999" customHeight="1">
      <c r="A1208" s="1"/>
      <c r="B1208" s="1"/>
      <c r="C1208" s="1"/>
      <c r="D1208" s="1"/>
      <c r="E1208" s="1"/>
      <c r="F1208" s="1"/>
      <c r="G1208" s="1"/>
      <c r="H1208" s="1"/>
      <c r="I1208" s="1"/>
      <c r="J1208" s="1"/>
      <c r="K1208" s="1"/>
      <c r="L1208" s="1"/>
      <c r="M1208" s="1"/>
      <c r="N1208" s="1"/>
      <c r="O1208" s="1"/>
      <c r="P1208" s="1"/>
      <c r="Q1208" s="1"/>
      <c r="R1208" s="1"/>
      <c r="S1208" s="1"/>
      <c r="T1208" s="1"/>
      <c r="U1208" s="1"/>
      <c r="AC1208" s="18"/>
      <c r="AD1208" s="18"/>
    </row>
    <row r="1209" spans="1:30" ht="17.149999999999999" customHeight="1">
      <c r="A1209" s="1"/>
      <c r="B1209" s="1"/>
      <c r="C1209" s="1"/>
      <c r="D1209" s="1"/>
      <c r="E1209" s="1"/>
      <c r="F1209" s="1"/>
      <c r="G1209" s="1"/>
      <c r="H1209" s="1"/>
      <c r="I1209" s="1"/>
      <c r="J1209" s="1"/>
      <c r="K1209" s="1"/>
      <c r="L1209" s="1"/>
      <c r="M1209" s="1"/>
      <c r="N1209" s="1"/>
      <c r="O1209" s="1"/>
      <c r="P1209" s="1"/>
      <c r="Q1209" s="1"/>
      <c r="R1209" s="1"/>
      <c r="S1209" s="1"/>
      <c r="T1209" s="1"/>
      <c r="U1209" s="1"/>
      <c r="AC1209" s="18"/>
      <c r="AD1209" s="18"/>
    </row>
    <row r="1210" spans="1:30" ht="17.149999999999999" customHeight="1">
      <c r="A1210" s="1"/>
      <c r="B1210" s="1"/>
      <c r="C1210" s="1"/>
      <c r="D1210" s="1"/>
      <c r="E1210" s="1"/>
      <c r="F1210" s="1"/>
      <c r="G1210" s="1"/>
      <c r="H1210" s="1"/>
      <c r="I1210" s="1"/>
      <c r="J1210" s="1"/>
      <c r="K1210" s="1"/>
      <c r="L1210" s="1"/>
      <c r="M1210" s="1"/>
      <c r="N1210" s="1"/>
      <c r="O1210" s="1"/>
      <c r="P1210" s="1"/>
      <c r="Q1210" s="1"/>
      <c r="R1210" s="1"/>
      <c r="S1210" s="1"/>
      <c r="T1210" s="1"/>
      <c r="U1210" s="1"/>
      <c r="AC1210" s="18"/>
      <c r="AD1210" s="18"/>
    </row>
    <row r="1211" spans="1:30" ht="17.149999999999999" customHeight="1">
      <c r="A1211" s="1"/>
      <c r="B1211" s="1"/>
      <c r="C1211" s="1"/>
      <c r="D1211" s="1"/>
      <c r="E1211" s="1"/>
      <c r="F1211" s="1"/>
      <c r="G1211" s="1"/>
      <c r="H1211" s="1"/>
      <c r="I1211" s="1"/>
      <c r="J1211" s="1"/>
      <c r="K1211" s="1"/>
      <c r="L1211" s="1"/>
      <c r="M1211" s="1"/>
      <c r="N1211" s="1"/>
      <c r="O1211" s="1"/>
      <c r="P1211" s="1"/>
      <c r="Q1211" s="1"/>
      <c r="R1211" s="1"/>
      <c r="S1211" s="1"/>
      <c r="T1211" s="1"/>
      <c r="U1211" s="1"/>
      <c r="AC1211" s="18"/>
      <c r="AD1211" s="18"/>
    </row>
    <row r="1212" spans="1:30" ht="17.149999999999999" customHeight="1">
      <c r="A1212" s="1"/>
      <c r="B1212" s="1"/>
      <c r="C1212" s="1"/>
      <c r="D1212" s="1"/>
      <c r="E1212" s="1"/>
      <c r="F1212" s="1"/>
      <c r="G1212" s="1"/>
      <c r="H1212" s="1"/>
      <c r="I1212" s="1"/>
      <c r="J1212" s="1"/>
      <c r="K1212" s="1"/>
      <c r="L1212" s="1"/>
      <c r="M1212" s="1"/>
      <c r="N1212" s="1"/>
      <c r="O1212" s="1"/>
      <c r="P1212" s="1"/>
      <c r="Q1212" s="1"/>
      <c r="R1212" s="1"/>
      <c r="S1212" s="1"/>
      <c r="T1212" s="1"/>
      <c r="U1212" s="1"/>
      <c r="AC1212" s="18"/>
      <c r="AD1212" s="18"/>
    </row>
    <row r="1213" spans="1:30" ht="17.149999999999999" customHeight="1">
      <c r="A1213" s="1"/>
      <c r="B1213" s="1"/>
      <c r="C1213" s="1"/>
      <c r="D1213" s="1"/>
      <c r="E1213" s="1"/>
      <c r="F1213" s="1"/>
      <c r="G1213" s="1"/>
      <c r="H1213" s="1"/>
      <c r="I1213" s="1"/>
      <c r="J1213" s="1"/>
      <c r="K1213" s="1"/>
      <c r="L1213" s="1"/>
      <c r="M1213" s="1"/>
      <c r="N1213" s="1"/>
      <c r="O1213" s="1"/>
      <c r="P1213" s="1"/>
      <c r="Q1213" s="1"/>
      <c r="R1213" s="1"/>
      <c r="S1213" s="1"/>
      <c r="T1213" s="1"/>
      <c r="U1213" s="1"/>
      <c r="AC1213" s="18"/>
      <c r="AD1213" s="18"/>
    </row>
    <row r="1214" spans="1:30" ht="17.149999999999999" customHeight="1">
      <c r="A1214" s="1"/>
      <c r="B1214" s="1"/>
      <c r="C1214" s="1"/>
      <c r="D1214" s="1"/>
      <c r="E1214" s="1"/>
      <c r="F1214" s="1"/>
      <c r="G1214" s="1"/>
      <c r="H1214" s="1"/>
      <c r="I1214" s="1"/>
      <c r="J1214" s="1"/>
      <c r="K1214" s="1"/>
      <c r="L1214" s="1"/>
      <c r="M1214" s="1"/>
      <c r="N1214" s="1"/>
      <c r="O1214" s="1"/>
      <c r="P1214" s="1"/>
      <c r="Q1214" s="1"/>
      <c r="R1214" s="1"/>
      <c r="S1214" s="1"/>
      <c r="T1214" s="1"/>
      <c r="U1214" s="1"/>
      <c r="AC1214" s="18"/>
      <c r="AD1214" s="18"/>
    </row>
    <row r="1215" spans="1:30" ht="17.149999999999999" customHeight="1">
      <c r="A1215" s="1"/>
      <c r="B1215" s="1"/>
      <c r="C1215" s="1"/>
      <c r="D1215" s="1"/>
      <c r="E1215" s="1"/>
      <c r="F1215" s="1"/>
      <c r="G1215" s="1"/>
      <c r="H1215" s="1"/>
      <c r="I1215" s="1"/>
      <c r="J1215" s="1"/>
      <c r="K1215" s="1"/>
      <c r="L1215" s="1"/>
      <c r="M1215" s="1"/>
      <c r="N1215" s="1"/>
      <c r="O1215" s="1"/>
      <c r="P1215" s="1"/>
      <c r="Q1215" s="1"/>
      <c r="R1215" s="1"/>
      <c r="S1215" s="1"/>
      <c r="T1215" s="1"/>
      <c r="U1215" s="1"/>
      <c r="AC1215" s="18"/>
      <c r="AD1215" s="18"/>
    </row>
    <row r="1216" spans="1:30" ht="17.149999999999999" customHeight="1">
      <c r="A1216" s="1"/>
      <c r="B1216" s="1"/>
      <c r="C1216" s="1"/>
      <c r="D1216" s="1"/>
      <c r="E1216" s="1"/>
      <c r="F1216" s="1"/>
      <c r="G1216" s="1"/>
      <c r="H1216" s="1"/>
      <c r="I1216" s="1"/>
      <c r="J1216" s="1"/>
      <c r="K1216" s="1"/>
      <c r="L1216" s="1"/>
      <c r="M1216" s="1"/>
      <c r="N1216" s="1"/>
      <c r="O1216" s="1"/>
      <c r="P1216" s="1"/>
      <c r="Q1216" s="1"/>
      <c r="R1216" s="1"/>
      <c r="S1216" s="1"/>
      <c r="T1216" s="1"/>
      <c r="U1216" s="1"/>
      <c r="AC1216" s="18"/>
      <c r="AD1216" s="18"/>
    </row>
    <row r="1217" spans="1:30" ht="17.149999999999999" customHeight="1">
      <c r="A1217" s="1"/>
      <c r="B1217" s="1"/>
      <c r="C1217" s="1"/>
      <c r="D1217" s="1"/>
      <c r="E1217" s="1"/>
      <c r="F1217" s="1"/>
      <c r="G1217" s="1"/>
      <c r="H1217" s="1"/>
      <c r="I1217" s="1"/>
      <c r="J1217" s="1"/>
      <c r="K1217" s="1"/>
      <c r="L1217" s="1"/>
      <c r="M1217" s="1"/>
      <c r="N1217" s="1"/>
      <c r="O1217" s="1"/>
      <c r="P1217" s="1"/>
      <c r="Q1217" s="1"/>
      <c r="R1217" s="1"/>
      <c r="S1217" s="1"/>
      <c r="T1217" s="1"/>
      <c r="U1217" s="1"/>
      <c r="AC1217" s="18"/>
      <c r="AD1217" s="18"/>
    </row>
    <row r="1218" spans="1:30" ht="17.149999999999999" customHeight="1">
      <c r="A1218" s="1"/>
      <c r="B1218" s="1"/>
      <c r="C1218" s="1"/>
      <c r="D1218" s="1"/>
      <c r="E1218" s="1"/>
      <c r="F1218" s="1"/>
      <c r="G1218" s="1"/>
      <c r="H1218" s="1"/>
      <c r="I1218" s="1"/>
      <c r="J1218" s="1"/>
      <c r="K1218" s="1"/>
      <c r="L1218" s="1"/>
      <c r="M1218" s="1"/>
      <c r="N1218" s="1"/>
      <c r="O1218" s="1"/>
      <c r="P1218" s="1"/>
      <c r="Q1218" s="1"/>
      <c r="R1218" s="1"/>
      <c r="S1218" s="1"/>
      <c r="T1218" s="1"/>
      <c r="U1218" s="1"/>
      <c r="AC1218" s="18"/>
      <c r="AD1218" s="18"/>
    </row>
    <row r="1219" spans="1:30" ht="17.149999999999999" customHeight="1">
      <c r="A1219" s="1"/>
      <c r="B1219" s="1"/>
      <c r="C1219" s="1"/>
      <c r="D1219" s="1"/>
      <c r="E1219" s="1"/>
      <c r="F1219" s="1"/>
      <c r="G1219" s="1"/>
      <c r="H1219" s="1"/>
      <c r="I1219" s="1"/>
      <c r="J1219" s="1"/>
      <c r="K1219" s="1"/>
      <c r="L1219" s="1"/>
      <c r="M1219" s="1"/>
      <c r="N1219" s="1"/>
      <c r="O1219" s="1"/>
      <c r="P1219" s="1"/>
      <c r="Q1219" s="1"/>
      <c r="R1219" s="1"/>
      <c r="S1219" s="1"/>
      <c r="T1219" s="1"/>
      <c r="U1219" s="1"/>
      <c r="AC1219" s="18"/>
      <c r="AD1219" s="18"/>
    </row>
    <row r="1220" spans="1:30" ht="17.149999999999999" customHeight="1">
      <c r="A1220" s="1"/>
      <c r="B1220" s="1"/>
      <c r="C1220" s="1"/>
      <c r="D1220" s="1"/>
      <c r="E1220" s="1"/>
      <c r="F1220" s="1"/>
      <c r="G1220" s="1"/>
      <c r="H1220" s="1"/>
      <c r="I1220" s="1"/>
      <c r="J1220" s="1"/>
      <c r="K1220" s="1"/>
      <c r="L1220" s="1"/>
      <c r="M1220" s="1"/>
      <c r="N1220" s="1"/>
      <c r="O1220" s="1"/>
      <c r="P1220" s="1"/>
      <c r="Q1220" s="1"/>
      <c r="R1220" s="1"/>
      <c r="S1220" s="1"/>
      <c r="T1220" s="1"/>
      <c r="U1220" s="1"/>
      <c r="AC1220" s="18"/>
      <c r="AD1220" s="18"/>
    </row>
    <row r="1221" spans="1:30" ht="17.149999999999999" customHeight="1">
      <c r="A1221" s="1"/>
      <c r="B1221" s="1"/>
      <c r="C1221" s="1"/>
      <c r="D1221" s="1"/>
      <c r="E1221" s="1"/>
      <c r="F1221" s="1"/>
      <c r="G1221" s="1"/>
      <c r="H1221" s="1"/>
      <c r="I1221" s="1"/>
      <c r="J1221" s="1"/>
      <c r="K1221" s="1"/>
      <c r="L1221" s="1"/>
      <c r="M1221" s="1"/>
      <c r="N1221" s="1"/>
      <c r="O1221" s="1"/>
      <c r="P1221" s="1"/>
      <c r="Q1221" s="1"/>
      <c r="R1221" s="1"/>
      <c r="S1221" s="1"/>
      <c r="T1221" s="1"/>
      <c r="U1221" s="1"/>
      <c r="AC1221" s="18"/>
      <c r="AD1221" s="18"/>
    </row>
    <row r="1222" spans="1:30" ht="17.149999999999999" customHeight="1">
      <c r="A1222" s="1"/>
      <c r="B1222" s="1"/>
      <c r="C1222" s="1"/>
      <c r="D1222" s="1"/>
      <c r="E1222" s="1"/>
      <c r="F1222" s="1"/>
      <c r="G1222" s="1"/>
      <c r="H1222" s="1"/>
      <c r="I1222" s="1"/>
      <c r="J1222" s="1"/>
      <c r="K1222" s="1"/>
      <c r="L1222" s="1"/>
      <c r="M1222" s="1"/>
      <c r="N1222" s="1"/>
      <c r="O1222" s="1"/>
      <c r="P1222" s="1"/>
      <c r="Q1222" s="1"/>
      <c r="R1222" s="1"/>
      <c r="S1222" s="1"/>
      <c r="T1222" s="1"/>
      <c r="U1222" s="1"/>
      <c r="AC1222" s="18"/>
      <c r="AD1222" s="18"/>
    </row>
    <row r="1223" spans="1:30" ht="17.149999999999999" customHeight="1">
      <c r="A1223" s="1"/>
      <c r="B1223" s="1"/>
      <c r="C1223" s="1"/>
      <c r="D1223" s="1"/>
      <c r="E1223" s="1"/>
      <c r="F1223" s="1"/>
      <c r="G1223" s="1"/>
      <c r="H1223" s="1"/>
      <c r="I1223" s="1"/>
      <c r="J1223" s="1"/>
      <c r="K1223" s="1"/>
      <c r="L1223" s="1"/>
      <c r="M1223" s="1"/>
      <c r="N1223" s="1"/>
      <c r="O1223" s="1"/>
      <c r="P1223" s="1"/>
      <c r="Q1223" s="1"/>
      <c r="R1223" s="1"/>
      <c r="S1223" s="1"/>
      <c r="T1223" s="1"/>
      <c r="U1223" s="1"/>
      <c r="AC1223" s="18"/>
      <c r="AD1223" s="18"/>
    </row>
    <row r="1224" spans="1:30" ht="17.149999999999999" customHeight="1">
      <c r="A1224" s="1"/>
      <c r="B1224" s="1"/>
      <c r="C1224" s="1"/>
      <c r="D1224" s="1"/>
      <c r="E1224" s="1"/>
      <c r="F1224" s="1"/>
      <c r="G1224" s="1"/>
      <c r="H1224" s="1"/>
      <c r="I1224" s="1"/>
      <c r="J1224" s="1"/>
      <c r="K1224" s="1"/>
      <c r="L1224" s="1"/>
      <c r="M1224" s="1"/>
      <c r="N1224" s="1"/>
      <c r="O1224" s="1"/>
      <c r="P1224" s="1"/>
      <c r="Q1224" s="1"/>
      <c r="R1224" s="1"/>
      <c r="S1224" s="1"/>
      <c r="T1224" s="1"/>
      <c r="U1224" s="1"/>
      <c r="AC1224" s="18"/>
      <c r="AD1224" s="18"/>
    </row>
    <row r="1225" spans="1:30" ht="17.149999999999999" customHeight="1">
      <c r="A1225" s="1"/>
      <c r="B1225" s="1"/>
      <c r="C1225" s="1"/>
      <c r="D1225" s="1"/>
      <c r="E1225" s="1"/>
      <c r="F1225" s="1"/>
      <c r="G1225" s="1"/>
      <c r="H1225" s="1"/>
      <c r="I1225" s="1"/>
      <c r="J1225" s="1"/>
      <c r="K1225" s="1"/>
      <c r="L1225" s="1"/>
      <c r="M1225" s="1"/>
      <c r="N1225" s="1"/>
      <c r="O1225" s="1"/>
      <c r="P1225" s="1"/>
      <c r="Q1225" s="1"/>
      <c r="R1225" s="1"/>
      <c r="S1225" s="1"/>
      <c r="T1225" s="1"/>
      <c r="U1225" s="1"/>
      <c r="AC1225" s="18"/>
      <c r="AD1225" s="18"/>
    </row>
    <row r="1226" spans="1:30" ht="17.149999999999999" customHeight="1">
      <c r="A1226" s="1"/>
      <c r="B1226" s="1"/>
      <c r="C1226" s="1"/>
      <c r="D1226" s="1"/>
      <c r="E1226" s="1"/>
      <c r="F1226" s="1"/>
      <c r="G1226" s="1"/>
      <c r="H1226" s="1"/>
      <c r="I1226" s="1"/>
      <c r="J1226" s="1"/>
      <c r="K1226" s="1"/>
      <c r="L1226" s="1"/>
      <c r="M1226" s="1"/>
      <c r="N1226" s="1"/>
      <c r="O1226" s="1"/>
      <c r="P1226" s="1"/>
      <c r="Q1226" s="1"/>
      <c r="R1226" s="1"/>
      <c r="S1226" s="1"/>
      <c r="T1226" s="1"/>
      <c r="U1226" s="1"/>
      <c r="AC1226" s="18"/>
      <c r="AD1226" s="18"/>
    </row>
    <row r="1227" spans="1:30" ht="17.149999999999999" customHeight="1">
      <c r="A1227" s="1"/>
      <c r="B1227" s="1"/>
      <c r="C1227" s="1"/>
      <c r="D1227" s="1"/>
      <c r="E1227" s="1"/>
      <c r="F1227" s="1"/>
      <c r="G1227" s="1"/>
      <c r="H1227" s="1"/>
      <c r="I1227" s="1"/>
      <c r="J1227" s="1"/>
      <c r="K1227" s="1"/>
      <c r="L1227" s="1"/>
      <c r="M1227" s="1"/>
      <c r="N1227" s="1"/>
      <c r="O1227" s="1"/>
      <c r="P1227" s="1"/>
      <c r="Q1227" s="1"/>
      <c r="R1227" s="1"/>
      <c r="S1227" s="1"/>
      <c r="T1227" s="1"/>
      <c r="U1227" s="1"/>
      <c r="AC1227" s="18"/>
      <c r="AD1227" s="18"/>
    </row>
    <row r="1228" spans="1:30" ht="17.149999999999999" customHeight="1">
      <c r="A1228" s="1"/>
      <c r="B1228" s="1"/>
      <c r="C1228" s="1"/>
      <c r="D1228" s="1"/>
      <c r="E1228" s="1"/>
      <c r="F1228" s="1"/>
      <c r="G1228" s="1"/>
      <c r="H1228" s="1"/>
      <c r="I1228" s="1"/>
      <c r="J1228" s="1"/>
      <c r="K1228" s="1"/>
      <c r="L1228" s="1"/>
      <c r="M1228" s="1"/>
      <c r="N1228" s="1"/>
      <c r="O1228" s="1"/>
      <c r="P1228" s="1"/>
      <c r="Q1228" s="1"/>
      <c r="R1228" s="1"/>
      <c r="S1228" s="1"/>
      <c r="T1228" s="1"/>
      <c r="U1228" s="1"/>
      <c r="AC1228" s="18"/>
      <c r="AD1228" s="18"/>
    </row>
    <row r="1229" spans="1:30" ht="17.149999999999999" customHeight="1">
      <c r="A1229" s="1"/>
      <c r="B1229" s="1"/>
      <c r="C1229" s="1"/>
      <c r="D1229" s="1"/>
      <c r="E1229" s="1"/>
      <c r="F1229" s="1"/>
      <c r="G1229" s="1"/>
      <c r="H1229" s="1"/>
      <c r="I1229" s="1"/>
      <c r="J1229" s="1"/>
      <c r="K1229" s="1"/>
      <c r="L1229" s="1"/>
      <c r="M1229" s="1"/>
      <c r="N1229" s="1"/>
      <c r="O1229" s="1"/>
      <c r="P1229" s="1"/>
      <c r="Q1229" s="1"/>
      <c r="R1229" s="1"/>
      <c r="S1229" s="1"/>
      <c r="T1229" s="1"/>
      <c r="U1229" s="1"/>
      <c r="AC1229" s="18"/>
      <c r="AD1229" s="18"/>
    </row>
    <row r="1230" spans="1:30" ht="17.149999999999999" customHeight="1">
      <c r="A1230" s="1"/>
      <c r="B1230" s="1"/>
      <c r="C1230" s="1"/>
      <c r="D1230" s="1"/>
      <c r="E1230" s="1"/>
      <c r="F1230" s="1"/>
      <c r="G1230" s="1"/>
      <c r="H1230" s="1"/>
      <c r="I1230" s="1"/>
      <c r="J1230" s="1"/>
      <c r="K1230" s="1"/>
      <c r="L1230" s="1"/>
      <c r="M1230" s="1"/>
      <c r="N1230" s="1"/>
      <c r="O1230" s="1"/>
      <c r="P1230" s="1"/>
      <c r="Q1230" s="1"/>
      <c r="R1230" s="1"/>
      <c r="S1230" s="1"/>
      <c r="T1230" s="1"/>
      <c r="U1230" s="1"/>
      <c r="AC1230" s="18"/>
      <c r="AD1230" s="18"/>
    </row>
    <row r="1231" spans="1:30" ht="17.149999999999999" customHeight="1">
      <c r="A1231" s="1"/>
      <c r="B1231" s="1"/>
      <c r="C1231" s="1"/>
      <c r="D1231" s="1"/>
      <c r="E1231" s="1"/>
      <c r="F1231" s="1"/>
      <c r="G1231" s="1"/>
      <c r="H1231" s="1"/>
      <c r="I1231" s="1"/>
      <c r="J1231" s="1"/>
      <c r="K1231" s="1"/>
      <c r="L1231" s="1"/>
      <c r="M1231" s="1"/>
      <c r="N1231" s="1"/>
      <c r="O1231" s="1"/>
      <c r="P1231" s="1"/>
      <c r="Q1231" s="1"/>
      <c r="R1231" s="1"/>
      <c r="S1231" s="1"/>
      <c r="T1231" s="1"/>
      <c r="U1231" s="1"/>
      <c r="AC1231" s="18"/>
      <c r="AD1231" s="18"/>
    </row>
    <row r="1232" spans="1:30" ht="17.149999999999999" customHeight="1">
      <c r="A1232" s="1"/>
      <c r="B1232" s="1"/>
      <c r="C1232" s="1"/>
      <c r="D1232" s="1"/>
      <c r="E1232" s="1"/>
      <c r="F1232" s="1"/>
      <c r="G1232" s="1"/>
      <c r="H1232" s="1"/>
      <c r="I1232" s="1"/>
      <c r="J1232" s="1"/>
      <c r="K1232" s="1"/>
      <c r="L1232" s="1"/>
      <c r="M1232" s="1"/>
      <c r="N1232" s="1"/>
      <c r="O1232" s="1"/>
      <c r="P1232" s="1"/>
      <c r="Q1232" s="1"/>
      <c r="R1232" s="1"/>
      <c r="S1232" s="1"/>
      <c r="T1232" s="1"/>
      <c r="U1232" s="1"/>
      <c r="AC1232" s="18"/>
      <c r="AD1232" s="18"/>
    </row>
    <row r="1233" spans="1:30" ht="17.149999999999999" customHeight="1">
      <c r="A1233" s="1"/>
      <c r="B1233" s="1"/>
      <c r="C1233" s="1"/>
      <c r="D1233" s="1"/>
      <c r="E1233" s="1"/>
      <c r="F1233" s="1"/>
      <c r="G1233" s="1"/>
      <c r="H1233" s="1"/>
      <c r="I1233" s="1"/>
      <c r="J1233" s="1"/>
      <c r="K1233" s="1"/>
      <c r="L1233" s="1"/>
      <c r="M1233" s="1"/>
      <c r="N1233" s="1"/>
      <c r="O1233" s="1"/>
      <c r="P1233" s="1"/>
      <c r="Q1233" s="1"/>
      <c r="R1233" s="1"/>
      <c r="S1233" s="1"/>
      <c r="T1233" s="1"/>
      <c r="U1233" s="1"/>
      <c r="AC1233" s="18"/>
      <c r="AD1233" s="18"/>
    </row>
    <row r="1234" spans="1:30" ht="17.149999999999999" customHeight="1">
      <c r="A1234" s="1"/>
      <c r="B1234" s="1"/>
      <c r="C1234" s="1"/>
      <c r="D1234" s="1"/>
      <c r="E1234" s="1"/>
      <c r="F1234" s="1"/>
      <c r="G1234" s="1"/>
      <c r="H1234" s="1"/>
      <c r="I1234" s="1"/>
      <c r="J1234" s="1"/>
      <c r="K1234" s="1"/>
      <c r="L1234" s="1"/>
      <c r="M1234" s="1"/>
      <c r="N1234" s="1"/>
      <c r="O1234" s="1"/>
      <c r="P1234" s="1"/>
      <c r="Q1234" s="1"/>
      <c r="R1234" s="1"/>
      <c r="S1234" s="1"/>
      <c r="T1234" s="1"/>
      <c r="U1234" s="1"/>
      <c r="AC1234" s="18"/>
      <c r="AD1234" s="18"/>
    </row>
    <row r="1235" spans="1:30" ht="17.149999999999999" customHeight="1">
      <c r="A1235" s="1"/>
      <c r="B1235" s="1"/>
      <c r="C1235" s="1"/>
      <c r="D1235" s="1"/>
      <c r="E1235" s="1"/>
      <c r="F1235" s="1"/>
      <c r="G1235" s="1"/>
      <c r="H1235" s="1"/>
      <c r="I1235" s="1"/>
      <c r="J1235" s="1"/>
      <c r="K1235" s="1"/>
      <c r="L1235" s="1"/>
      <c r="M1235" s="1"/>
      <c r="N1235" s="1"/>
      <c r="O1235" s="1"/>
      <c r="P1235" s="1"/>
      <c r="Q1235" s="1"/>
      <c r="R1235" s="1"/>
      <c r="S1235" s="1"/>
      <c r="T1235" s="1"/>
      <c r="U1235" s="1"/>
      <c r="AC1235" s="18"/>
      <c r="AD1235" s="18"/>
    </row>
    <row r="1236" spans="1:30" ht="17.149999999999999" customHeight="1">
      <c r="A1236" s="1"/>
      <c r="B1236" s="1"/>
      <c r="C1236" s="1"/>
      <c r="D1236" s="1"/>
      <c r="E1236" s="1"/>
      <c r="F1236" s="1"/>
      <c r="G1236" s="1"/>
      <c r="H1236" s="1"/>
      <c r="I1236" s="1"/>
      <c r="J1236" s="1"/>
      <c r="K1236" s="1"/>
      <c r="L1236" s="1"/>
      <c r="M1236" s="1"/>
      <c r="N1236" s="1"/>
      <c r="O1236" s="1"/>
      <c r="P1236" s="1"/>
      <c r="Q1236" s="1"/>
      <c r="R1236" s="1"/>
      <c r="S1236" s="1"/>
      <c r="T1236" s="1"/>
      <c r="U1236" s="1"/>
      <c r="AC1236" s="18"/>
      <c r="AD1236" s="18"/>
    </row>
    <row r="1237" spans="1:30" ht="17.149999999999999" customHeight="1">
      <c r="A1237" s="1"/>
      <c r="B1237" s="1"/>
      <c r="C1237" s="1"/>
      <c r="D1237" s="1"/>
      <c r="E1237" s="1"/>
      <c r="F1237" s="1"/>
      <c r="G1237" s="1"/>
      <c r="H1237" s="1"/>
      <c r="I1237" s="1"/>
      <c r="J1237" s="1"/>
      <c r="K1237" s="1"/>
      <c r="L1237" s="1"/>
      <c r="M1237" s="1"/>
      <c r="N1237" s="1"/>
      <c r="O1237" s="1"/>
      <c r="P1237" s="1"/>
      <c r="Q1237" s="1"/>
      <c r="R1237" s="1"/>
      <c r="S1237" s="1"/>
      <c r="T1237" s="1"/>
      <c r="U1237" s="1"/>
      <c r="AC1237" s="18"/>
      <c r="AD1237" s="18"/>
    </row>
    <row r="1238" spans="1:30" ht="17.149999999999999" customHeight="1">
      <c r="A1238" s="1"/>
      <c r="B1238" s="1"/>
      <c r="C1238" s="1"/>
      <c r="D1238" s="1"/>
      <c r="E1238" s="1"/>
      <c r="F1238" s="1"/>
      <c r="G1238" s="1"/>
      <c r="H1238" s="1"/>
      <c r="I1238" s="1"/>
      <c r="J1238" s="1"/>
      <c r="K1238" s="1"/>
      <c r="L1238" s="1"/>
      <c r="M1238" s="1"/>
      <c r="N1238" s="1"/>
      <c r="O1238" s="1"/>
      <c r="P1238" s="1"/>
      <c r="Q1238" s="1"/>
      <c r="R1238" s="1"/>
      <c r="S1238" s="1"/>
      <c r="T1238" s="1"/>
      <c r="U1238" s="1"/>
      <c r="AC1238" s="18"/>
      <c r="AD1238" s="18"/>
    </row>
    <row r="1239" spans="1:30" ht="17.149999999999999" customHeight="1">
      <c r="A1239" s="1"/>
      <c r="B1239" s="1"/>
      <c r="C1239" s="1"/>
      <c r="D1239" s="1"/>
      <c r="E1239" s="1"/>
      <c r="F1239" s="1"/>
      <c r="G1239" s="1"/>
      <c r="H1239" s="1"/>
      <c r="I1239" s="1"/>
      <c r="J1239" s="1"/>
      <c r="K1239" s="1"/>
      <c r="L1239" s="1"/>
      <c r="M1239" s="1"/>
      <c r="N1239" s="1"/>
      <c r="O1239" s="1"/>
      <c r="P1239" s="1"/>
      <c r="Q1239" s="1"/>
      <c r="R1239" s="1"/>
      <c r="S1239" s="1"/>
      <c r="T1239" s="1"/>
      <c r="U1239" s="1"/>
      <c r="AC1239" s="18"/>
      <c r="AD1239" s="18"/>
    </row>
    <row r="1240" spans="1:30" ht="17.149999999999999" customHeight="1">
      <c r="A1240" s="1"/>
      <c r="B1240" s="1"/>
      <c r="C1240" s="1"/>
      <c r="D1240" s="1"/>
      <c r="E1240" s="1"/>
      <c r="F1240" s="1"/>
      <c r="G1240" s="1"/>
      <c r="H1240" s="1"/>
      <c r="I1240" s="1"/>
      <c r="J1240" s="1"/>
      <c r="K1240" s="1"/>
      <c r="L1240" s="1"/>
      <c r="M1240" s="1"/>
      <c r="N1240" s="1"/>
      <c r="O1240" s="1"/>
      <c r="P1240" s="1"/>
      <c r="Q1240" s="1"/>
      <c r="R1240" s="1"/>
      <c r="S1240" s="1"/>
      <c r="T1240" s="1"/>
      <c r="U1240" s="1"/>
      <c r="AC1240" s="18"/>
      <c r="AD1240" s="18"/>
    </row>
    <row r="1241" spans="1:30" ht="17.149999999999999" customHeight="1">
      <c r="A1241" s="1"/>
      <c r="B1241" s="1"/>
      <c r="C1241" s="1"/>
      <c r="D1241" s="1"/>
      <c r="E1241" s="1"/>
      <c r="F1241" s="1"/>
      <c r="G1241" s="1"/>
      <c r="H1241" s="1"/>
      <c r="I1241" s="1"/>
      <c r="J1241" s="1"/>
      <c r="K1241" s="1"/>
      <c r="L1241" s="1"/>
      <c r="M1241" s="1"/>
      <c r="N1241" s="1"/>
      <c r="O1241" s="1"/>
      <c r="P1241" s="1"/>
      <c r="Q1241" s="1"/>
      <c r="R1241" s="1"/>
      <c r="S1241" s="1"/>
      <c r="T1241" s="1"/>
      <c r="U1241" s="1"/>
    </row>
    <row r="1242" spans="1:30" ht="17.149999999999999" customHeight="1">
      <c r="A1242" s="1"/>
      <c r="B1242" s="1"/>
      <c r="C1242" s="1"/>
      <c r="D1242" s="1"/>
      <c r="E1242" s="1"/>
      <c r="F1242" s="1"/>
      <c r="G1242" s="1"/>
      <c r="H1242" s="1"/>
      <c r="I1242" s="1"/>
      <c r="J1242" s="1"/>
      <c r="K1242" s="1"/>
      <c r="L1242" s="1"/>
      <c r="M1242" s="1"/>
      <c r="N1242" s="1"/>
      <c r="O1242" s="1"/>
      <c r="P1242" s="1"/>
      <c r="Q1242" s="1"/>
      <c r="R1242" s="1"/>
      <c r="S1242" s="1"/>
      <c r="T1242" s="1"/>
      <c r="U1242" s="1"/>
    </row>
    <row r="1243" spans="1:30" ht="17.149999999999999" customHeight="1">
      <c r="A1243" s="1"/>
      <c r="B1243" s="1"/>
      <c r="C1243" s="1"/>
      <c r="D1243" s="1"/>
      <c r="E1243" s="1"/>
      <c r="F1243" s="1"/>
      <c r="G1243" s="1"/>
      <c r="H1243" s="1"/>
      <c r="I1243" s="1"/>
      <c r="J1243" s="1"/>
      <c r="K1243" s="1"/>
      <c r="L1243" s="1"/>
      <c r="M1243" s="1"/>
      <c r="N1243" s="1"/>
      <c r="O1243" s="1"/>
      <c r="P1243" s="1"/>
      <c r="Q1243" s="1"/>
      <c r="R1243" s="1"/>
      <c r="S1243" s="1"/>
      <c r="T1243" s="1"/>
      <c r="U1243" s="1"/>
    </row>
    <row r="1244" spans="1:30" ht="17.149999999999999" customHeight="1">
      <c r="A1244" s="1"/>
      <c r="B1244" s="1"/>
      <c r="C1244" s="1"/>
      <c r="D1244" s="1"/>
      <c r="E1244" s="1"/>
      <c r="F1244" s="1"/>
      <c r="G1244" s="1"/>
      <c r="H1244" s="1"/>
      <c r="I1244" s="1"/>
      <c r="J1244" s="1"/>
      <c r="K1244" s="1"/>
      <c r="L1244" s="1"/>
      <c r="M1244" s="1"/>
      <c r="N1244" s="1"/>
      <c r="O1244" s="1"/>
      <c r="P1244" s="1"/>
      <c r="Q1244" s="1"/>
      <c r="R1244" s="1"/>
      <c r="S1244" s="1"/>
      <c r="T1244" s="1"/>
      <c r="U1244" s="1"/>
    </row>
    <row r="1245" spans="1:30" ht="17.149999999999999" customHeight="1">
      <c r="A1245" s="1"/>
      <c r="B1245" s="1"/>
      <c r="C1245" s="1"/>
      <c r="D1245" s="1"/>
      <c r="E1245" s="1"/>
      <c r="F1245" s="1"/>
      <c r="G1245" s="1"/>
      <c r="H1245" s="1"/>
      <c r="I1245" s="1"/>
      <c r="J1245" s="1"/>
      <c r="K1245" s="1"/>
      <c r="L1245" s="1"/>
      <c r="M1245" s="1"/>
      <c r="N1245" s="1"/>
      <c r="O1245" s="1"/>
      <c r="P1245" s="1"/>
      <c r="Q1245" s="1"/>
      <c r="R1245" s="1"/>
      <c r="S1245" s="1"/>
      <c r="T1245" s="1"/>
      <c r="U1245" s="1"/>
    </row>
    <row r="1246" spans="1:30" ht="17.149999999999999" customHeight="1">
      <c r="A1246" s="1"/>
      <c r="B1246" s="1"/>
      <c r="C1246" s="1"/>
      <c r="D1246" s="1"/>
      <c r="E1246" s="1"/>
      <c r="F1246" s="1"/>
      <c r="G1246" s="1"/>
      <c r="H1246" s="1"/>
      <c r="I1246" s="1"/>
      <c r="J1246" s="1"/>
      <c r="K1246" s="1"/>
      <c r="L1246" s="1"/>
      <c r="M1246" s="1"/>
      <c r="N1246" s="1"/>
      <c r="O1246" s="1"/>
      <c r="P1246" s="1"/>
      <c r="Q1246" s="1"/>
      <c r="R1246" s="1"/>
      <c r="S1246" s="1"/>
      <c r="T1246" s="1"/>
      <c r="U1246" s="1"/>
    </row>
    <row r="1247" spans="1:30" ht="17.149999999999999" customHeight="1">
      <c r="A1247" s="1"/>
      <c r="B1247" s="1"/>
      <c r="C1247" s="1"/>
      <c r="D1247" s="1"/>
      <c r="E1247" s="1"/>
      <c r="F1247" s="1"/>
      <c r="G1247" s="1"/>
      <c r="H1247" s="1"/>
      <c r="I1247" s="1"/>
      <c r="J1247" s="1"/>
      <c r="K1247" s="1"/>
      <c r="L1247" s="1"/>
      <c r="M1247" s="1"/>
      <c r="N1247" s="1"/>
      <c r="O1247" s="1"/>
      <c r="P1247" s="1"/>
      <c r="Q1247" s="1"/>
      <c r="R1247" s="1"/>
      <c r="S1247" s="1"/>
      <c r="T1247" s="1"/>
      <c r="U1247" s="1"/>
    </row>
    <row r="1248" spans="1:30" ht="17.149999999999999" customHeight="1">
      <c r="A1248" s="1"/>
      <c r="B1248" s="1"/>
      <c r="C1248" s="1"/>
      <c r="D1248" s="1"/>
      <c r="E1248" s="1"/>
      <c r="F1248" s="1"/>
      <c r="G1248" s="1"/>
      <c r="H1248" s="1"/>
      <c r="I1248" s="1"/>
      <c r="J1248" s="1"/>
      <c r="K1248" s="1"/>
      <c r="L1248" s="1"/>
      <c r="M1248" s="1"/>
      <c r="N1248" s="1"/>
      <c r="O1248" s="1"/>
      <c r="P1248" s="1"/>
      <c r="Q1248" s="1"/>
      <c r="R1248" s="1"/>
      <c r="S1248" s="1"/>
      <c r="T1248" s="1"/>
      <c r="U1248" s="1"/>
    </row>
    <row r="1249" spans="1:21" ht="17.149999999999999" customHeight="1">
      <c r="A1249" s="1"/>
      <c r="B1249" s="1"/>
      <c r="C1249" s="1"/>
      <c r="D1249" s="1"/>
      <c r="E1249" s="1"/>
      <c r="F1249" s="1"/>
      <c r="G1249" s="1"/>
      <c r="H1249" s="1"/>
      <c r="I1249" s="1"/>
      <c r="J1249" s="1"/>
      <c r="K1249" s="1"/>
      <c r="L1249" s="1"/>
      <c r="M1249" s="1"/>
      <c r="N1249" s="1"/>
      <c r="O1249" s="1"/>
      <c r="P1249" s="1"/>
      <c r="Q1249" s="1"/>
      <c r="R1249" s="1"/>
      <c r="S1249" s="1"/>
      <c r="T1249" s="1"/>
      <c r="U1249" s="1"/>
    </row>
    <row r="1250" spans="1:21" ht="17.149999999999999" customHeight="1">
      <c r="A1250" s="1"/>
      <c r="B1250" s="1"/>
      <c r="C1250" s="1"/>
      <c r="D1250" s="1"/>
      <c r="E1250" s="1"/>
      <c r="F1250" s="1"/>
      <c r="G1250" s="1"/>
      <c r="H1250" s="1"/>
      <c r="I1250" s="1"/>
      <c r="J1250" s="1"/>
      <c r="K1250" s="1"/>
      <c r="L1250" s="1"/>
      <c r="M1250" s="1"/>
      <c r="N1250" s="1"/>
      <c r="O1250" s="1"/>
      <c r="P1250" s="1"/>
      <c r="Q1250" s="1"/>
      <c r="R1250" s="1"/>
      <c r="S1250" s="1"/>
      <c r="T1250" s="1"/>
      <c r="U1250" s="1"/>
    </row>
    <row r="1251" spans="1:21" ht="17.149999999999999" customHeight="1">
      <c r="A1251" s="1"/>
      <c r="B1251" s="1"/>
      <c r="C1251" s="1"/>
      <c r="D1251" s="1"/>
      <c r="E1251" s="1"/>
      <c r="F1251" s="1"/>
      <c r="G1251" s="1"/>
      <c r="H1251" s="1"/>
      <c r="I1251" s="1"/>
      <c r="J1251" s="1"/>
      <c r="K1251" s="1"/>
      <c r="L1251" s="1"/>
      <c r="M1251" s="1"/>
      <c r="N1251" s="1"/>
      <c r="O1251" s="1"/>
      <c r="P1251" s="1"/>
      <c r="Q1251" s="1"/>
      <c r="R1251" s="1"/>
      <c r="S1251" s="1"/>
      <c r="T1251" s="1"/>
      <c r="U1251" s="1"/>
    </row>
    <row r="1252" spans="1:21" ht="17.149999999999999" customHeight="1">
      <c r="A1252" s="1"/>
      <c r="B1252" s="1"/>
      <c r="C1252" s="1"/>
      <c r="D1252" s="1"/>
      <c r="E1252" s="1"/>
      <c r="F1252" s="1"/>
      <c r="G1252" s="1"/>
      <c r="H1252" s="1"/>
      <c r="I1252" s="1"/>
      <c r="J1252" s="1"/>
      <c r="K1252" s="1"/>
      <c r="L1252" s="1"/>
      <c r="M1252" s="1"/>
      <c r="N1252" s="1"/>
      <c r="O1252" s="1"/>
      <c r="P1252" s="1"/>
      <c r="Q1252" s="1"/>
      <c r="R1252" s="1"/>
      <c r="S1252" s="1"/>
      <c r="T1252" s="1"/>
      <c r="U1252" s="1"/>
    </row>
    <row r="1253" spans="1:21" ht="17.149999999999999" customHeight="1">
      <c r="A1253" s="1"/>
      <c r="B1253" s="1"/>
      <c r="C1253" s="1"/>
      <c r="D1253" s="1"/>
      <c r="E1253" s="1"/>
      <c r="F1253" s="1"/>
      <c r="G1253" s="1"/>
      <c r="H1253" s="1"/>
      <c r="I1253" s="1"/>
      <c r="J1253" s="1"/>
      <c r="K1253" s="1"/>
      <c r="L1253" s="1"/>
      <c r="M1253" s="1"/>
      <c r="N1253" s="1"/>
      <c r="O1253" s="1"/>
      <c r="P1253" s="1"/>
      <c r="Q1253" s="1"/>
      <c r="R1253" s="1"/>
      <c r="S1253" s="1"/>
      <c r="T1253" s="1"/>
      <c r="U1253" s="1"/>
    </row>
    <row r="1254" spans="1:21" ht="17.149999999999999" customHeight="1">
      <c r="A1254" s="1"/>
      <c r="B1254" s="1"/>
      <c r="C1254" s="1"/>
      <c r="D1254" s="1"/>
      <c r="E1254" s="1"/>
      <c r="F1254" s="1"/>
      <c r="G1254" s="1"/>
      <c r="H1254" s="1"/>
      <c r="I1254" s="1"/>
      <c r="J1254" s="1"/>
      <c r="K1254" s="1"/>
      <c r="L1254" s="1"/>
      <c r="M1254" s="1"/>
      <c r="N1254" s="1"/>
      <c r="O1254" s="1"/>
      <c r="P1254" s="1"/>
      <c r="Q1254" s="1"/>
      <c r="R1254" s="1"/>
      <c r="S1254" s="1"/>
      <c r="T1254" s="1"/>
      <c r="U1254" s="1"/>
    </row>
    <row r="1255" spans="1:21" ht="17.149999999999999" customHeight="1">
      <c r="A1255" s="1"/>
      <c r="B1255" s="1"/>
      <c r="C1255" s="1"/>
      <c r="D1255" s="1"/>
      <c r="E1255" s="1"/>
      <c r="F1255" s="1"/>
      <c r="G1255" s="1"/>
      <c r="H1255" s="1"/>
      <c r="I1255" s="1"/>
      <c r="J1255" s="1"/>
      <c r="K1255" s="1"/>
      <c r="L1255" s="1"/>
      <c r="M1255" s="1"/>
      <c r="N1255" s="1"/>
      <c r="O1255" s="1"/>
      <c r="P1255" s="1"/>
      <c r="Q1255" s="1"/>
      <c r="R1255" s="1"/>
      <c r="S1255" s="1"/>
      <c r="T1255" s="1"/>
      <c r="U1255" s="1"/>
    </row>
    <row r="1256" spans="1:21" ht="17.149999999999999" customHeight="1">
      <c r="A1256" s="1"/>
      <c r="B1256" s="1"/>
      <c r="C1256" s="1"/>
      <c r="D1256" s="1"/>
      <c r="E1256" s="1"/>
      <c r="F1256" s="1"/>
      <c r="G1256" s="1"/>
      <c r="H1256" s="1"/>
      <c r="I1256" s="1"/>
      <c r="J1256" s="1"/>
      <c r="K1256" s="1"/>
      <c r="L1256" s="1"/>
      <c r="M1256" s="1"/>
      <c r="N1256" s="1"/>
      <c r="O1256" s="1"/>
      <c r="P1256" s="1"/>
      <c r="Q1256" s="1"/>
      <c r="R1256" s="1"/>
      <c r="S1256" s="1"/>
      <c r="T1256" s="1"/>
      <c r="U1256" s="1"/>
    </row>
    <row r="1257" spans="1:21" ht="17.149999999999999" customHeight="1">
      <c r="A1257" s="1"/>
      <c r="B1257" s="1"/>
      <c r="C1257" s="1"/>
      <c r="D1257" s="1"/>
      <c r="E1257" s="1"/>
      <c r="F1257" s="1"/>
      <c r="G1257" s="1"/>
      <c r="H1257" s="1"/>
      <c r="I1257" s="1"/>
      <c r="J1257" s="1"/>
      <c r="K1257" s="1"/>
      <c r="L1257" s="1"/>
      <c r="M1257" s="1"/>
      <c r="N1257" s="1"/>
      <c r="O1257" s="1"/>
      <c r="P1257" s="1"/>
      <c r="Q1257" s="1"/>
      <c r="R1257" s="1"/>
      <c r="S1257" s="1"/>
      <c r="T1257" s="1"/>
      <c r="U1257" s="1"/>
    </row>
    <row r="1258" spans="1:21" ht="17.149999999999999" customHeight="1">
      <c r="A1258" s="1"/>
      <c r="B1258" s="1"/>
      <c r="C1258" s="1"/>
      <c r="D1258" s="1"/>
      <c r="E1258" s="1"/>
      <c r="F1258" s="1"/>
      <c r="G1258" s="1"/>
      <c r="H1258" s="1"/>
      <c r="I1258" s="1"/>
      <c r="J1258" s="1"/>
      <c r="K1258" s="1"/>
      <c r="L1258" s="1"/>
      <c r="M1258" s="1"/>
      <c r="N1258" s="1"/>
      <c r="O1258" s="1"/>
      <c r="P1258" s="1"/>
      <c r="Q1258" s="1"/>
      <c r="R1258" s="1"/>
      <c r="S1258" s="1"/>
      <c r="T1258" s="1"/>
      <c r="U1258" s="1"/>
    </row>
    <row r="1259" spans="1:21" ht="17.149999999999999" customHeight="1">
      <c r="A1259" s="1"/>
      <c r="B1259" s="1"/>
      <c r="C1259" s="1"/>
      <c r="D1259" s="1"/>
      <c r="E1259" s="1"/>
      <c r="F1259" s="1"/>
      <c r="G1259" s="1"/>
      <c r="H1259" s="1"/>
      <c r="I1259" s="1"/>
      <c r="J1259" s="1"/>
      <c r="K1259" s="1"/>
      <c r="L1259" s="1"/>
      <c r="M1259" s="1"/>
      <c r="N1259" s="1"/>
      <c r="O1259" s="1"/>
      <c r="P1259" s="1"/>
      <c r="Q1259" s="1"/>
      <c r="R1259" s="1"/>
      <c r="S1259" s="1"/>
      <c r="T1259" s="1"/>
      <c r="U1259" s="1"/>
    </row>
    <row r="1260" spans="1:21" ht="17.149999999999999" customHeight="1">
      <c r="A1260" s="1"/>
      <c r="B1260" s="1"/>
      <c r="C1260" s="1"/>
      <c r="D1260" s="1"/>
      <c r="E1260" s="1"/>
      <c r="F1260" s="1"/>
      <c r="G1260" s="1"/>
      <c r="H1260" s="1"/>
      <c r="I1260" s="1"/>
      <c r="J1260" s="1"/>
      <c r="K1260" s="1"/>
      <c r="L1260" s="1"/>
      <c r="M1260" s="1"/>
      <c r="N1260" s="1"/>
      <c r="O1260" s="1"/>
      <c r="P1260" s="1"/>
      <c r="Q1260" s="1"/>
      <c r="R1260" s="1"/>
      <c r="S1260" s="1"/>
      <c r="T1260" s="1"/>
      <c r="U1260" s="1"/>
    </row>
    <row r="1261" spans="1:21" ht="17.149999999999999" customHeight="1">
      <c r="A1261" s="1"/>
      <c r="B1261" s="1"/>
      <c r="C1261" s="1"/>
      <c r="D1261" s="1"/>
      <c r="E1261" s="1"/>
      <c r="F1261" s="1"/>
      <c r="G1261" s="1"/>
      <c r="H1261" s="1"/>
      <c r="I1261" s="1"/>
      <c r="J1261" s="1"/>
      <c r="K1261" s="1"/>
      <c r="L1261" s="1"/>
      <c r="M1261" s="1"/>
      <c r="N1261" s="1"/>
      <c r="O1261" s="1"/>
      <c r="P1261" s="1"/>
      <c r="Q1261" s="1"/>
      <c r="R1261" s="1"/>
      <c r="S1261" s="1"/>
      <c r="T1261" s="1"/>
      <c r="U1261" s="1"/>
    </row>
    <row r="1262" spans="1:21" ht="17.149999999999999" customHeight="1">
      <c r="A1262" s="1"/>
      <c r="B1262" s="1"/>
      <c r="C1262" s="1"/>
      <c r="D1262" s="1"/>
      <c r="E1262" s="1"/>
      <c r="F1262" s="1"/>
      <c r="G1262" s="1"/>
      <c r="H1262" s="1"/>
      <c r="I1262" s="1"/>
      <c r="J1262" s="1"/>
      <c r="K1262" s="1"/>
      <c r="L1262" s="1"/>
      <c r="M1262" s="1"/>
      <c r="N1262" s="1"/>
      <c r="O1262" s="1"/>
      <c r="P1262" s="1"/>
      <c r="Q1262" s="1"/>
      <c r="R1262" s="1"/>
      <c r="S1262" s="1"/>
      <c r="T1262" s="1"/>
      <c r="U1262" s="1"/>
    </row>
    <row r="1263" spans="1:21" ht="17.149999999999999" customHeight="1">
      <c r="A1263" s="1"/>
      <c r="B1263" s="1"/>
      <c r="C1263" s="1"/>
      <c r="D1263" s="1"/>
      <c r="E1263" s="1"/>
      <c r="F1263" s="1"/>
      <c r="G1263" s="1"/>
      <c r="H1263" s="1"/>
      <c r="I1263" s="1"/>
      <c r="J1263" s="1"/>
      <c r="K1263" s="1"/>
      <c r="L1263" s="1"/>
      <c r="M1263" s="1"/>
      <c r="N1263" s="1"/>
      <c r="O1263" s="1"/>
      <c r="P1263" s="1"/>
      <c r="Q1263" s="1"/>
      <c r="R1263" s="1"/>
      <c r="S1263" s="1"/>
      <c r="T1263" s="1"/>
      <c r="U1263" s="1"/>
    </row>
    <row r="1264" spans="1:21" ht="17.149999999999999" customHeight="1">
      <c r="A1264" s="1"/>
      <c r="B1264" s="1"/>
      <c r="C1264" s="1"/>
      <c r="D1264" s="1"/>
      <c r="E1264" s="1"/>
      <c r="F1264" s="1"/>
      <c r="G1264" s="1"/>
      <c r="H1264" s="1"/>
      <c r="I1264" s="1"/>
      <c r="J1264" s="1"/>
      <c r="K1264" s="1"/>
      <c r="L1264" s="1"/>
      <c r="M1264" s="1"/>
      <c r="N1264" s="1"/>
      <c r="O1264" s="1"/>
      <c r="P1264" s="1"/>
      <c r="Q1264" s="1"/>
      <c r="R1264" s="1"/>
      <c r="S1264" s="1"/>
      <c r="T1264" s="1"/>
      <c r="U1264" s="1"/>
    </row>
    <row r="1265" spans="1:21" ht="17.149999999999999" customHeight="1">
      <c r="A1265" s="1"/>
      <c r="B1265" s="1"/>
      <c r="C1265" s="1"/>
      <c r="D1265" s="1"/>
      <c r="E1265" s="1"/>
      <c r="F1265" s="1"/>
      <c r="G1265" s="1"/>
      <c r="H1265" s="1"/>
      <c r="I1265" s="1"/>
      <c r="J1265" s="1"/>
      <c r="K1265" s="1"/>
      <c r="L1265" s="1"/>
      <c r="M1265" s="1"/>
      <c r="N1265" s="1"/>
      <c r="O1265" s="1"/>
      <c r="P1265" s="1"/>
      <c r="Q1265" s="1"/>
      <c r="R1265" s="1"/>
      <c r="S1265" s="1"/>
      <c r="T1265" s="1"/>
      <c r="U1265" s="1"/>
    </row>
    <row r="1266" spans="1:21" ht="17.149999999999999" customHeight="1">
      <c r="A1266" s="1"/>
      <c r="B1266" s="1"/>
      <c r="C1266" s="1"/>
      <c r="D1266" s="1"/>
      <c r="E1266" s="1"/>
      <c r="F1266" s="1"/>
      <c r="G1266" s="1"/>
      <c r="H1266" s="1"/>
      <c r="I1266" s="1"/>
      <c r="J1266" s="1"/>
      <c r="K1266" s="1"/>
      <c r="L1266" s="1"/>
      <c r="M1266" s="1"/>
      <c r="N1266" s="1"/>
      <c r="O1266" s="1"/>
      <c r="P1266" s="1"/>
      <c r="Q1266" s="1"/>
      <c r="R1266" s="1"/>
      <c r="S1266" s="1"/>
      <c r="T1266" s="1"/>
      <c r="U1266" s="1"/>
    </row>
    <row r="1267" spans="1:21" ht="17.149999999999999" customHeight="1">
      <c r="A1267" s="1"/>
      <c r="B1267" s="1"/>
      <c r="C1267" s="1"/>
      <c r="D1267" s="1"/>
      <c r="E1267" s="1"/>
      <c r="F1267" s="1"/>
      <c r="G1267" s="1"/>
      <c r="H1267" s="1"/>
      <c r="I1267" s="1"/>
      <c r="J1267" s="1"/>
      <c r="K1267" s="1"/>
      <c r="L1267" s="1"/>
      <c r="M1267" s="1"/>
      <c r="N1267" s="1"/>
      <c r="O1267" s="1"/>
      <c r="P1267" s="1"/>
      <c r="Q1267" s="1"/>
      <c r="R1267" s="1"/>
      <c r="S1267" s="1"/>
      <c r="T1267" s="1"/>
      <c r="U1267" s="1"/>
    </row>
    <row r="1268" spans="1:21" ht="17.149999999999999" customHeight="1">
      <c r="A1268" s="1"/>
      <c r="B1268" s="1"/>
      <c r="C1268" s="1"/>
      <c r="D1268" s="1"/>
      <c r="E1268" s="1"/>
      <c r="F1268" s="1"/>
      <c r="G1268" s="1"/>
      <c r="H1268" s="1"/>
      <c r="I1268" s="1"/>
      <c r="J1268" s="1"/>
      <c r="K1268" s="1"/>
      <c r="L1268" s="1"/>
      <c r="M1268" s="1"/>
      <c r="N1268" s="1"/>
      <c r="O1268" s="1"/>
      <c r="P1268" s="1"/>
      <c r="Q1268" s="1"/>
      <c r="R1268" s="1"/>
      <c r="S1268" s="1"/>
      <c r="T1268" s="1"/>
      <c r="U1268" s="1"/>
    </row>
    <row r="1269" spans="1:21" ht="17.149999999999999" customHeight="1">
      <c r="A1269" s="1"/>
      <c r="B1269" s="1"/>
      <c r="C1269" s="1"/>
      <c r="D1269" s="1"/>
      <c r="E1269" s="1"/>
      <c r="F1269" s="1"/>
      <c r="G1269" s="1"/>
      <c r="H1269" s="1"/>
      <c r="I1269" s="1"/>
      <c r="J1269" s="1"/>
      <c r="K1269" s="1"/>
      <c r="L1269" s="1"/>
      <c r="M1269" s="1"/>
      <c r="N1269" s="1"/>
      <c r="O1269" s="1"/>
      <c r="P1269" s="1"/>
      <c r="Q1269" s="1"/>
      <c r="R1269" s="1"/>
      <c r="S1269" s="1"/>
      <c r="T1269" s="1"/>
      <c r="U1269" s="1"/>
    </row>
    <row r="1270" spans="1:21" ht="17.149999999999999" customHeight="1">
      <c r="A1270" s="1"/>
      <c r="B1270" s="1"/>
      <c r="C1270" s="1"/>
      <c r="D1270" s="1"/>
      <c r="E1270" s="1"/>
      <c r="F1270" s="1"/>
      <c r="G1270" s="1"/>
      <c r="H1270" s="1"/>
      <c r="I1270" s="1"/>
      <c r="J1270" s="1"/>
      <c r="K1270" s="1"/>
      <c r="L1270" s="1"/>
      <c r="M1270" s="1"/>
      <c r="N1270" s="1"/>
      <c r="O1270" s="1"/>
      <c r="P1270" s="1"/>
      <c r="Q1270" s="1"/>
      <c r="R1270" s="1"/>
      <c r="S1270" s="1"/>
      <c r="T1270" s="1"/>
      <c r="U1270" s="1"/>
    </row>
    <row r="1271" spans="1:21" ht="17.149999999999999" customHeight="1">
      <c r="A1271" s="1"/>
      <c r="B1271" s="1"/>
      <c r="C1271" s="1"/>
      <c r="D1271" s="1"/>
      <c r="E1271" s="1"/>
      <c r="F1271" s="1"/>
      <c r="G1271" s="1"/>
      <c r="H1271" s="1"/>
      <c r="I1271" s="1"/>
      <c r="J1271" s="1"/>
      <c r="K1271" s="1"/>
      <c r="L1271" s="1"/>
      <c r="M1271" s="1"/>
      <c r="N1271" s="1"/>
      <c r="O1271" s="1"/>
      <c r="P1271" s="1"/>
      <c r="Q1271" s="1"/>
      <c r="R1271" s="1"/>
      <c r="S1271" s="1"/>
      <c r="T1271" s="1"/>
      <c r="U1271" s="1"/>
    </row>
    <row r="1272" spans="1:21" ht="17.149999999999999" customHeight="1">
      <c r="A1272" s="1"/>
      <c r="B1272" s="1"/>
      <c r="C1272" s="1"/>
      <c r="D1272" s="1"/>
      <c r="E1272" s="1"/>
      <c r="F1272" s="1"/>
      <c r="G1272" s="1"/>
      <c r="H1272" s="1"/>
      <c r="I1272" s="1"/>
      <c r="J1272" s="1"/>
      <c r="K1272" s="1"/>
      <c r="L1272" s="1"/>
      <c r="M1272" s="1"/>
      <c r="N1272" s="1"/>
      <c r="O1272" s="1"/>
      <c r="P1272" s="1"/>
      <c r="Q1272" s="1"/>
      <c r="R1272" s="1"/>
      <c r="S1272" s="1"/>
      <c r="T1272" s="1"/>
      <c r="U1272" s="1"/>
    </row>
    <row r="1273" spans="1:21" ht="17.149999999999999" customHeight="1">
      <c r="A1273" s="1"/>
      <c r="B1273" s="1"/>
      <c r="C1273" s="1"/>
      <c r="D1273" s="1"/>
      <c r="E1273" s="1"/>
      <c r="F1273" s="1"/>
      <c r="G1273" s="1"/>
      <c r="H1273" s="1"/>
      <c r="I1273" s="1"/>
      <c r="J1273" s="1"/>
      <c r="K1273" s="1"/>
      <c r="L1273" s="1"/>
      <c r="M1273" s="1"/>
      <c r="N1273" s="1"/>
      <c r="O1273" s="1"/>
      <c r="P1273" s="1"/>
      <c r="Q1273" s="1"/>
      <c r="R1273" s="1"/>
      <c r="S1273" s="1"/>
      <c r="T1273" s="1"/>
      <c r="U1273" s="1"/>
    </row>
    <row r="1274" spans="1:21" ht="17.149999999999999" customHeight="1">
      <c r="A1274" s="1"/>
      <c r="B1274" s="1"/>
      <c r="C1274" s="1"/>
      <c r="D1274" s="1"/>
      <c r="E1274" s="1"/>
      <c r="F1274" s="1"/>
      <c r="G1274" s="1"/>
      <c r="H1274" s="1"/>
      <c r="I1274" s="1"/>
      <c r="J1274" s="1"/>
      <c r="K1274" s="1"/>
      <c r="L1274" s="1"/>
      <c r="M1274" s="1"/>
      <c r="N1274" s="1"/>
      <c r="O1274" s="1"/>
      <c r="P1274" s="1"/>
      <c r="Q1274" s="1"/>
      <c r="R1274" s="1"/>
      <c r="S1274" s="1"/>
      <c r="T1274" s="1"/>
      <c r="U1274" s="1"/>
    </row>
    <row r="1275" spans="1:21" ht="17.149999999999999" customHeight="1">
      <c r="A1275" s="1"/>
      <c r="B1275" s="1"/>
      <c r="C1275" s="1"/>
      <c r="D1275" s="1"/>
      <c r="E1275" s="1"/>
      <c r="F1275" s="1"/>
      <c r="G1275" s="1"/>
      <c r="H1275" s="1"/>
      <c r="I1275" s="1"/>
      <c r="J1275" s="1"/>
      <c r="K1275" s="1"/>
      <c r="L1275" s="1"/>
      <c r="M1275" s="1"/>
      <c r="N1275" s="1"/>
      <c r="O1275" s="1"/>
      <c r="P1275" s="1"/>
      <c r="Q1275" s="1"/>
      <c r="R1275" s="1"/>
      <c r="S1275" s="1"/>
      <c r="T1275" s="1"/>
      <c r="U1275" s="1"/>
    </row>
    <row r="1276" spans="1:21" ht="17.149999999999999" customHeight="1">
      <c r="A1276" s="1"/>
      <c r="B1276" s="1"/>
      <c r="C1276" s="1"/>
      <c r="D1276" s="1"/>
      <c r="E1276" s="1"/>
      <c r="F1276" s="1"/>
      <c r="G1276" s="1"/>
      <c r="H1276" s="1"/>
      <c r="I1276" s="1"/>
      <c r="J1276" s="1"/>
      <c r="K1276" s="1"/>
      <c r="L1276" s="1"/>
      <c r="M1276" s="1"/>
      <c r="N1276" s="1"/>
      <c r="O1276" s="1"/>
      <c r="P1276" s="1"/>
      <c r="Q1276" s="1"/>
      <c r="R1276" s="1"/>
      <c r="S1276" s="1"/>
      <c r="T1276" s="1"/>
      <c r="U1276" s="1"/>
    </row>
    <row r="1277" spans="1:21" ht="17.149999999999999" customHeight="1">
      <c r="A1277" s="1"/>
      <c r="B1277" s="1"/>
      <c r="C1277" s="1"/>
      <c r="D1277" s="1"/>
      <c r="E1277" s="1"/>
      <c r="F1277" s="1"/>
      <c r="G1277" s="1"/>
      <c r="H1277" s="1"/>
      <c r="I1277" s="1"/>
      <c r="J1277" s="1"/>
      <c r="K1277" s="1"/>
      <c r="L1277" s="1"/>
      <c r="M1277" s="1"/>
      <c r="N1277" s="1"/>
      <c r="O1277" s="1"/>
      <c r="P1277" s="1"/>
      <c r="Q1277" s="1"/>
      <c r="R1277" s="1"/>
      <c r="S1277" s="1"/>
      <c r="T1277" s="1"/>
      <c r="U1277" s="1"/>
    </row>
    <row r="1278" spans="1:21" ht="17.149999999999999" customHeight="1">
      <c r="A1278" s="1"/>
      <c r="B1278" s="1"/>
      <c r="C1278" s="1"/>
      <c r="D1278" s="1"/>
      <c r="E1278" s="1"/>
      <c r="F1278" s="1"/>
      <c r="G1278" s="1"/>
      <c r="H1278" s="1"/>
      <c r="I1278" s="1"/>
      <c r="J1278" s="1"/>
      <c r="K1278" s="1"/>
      <c r="L1278" s="1"/>
      <c r="M1278" s="1"/>
      <c r="N1278" s="1"/>
      <c r="O1278" s="1"/>
      <c r="P1278" s="1"/>
      <c r="Q1278" s="1"/>
      <c r="R1278" s="1"/>
      <c r="S1278" s="1"/>
      <c r="T1278" s="1"/>
      <c r="U1278" s="1"/>
    </row>
    <row r="1279" spans="1:21" ht="17.149999999999999" customHeight="1">
      <c r="A1279" s="1"/>
      <c r="B1279" s="1"/>
      <c r="C1279" s="1"/>
      <c r="D1279" s="1"/>
      <c r="E1279" s="1"/>
      <c r="F1279" s="1"/>
      <c r="G1279" s="1"/>
      <c r="H1279" s="1"/>
      <c r="I1279" s="1"/>
      <c r="J1279" s="1"/>
      <c r="K1279" s="1"/>
      <c r="L1279" s="1"/>
      <c r="M1279" s="1"/>
      <c r="N1279" s="1"/>
      <c r="O1279" s="1"/>
      <c r="P1279" s="1"/>
      <c r="Q1279" s="1"/>
      <c r="R1279" s="1"/>
      <c r="S1279" s="1"/>
      <c r="T1279" s="1"/>
      <c r="U1279" s="1"/>
    </row>
    <row r="1280" spans="1:21" ht="17.149999999999999" customHeight="1">
      <c r="A1280" s="1"/>
      <c r="B1280" s="1"/>
      <c r="C1280" s="1"/>
      <c r="D1280" s="1"/>
      <c r="E1280" s="1"/>
      <c r="F1280" s="1"/>
      <c r="G1280" s="1"/>
      <c r="H1280" s="1"/>
      <c r="I1280" s="1"/>
      <c r="J1280" s="1"/>
      <c r="K1280" s="1"/>
      <c r="L1280" s="1"/>
      <c r="M1280" s="1"/>
      <c r="N1280" s="1"/>
      <c r="O1280" s="1"/>
      <c r="P1280" s="1"/>
      <c r="Q1280" s="1"/>
      <c r="R1280" s="1"/>
      <c r="S1280" s="1"/>
      <c r="T1280" s="1"/>
      <c r="U1280" s="1"/>
    </row>
    <row r="1281" spans="1:21" ht="17.149999999999999" customHeight="1">
      <c r="A1281" s="1"/>
      <c r="B1281" s="1"/>
      <c r="C1281" s="1"/>
      <c r="D1281" s="1"/>
      <c r="E1281" s="1"/>
      <c r="F1281" s="1"/>
      <c r="G1281" s="1"/>
      <c r="H1281" s="1"/>
      <c r="I1281" s="1"/>
      <c r="J1281" s="1"/>
      <c r="K1281" s="1"/>
      <c r="L1281" s="1"/>
      <c r="M1281" s="1"/>
      <c r="N1281" s="1"/>
      <c r="O1281" s="1"/>
      <c r="P1281" s="1"/>
      <c r="Q1281" s="1"/>
      <c r="R1281" s="1"/>
      <c r="S1281" s="1"/>
      <c r="T1281" s="1"/>
      <c r="U1281" s="1"/>
    </row>
    <row r="1282" spans="1:21" ht="17.149999999999999" customHeight="1">
      <c r="A1282" s="1"/>
      <c r="B1282" s="1"/>
      <c r="C1282" s="1"/>
      <c r="D1282" s="1"/>
      <c r="E1282" s="1"/>
      <c r="F1282" s="1"/>
      <c r="G1282" s="1"/>
      <c r="H1282" s="1"/>
      <c r="I1282" s="1"/>
      <c r="J1282" s="1"/>
      <c r="K1282" s="1"/>
      <c r="L1282" s="1"/>
      <c r="M1282" s="1"/>
      <c r="N1282" s="1"/>
      <c r="O1282" s="1"/>
      <c r="P1282" s="1"/>
      <c r="Q1282" s="1"/>
      <c r="R1282" s="1"/>
      <c r="S1282" s="1"/>
      <c r="T1282" s="1"/>
      <c r="U1282" s="1"/>
    </row>
    <row r="1283" spans="1:21" ht="17.149999999999999" customHeight="1">
      <c r="A1283" s="1"/>
      <c r="B1283" s="1"/>
      <c r="C1283" s="1"/>
      <c r="D1283" s="1"/>
      <c r="E1283" s="1"/>
      <c r="F1283" s="1"/>
      <c r="G1283" s="1"/>
      <c r="H1283" s="1"/>
      <c r="I1283" s="1"/>
      <c r="J1283" s="1"/>
      <c r="K1283" s="1"/>
      <c r="L1283" s="1"/>
      <c r="M1283" s="1"/>
      <c r="N1283" s="1"/>
      <c r="O1283" s="1"/>
      <c r="P1283" s="1"/>
      <c r="Q1283" s="1"/>
      <c r="R1283" s="1"/>
      <c r="S1283" s="1"/>
      <c r="T1283" s="1"/>
      <c r="U1283" s="1"/>
    </row>
    <row r="1284" spans="1:21" ht="17.149999999999999" customHeight="1">
      <c r="A1284" s="1"/>
      <c r="B1284" s="1"/>
      <c r="C1284" s="1"/>
      <c r="D1284" s="1"/>
      <c r="E1284" s="1"/>
      <c r="F1284" s="1"/>
      <c r="G1284" s="1"/>
      <c r="H1284" s="1"/>
      <c r="I1284" s="1"/>
      <c r="J1284" s="1"/>
      <c r="K1284" s="1"/>
      <c r="L1284" s="1"/>
      <c r="M1284" s="1"/>
      <c r="N1284" s="1"/>
      <c r="O1284" s="1"/>
      <c r="P1284" s="1"/>
      <c r="Q1284" s="1"/>
      <c r="R1284" s="1"/>
      <c r="S1284" s="1"/>
      <c r="T1284" s="1"/>
      <c r="U1284" s="1"/>
    </row>
    <row r="1285" spans="1:21" ht="17.149999999999999" customHeight="1">
      <c r="A1285" s="1"/>
      <c r="B1285" s="1"/>
      <c r="C1285" s="1"/>
      <c r="D1285" s="1"/>
      <c r="E1285" s="1"/>
      <c r="F1285" s="1"/>
      <c r="G1285" s="1"/>
      <c r="H1285" s="1"/>
      <c r="I1285" s="1"/>
      <c r="J1285" s="1"/>
      <c r="K1285" s="1"/>
      <c r="L1285" s="1"/>
      <c r="M1285" s="1"/>
      <c r="N1285" s="1"/>
      <c r="O1285" s="1"/>
      <c r="P1285" s="1"/>
      <c r="Q1285" s="1"/>
      <c r="R1285" s="1"/>
      <c r="S1285" s="1"/>
      <c r="T1285" s="1"/>
      <c r="U1285" s="1"/>
    </row>
    <row r="1286" spans="1:21" ht="17.149999999999999" customHeight="1">
      <c r="A1286" s="1"/>
      <c r="B1286" s="1"/>
      <c r="C1286" s="1"/>
      <c r="D1286" s="1"/>
      <c r="E1286" s="1"/>
      <c r="F1286" s="1"/>
      <c r="G1286" s="1"/>
      <c r="H1286" s="1"/>
      <c r="I1286" s="1"/>
      <c r="J1286" s="1"/>
      <c r="K1286" s="1"/>
      <c r="L1286" s="1"/>
      <c r="M1286" s="1"/>
      <c r="N1286" s="1"/>
      <c r="O1286" s="1"/>
      <c r="P1286" s="1"/>
      <c r="Q1286" s="1"/>
      <c r="R1286" s="1"/>
      <c r="S1286" s="1"/>
      <c r="T1286" s="1"/>
      <c r="U1286" s="1"/>
    </row>
    <row r="1287" spans="1:21" ht="17.149999999999999" customHeight="1">
      <c r="A1287" s="1"/>
      <c r="B1287" s="1"/>
      <c r="C1287" s="1"/>
      <c r="D1287" s="1"/>
      <c r="E1287" s="1"/>
      <c r="F1287" s="1"/>
      <c r="G1287" s="1"/>
      <c r="H1287" s="1"/>
      <c r="I1287" s="1"/>
      <c r="J1287" s="1"/>
      <c r="K1287" s="1"/>
      <c r="L1287" s="1"/>
      <c r="M1287" s="1"/>
      <c r="N1287" s="1"/>
      <c r="O1287" s="1"/>
      <c r="P1287" s="1"/>
      <c r="Q1287" s="1"/>
      <c r="R1287" s="1"/>
      <c r="S1287" s="1"/>
      <c r="T1287" s="1"/>
      <c r="U1287" s="1"/>
    </row>
    <row r="1288" spans="1:21" ht="17.149999999999999" customHeight="1">
      <c r="A1288" s="1"/>
      <c r="B1288" s="1"/>
      <c r="C1288" s="1"/>
      <c r="D1288" s="1"/>
      <c r="E1288" s="1"/>
      <c r="F1288" s="1"/>
      <c r="G1288" s="1"/>
      <c r="H1288" s="1"/>
      <c r="I1288" s="1"/>
      <c r="J1288" s="1"/>
      <c r="K1288" s="1"/>
      <c r="L1288" s="1"/>
      <c r="M1288" s="1"/>
      <c r="N1288" s="1"/>
      <c r="O1288" s="1"/>
      <c r="P1288" s="1"/>
      <c r="Q1288" s="1"/>
      <c r="R1288" s="1"/>
      <c r="S1288" s="1"/>
      <c r="T1288" s="1"/>
      <c r="U1288" s="1"/>
    </row>
    <row r="1289" spans="1:21" ht="17.149999999999999" customHeight="1">
      <c r="A1289" s="1"/>
      <c r="B1289" s="1"/>
      <c r="C1289" s="1"/>
      <c r="D1289" s="1"/>
      <c r="E1289" s="1"/>
      <c r="F1289" s="1"/>
      <c r="G1289" s="1"/>
      <c r="H1289" s="1"/>
      <c r="I1289" s="1"/>
      <c r="J1289" s="1"/>
      <c r="K1289" s="1"/>
      <c r="L1289" s="1"/>
      <c r="M1289" s="1"/>
      <c r="N1289" s="1"/>
      <c r="O1289" s="1"/>
      <c r="P1289" s="1"/>
      <c r="Q1289" s="1"/>
      <c r="R1289" s="1"/>
      <c r="S1289" s="1"/>
      <c r="T1289" s="1"/>
      <c r="U1289" s="1"/>
    </row>
    <row r="1290" spans="1:21" ht="17.149999999999999" customHeight="1">
      <c r="A1290" s="1"/>
      <c r="B1290" s="1"/>
      <c r="C1290" s="1"/>
      <c r="D1290" s="1"/>
      <c r="E1290" s="1"/>
      <c r="F1290" s="1"/>
      <c r="G1290" s="1"/>
      <c r="H1290" s="1"/>
      <c r="I1290" s="1"/>
      <c r="J1290" s="1"/>
      <c r="K1290" s="1"/>
      <c r="L1290" s="1"/>
      <c r="M1290" s="1"/>
      <c r="N1290" s="1"/>
      <c r="O1290" s="1"/>
      <c r="P1290" s="1"/>
      <c r="Q1290" s="1"/>
      <c r="R1290" s="1"/>
      <c r="S1290" s="1"/>
      <c r="T1290" s="1"/>
      <c r="U1290" s="1"/>
    </row>
    <row r="1291" spans="1:21" ht="17.149999999999999" customHeight="1">
      <c r="A1291" s="1"/>
      <c r="B1291" s="1"/>
      <c r="C1291" s="1"/>
      <c r="D1291" s="1"/>
      <c r="E1291" s="1"/>
      <c r="F1291" s="1"/>
      <c r="G1291" s="1"/>
      <c r="H1291" s="1"/>
      <c r="I1291" s="1"/>
      <c r="J1291" s="1"/>
      <c r="K1291" s="1"/>
      <c r="L1291" s="1"/>
      <c r="M1291" s="1"/>
      <c r="N1291" s="1"/>
      <c r="O1291" s="1"/>
      <c r="P1291" s="1"/>
      <c r="Q1291" s="1"/>
      <c r="R1291" s="1"/>
      <c r="S1291" s="1"/>
      <c r="T1291" s="1"/>
      <c r="U1291" s="1"/>
    </row>
    <row r="1292" spans="1:21" ht="17.149999999999999" customHeight="1">
      <c r="A1292" s="1"/>
      <c r="B1292" s="1"/>
      <c r="C1292" s="1"/>
      <c r="D1292" s="1"/>
      <c r="E1292" s="1"/>
      <c r="F1292" s="1"/>
      <c r="G1292" s="1"/>
      <c r="H1292" s="1"/>
      <c r="I1292" s="1"/>
      <c r="J1292" s="1"/>
      <c r="K1292" s="1"/>
      <c r="L1292" s="1"/>
      <c r="M1292" s="1"/>
      <c r="N1292" s="1"/>
      <c r="O1292" s="1"/>
      <c r="P1292" s="1"/>
      <c r="Q1292" s="1"/>
      <c r="R1292" s="1"/>
      <c r="S1292" s="1"/>
      <c r="T1292" s="1"/>
      <c r="U1292" s="1"/>
    </row>
    <row r="1293" spans="1:21" ht="17.149999999999999" customHeight="1">
      <c r="A1293" s="1"/>
      <c r="B1293" s="1"/>
      <c r="C1293" s="1"/>
      <c r="D1293" s="1"/>
      <c r="E1293" s="1"/>
      <c r="F1293" s="1"/>
      <c r="G1293" s="1"/>
      <c r="H1293" s="1"/>
      <c r="I1293" s="1"/>
      <c r="J1293" s="1"/>
      <c r="K1293" s="1"/>
      <c r="L1293" s="1"/>
      <c r="M1293" s="1"/>
      <c r="N1293" s="1"/>
      <c r="O1293" s="1"/>
      <c r="P1293" s="1"/>
      <c r="Q1293" s="1"/>
      <c r="R1293" s="1"/>
      <c r="S1293" s="1"/>
      <c r="T1293" s="1"/>
      <c r="U1293" s="1"/>
    </row>
    <row r="1294" spans="1:21" ht="17.149999999999999" customHeight="1">
      <c r="A1294" s="1"/>
      <c r="B1294" s="1"/>
      <c r="C1294" s="1"/>
      <c r="D1294" s="1"/>
      <c r="E1294" s="1"/>
      <c r="F1294" s="1"/>
      <c r="G1294" s="1"/>
      <c r="H1294" s="1"/>
      <c r="I1294" s="1"/>
      <c r="J1294" s="1"/>
      <c r="K1294" s="1"/>
      <c r="L1294" s="1"/>
      <c r="M1294" s="1"/>
      <c r="N1294" s="1"/>
      <c r="O1294" s="1"/>
      <c r="P1294" s="1"/>
      <c r="Q1294" s="1"/>
      <c r="R1294" s="1"/>
      <c r="S1294" s="1"/>
      <c r="T1294" s="1"/>
      <c r="U1294" s="1"/>
    </row>
    <row r="1295" spans="1:21" ht="17.149999999999999" customHeight="1">
      <c r="A1295" s="1"/>
      <c r="B1295" s="1"/>
      <c r="C1295" s="1"/>
      <c r="D1295" s="1"/>
      <c r="E1295" s="1"/>
      <c r="F1295" s="1"/>
      <c r="G1295" s="1"/>
      <c r="H1295" s="1"/>
      <c r="I1295" s="1"/>
      <c r="J1295" s="1"/>
      <c r="K1295" s="1"/>
      <c r="L1295" s="1"/>
      <c r="M1295" s="1"/>
      <c r="N1295" s="1"/>
      <c r="O1295" s="1"/>
      <c r="P1295" s="1"/>
      <c r="Q1295" s="1"/>
      <c r="R1295" s="1"/>
      <c r="S1295" s="1"/>
      <c r="T1295" s="1"/>
      <c r="U1295" s="1"/>
    </row>
    <row r="1296" spans="1:21" ht="17.149999999999999" customHeight="1">
      <c r="A1296" s="1"/>
      <c r="B1296" s="1"/>
      <c r="C1296" s="1"/>
      <c r="D1296" s="1"/>
      <c r="E1296" s="1"/>
      <c r="F1296" s="1"/>
      <c r="G1296" s="1"/>
      <c r="H1296" s="1"/>
      <c r="I1296" s="1"/>
      <c r="J1296" s="1"/>
      <c r="K1296" s="1"/>
      <c r="L1296" s="1"/>
      <c r="M1296" s="1"/>
      <c r="N1296" s="1"/>
      <c r="O1296" s="1"/>
      <c r="P1296" s="1"/>
      <c r="Q1296" s="1"/>
      <c r="R1296" s="1"/>
      <c r="S1296" s="1"/>
      <c r="T1296" s="1"/>
      <c r="U1296" s="1"/>
    </row>
    <row r="1297" spans="1:21" ht="17.149999999999999" customHeight="1">
      <c r="A1297" s="1"/>
      <c r="B1297" s="1"/>
      <c r="C1297" s="1"/>
      <c r="D1297" s="1"/>
      <c r="E1297" s="1"/>
      <c r="F1297" s="1"/>
      <c r="G1297" s="1"/>
      <c r="H1297" s="1"/>
      <c r="I1297" s="1"/>
      <c r="J1297" s="1"/>
      <c r="K1297" s="1"/>
      <c r="L1297" s="1"/>
      <c r="M1297" s="1"/>
      <c r="N1297" s="1"/>
      <c r="O1297" s="1"/>
      <c r="P1297" s="1"/>
      <c r="Q1297" s="1"/>
      <c r="R1297" s="1"/>
      <c r="S1297" s="1"/>
      <c r="T1297" s="1"/>
      <c r="U1297" s="1"/>
    </row>
    <row r="1298" spans="1:21" ht="17.149999999999999" customHeight="1">
      <c r="A1298" s="1"/>
      <c r="B1298" s="1"/>
      <c r="C1298" s="1"/>
      <c r="D1298" s="1"/>
      <c r="E1298" s="1"/>
      <c r="F1298" s="1"/>
      <c r="G1298" s="1"/>
      <c r="H1298" s="1"/>
      <c r="I1298" s="1"/>
      <c r="J1298" s="1"/>
      <c r="K1298" s="1"/>
      <c r="L1298" s="1"/>
      <c r="M1298" s="1"/>
      <c r="N1298" s="1"/>
      <c r="O1298" s="1"/>
      <c r="P1298" s="1"/>
      <c r="Q1298" s="1"/>
      <c r="R1298" s="1"/>
      <c r="S1298" s="1"/>
      <c r="T1298" s="1"/>
      <c r="U1298" s="1"/>
    </row>
    <row r="1299" spans="1:21" ht="17.149999999999999" customHeight="1">
      <c r="A1299" s="1"/>
      <c r="B1299" s="1"/>
      <c r="C1299" s="1"/>
      <c r="D1299" s="1"/>
      <c r="E1299" s="1"/>
      <c r="F1299" s="1"/>
      <c r="G1299" s="1"/>
      <c r="H1299" s="1"/>
      <c r="I1299" s="1"/>
      <c r="J1299" s="1"/>
      <c r="K1299" s="1"/>
      <c r="L1299" s="1"/>
      <c r="M1299" s="1"/>
      <c r="N1299" s="1"/>
      <c r="O1299" s="1"/>
      <c r="P1299" s="1"/>
      <c r="Q1299" s="1"/>
      <c r="R1299" s="1"/>
      <c r="S1299" s="1"/>
      <c r="T1299" s="1"/>
      <c r="U1299" s="1"/>
    </row>
    <row r="1300" spans="1:21" ht="17.149999999999999" customHeight="1">
      <c r="A1300" s="1"/>
      <c r="B1300" s="1"/>
      <c r="C1300" s="1"/>
      <c r="D1300" s="1"/>
      <c r="E1300" s="1"/>
      <c r="F1300" s="1"/>
      <c r="G1300" s="1"/>
      <c r="H1300" s="1"/>
      <c r="I1300" s="1"/>
      <c r="J1300" s="1"/>
      <c r="K1300" s="1"/>
      <c r="L1300" s="1"/>
      <c r="M1300" s="1"/>
      <c r="N1300" s="1"/>
      <c r="O1300" s="1"/>
      <c r="P1300" s="1"/>
      <c r="Q1300" s="1"/>
      <c r="R1300" s="1"/>
      <c r="S1300" s="1"/>
      <c r="T1300" s="1"/>
      <c r="U1300" s="1"/>
    </row>
    <row r="1301" spans="1:21" ht="17.149999999999999" customHeight="1">
      <c r="A1301" s="1"/>
      <c r="B1301" s="1"/>
      <c r="C1301" s="1"/>
      <c r="D1301" s="1"/>
      <c r="E1301" s="1"/>
      <c r="F1301" s="1"/>
      <c r="G1301" s="1"/>
      <c r="H1301" s="1"/>
      <c r="I1301" s="1"/>
      <c r="J1301" s="1"/>
      <c r="K1301" s="1"/>
      <c r="L1301" s="1"/>
      <c r="M1301" s="1"/>
      <c r="N1301" s="1"/>
      <c r="O1301" s="1"/>
      <c r="P1301" s="1"/>
      <c r="Q1301" s="1"/>
      <c r="R1301" s="1"/>
      <c r="S1301" s="1"/>
      <c r="T1301" s="1"/>
      <c r="U1301" s="1"/>
    </row>
    <row r="1302" spans="1:21" ht="17.149999999999999" customHeight="1">
      <c r="A1302" s="1"/>
      <c r="B1302" s="1"/>
      <c r="C1302" s="1"/>
      <c r="D1302" s="1"/>
      <c r="E1302" s="1"/>
      <c r="F1302" s="1"/>
      <c r="G1302" s="1"/>
      <c r="H1302" s="1"/>
      <c r="I1302" s="1"/>
      <c r="J1302" s="1"/>
      <c r="K1302" s="1"/>
      <c r="L1302" s="1"/>
      <c r="M1302" s="1"/>
      <c r="N1302" s="1"/>
      <c r="O1302" s="1"/>
      <c r="P1302" s="1"/>
      <c r="Q1302" s="1"/>
      <c r="R1302" s="1"/>
      <c r="S1302" s="1"/>
      <c r="T1302" s="1"/>
      <c r="U1302" s="1"/>
    </row>
    <row r="1303" spans="1:21" ht="17.149999999999999" customHeight="1">
      <c r="A1303" s="1"/>
      <c r="B1303" s="1"/>
      <c r="C1303" s="1"/>
      <c r="D1303" s="1"/>
      <c r="E1303" s="1"/>
      <c r="F1303" s="1"/>
      <c r="G1303" s="1"/>
      <c r="H1303" s="1"/>
      <c r="I1303" s="1"/>
      <c r="J1303" s="1"/>
      <c r="K1303" s="1"/>
      <c r="L1303" s="1"/>
      <c r="M1303" s="1"/>
      <c r="N1303" s="1"/>
      <c r="O1303" s="1"/>
      <c r="P1303" s="1"/>
      <c r="Q1303" s="1"/>
      <c r="R1303" s="1"/>
      <c r="S1303" s="1"/>
      <c r="T1303" s="1"/>
      <c r="U1303" s="1"/>
    </row>
    <row r="1304" spans="1:21" ht="17.149999999999999" customHeight="1">
      <c r="A1304" s="1"/>
      <c r="B1304" s="1"/>
      <c r="C1304" s="1"/>
      <c r="D1304" s="1"/>
      <c r="E1304" s="1"/>
      <c r="F1304" s="1"/>
      <c r="G1304" s="1"/>
      <c r="H1304" s="1"/>
      <c r="I1304" s="1"/>
      <c r="J1304" s="1"/>
      <c r="K1304" s="1"/>
      <c r="L1304" s="1"/>
      <c r="M1304" s="1"/>
      <c r="N1304" s="1"/>
      <c r="O1304" s="1"/>
      <c r="P1304" s="1"/>
      <c r="Q1304" s="1"/>
      <c r="R1304" s="1"/>
      <c r="S1304" s="1"/>
      <c r="T1304" s="1"/>
      <c r="U1304" s="1"/>
    </row>
    <row r="1305" spans="1:21" ht="17.149999999999999" customHeight="1">
      <c r="A1305" s="1"/>
      <c r="B1305" s="1"/>
      <c r="C1305" s="1"/>
      <c r="D1305" s="1"/>
      <c r="E1305" s="1"/>
      <c r="F1305" s="1"/>
      <c r="G1305" s="1"/>
      <c r="H1305" s="1"/>
      <c r="I1305" s="1"/>
      <c r="J1305" s="1"/>
      <c r="K1305" s="1"/>
      <c r="L1305" s="1"/>
      <c r="M1305" s="1"/>
      <c r="N1305" s="1"/>
      <c r="O1305" s="1"/>
      <c r="P1305" s="1"/>
      <c r="Q1305" s="1"/>
      <c r="R1305" s="1"/>
      <c r="S1305" s="1"/>
      <c r="T1305" s="1"/>
      <c r="U1305" s="1"/>
    </row>
    <row r="1306" spans="1:21" ht="17.149999999999999" customHeight="1">
      <c r="A1306" s="1"/>
      <c r="B1306" s="1"/>
      <c r="C1306" s="1"/>
      <c r="D1306" s="1"/>
      <c r="E1306" s="1"/>
      <c r="F1306" s="1"/>
      <c r="G1306" s="1"/>
      <c r="H1306" s="1"/>
      <c r="I1306" s="1"/>
      <c r="J1306" s="1"/>
      <c r="K1306" s="1"/>
      <c r="L1306" s="1"/>
      <c r="M1306" s="1"/>
      <c r="N1306" s="1"/>
      <c r="O1306" s="1"/>
      <c r="P1306" s="1"/>
      <c r="Q1306" s="1"/>
      <c r="R1306" s="1"/>
      <c r="S1306" s="1"/>
      <c r="T1306" s="1"/>
      <c r="U1306" s="1"/>
    </row>
    <row r="1307" spans="1:21" ht="17.149999999999999" customHeight="1">
      <c r="A1307" s="1"/>
      <c r="B1307" s="1"/>
      <c r="C1307" s="1"/>
      <c r="D1307" s="1"/>
      <c r="E1307" s="1"/>
      <c r="F1307" s="1"/>
      <c r="G1307" s="1"/>
      <c r="H1307" s="1"/>
      <c r="I1307" s="1"/>
      <c r="J1307" s="1"/>
      <c r="K1307" s="1"/>
      <c r="L1307" s="1"/>
      <c r="M1307" s="1"/>
      <c r="N1307" s="1"/>
      <c r="O1307" s="1"/>
      <c r="P1307" s="1"/>
      <c r="Q1307" s="1"/>
      <c r="R1307" s="1"/>
      <c r="S1307" s="1"/>
      <c r="T1307" s="1"/>
      <c r="U1307" s="1"/>
    </row>
    <row r="1308" spans="1:21" ht="17.149999999999999" customHeight="1">
      <c r="A1308" s="1"/>
      <c r="B1308" s="1"/>
      <c r="C1308" s="1"/>
      <c r="D1308" s="1"/>
      <c r="E1308" s="1"/>
      <c r="F1308" s="1"/>
      <c r="G1308" s="1"/>
      <c r="H1308" s="1"/>
      <c r="I1308" s="1"/>
      <c r="J1308" s="1"/>
      <c r="K1308" s="1"/>
      <c r="L1308" s="1"/>
      <c r="M1308" s="1"/>
      <c r="N1308" s="1"/>
      <c r="O1308" s="1"/>
      <c r="P1308" s="1"/>
      <c r="Q1308" s="1"/>
      <c r="R1308" s="1"/>
      <c r="S1308" s="1"/>
      <c r="T1308" s="1"/>
      <c r="U1308" s="1"/>
    </row>
    <row r="1309" spans="1:21" ht="17.149999999999999" customHeight="1">
      <c r="A1309" s="1"/>
      <c r="B1309" s="1"/>
      <c r="C1309" s="1"/>
      <c r="D1309" s="1"/>
      <c r="E1309" s="1"/>
      <c r="F1309" s="1"/>
      <c r="G1309" s="1"/>
      <c r="H1309" s="1"/>
      <c r="I1309" s="1"/>
      <c r="J1309" s="1"/>
      <c r="K1309" s="1"/>
      <c r="L1309" s="1"/>
      <c r="M1309" s="1"/>
      <c r="N1309" s="1"/>
      <c r="O1309" s="1"/>
      <c r="P1309" s="1"/>
      <c r="Q1309" s="1"/>
      <c r="R1309" s="1"/>
      <c r="S1309" s="1"/>
      <c r="T1309" s="1"/>
      <c r="U1309" s="1"/>
    </row>
    <row r="1310" spans="1:21" ht="17.149999999999999" customHeight="1">
      <c r="A1310" s="1"/>
      <c r="B1310" s="1"/>
      <c r="C1310" s="1"/>
      <c r="D1310" s="1"/>
      <c r="E1310" s="1"/>
      <c r="F1310" s="1"/>
      <c r="G1310" s="1"/>
      <c r="H1310" s="1"/>
      <c r="I1310" s="1"/>
      <c r="J1310" s="1"/>
      <c r="K1310" s="1"/>
      <c r="L1310" s="1"/>
      <c r="M1310" s="1"/>
      <c r="N1310" s="1"/>
      <c r="O1310" s="1"/>
      <c r="P1310" s="1"/>
      <c r="Q1310" s="1"/>
      <c r="R1310" s="1"/>
      <c r="S1310" s="1"/>
      <c r="T1310" s="1"/>
      <c r="U1310" s="1"/>
    </row>
    <row r="1311" spans="1:21" ht="17.149999999999999" customHeight="1">
      <c r="A1311" s="1"/>
      <c r="B1311" s="1"/>
      <c r="C1311" s="1"/>
      <c r="D1311" s="1"/>
      <c r="E1311" s="1"/>
      <c r="F1311" s="1"/>
      <c r="G1311" s="1"/>
      <c r="H1311" s="1"/>
      <c r="I1311" s="1"/>
      <c r="J1311" s="1"/>
      <c r="K1311" s="1"/>
      <c r="L1311" s="1"/>
      <c r="M1311" s="1"/>
      <c r="N1311" s="1"/>
      <c r="O1311" s="1"/>
      <c r="P1311" s="1"/>
      <c r="Q1311" s="1"/>
      <c r="R1311" s="1"/>
      <c r="S1311" s="1"/>
      <c r="T1311" s="1"/>
      <c r="U1311" s="1"/>
    </row>
    <row r="1312" spans="1:21" ht="17.149999999999999" customHeight="1">
      <c r="A1312" s="1"/>
      <c r="B1312" s="1"/>
      <c r="C1312" s="1"/>
      <c r="D1312" s="1"/>
      <c r="E1312" s="1"/>
      <c r="F1312" s="1"/>
      <c r="G1312" s="1"/>
      <c r="H1312" s="1"/>
      <c r="I1312" s="1"/>
      <c r="J1312" s="1"/>
      <c r="K1312" s="1"/>
      <c r="L1312" s="1"/>
      <c r="M1312" s="1"/>
      <c r="N1312" s="1"/>
      <c r="O1312" s="1"/>
      <c r="P1312" s="1"/>
      <c r="Q1312" s="1"/>
      <c r="R1312" s="1"/>
      <c r="S1312" s="1"/>
      <c r="T1312" s="1"/>
      <c r="U1312" s="1"/>
    </row>
    <row r="1313" spans="1:21" ht="17.149999999999999" customHeight="1">
      <c r="A1313" s="1"/>
      <c r="B1313" s="1"/>
      <c r="C1313" s="1"/>
      <c r="D1313" s="1"/>
      <c r="E1313" s="1"/>
      <c r="F1313" s="1"/>
      <c r="G1313" s="1"/>
      <c r="H1313" s="1"/>
      <c r="I1313" s="1"/>
      <c r="J1313" s="1"/>
      <c r="K1313" s="1"/>
      <c r="L1313" s="1"/>
      <c r="M1313" s="1"/>
      <c r="N1313" s="1"/>
      <c r="O1313" s="1"/>
      <c r="P1313" s="1"/>
      <c r="Q1313" s="1"/>
      <c r="R1313" s="1"/>
      <c r="S1313" s="1"/>
      <c r="T1313" s="1"/>
      <c r="U1313" s="1"/>
    </row>
    <row r="1314" spans="1:21" ht="17.149999999999999" customHeight="1">
      <c r="A1314" s="1"/>
      <c r="B1314" s="1"/>
      <c r="C1314" s="1"/>
      <c r="D1314" s="1"/>
      <c r="E1314" s="1"/>
      <c r="F1314" s="1"/>
      <c r="G1314" s="1"/>
      <c r="H1314" s="1"/>
      <c r="I1314" s="1"/>
      <c r="J1314" s="1"/>
      <c r="K1314" s="1"/>
      <c r="L1314" s="1"/>
      <c r="M1314" s="1"/>
      <c r="N1314" s="1"/>
      <c r="O1314" s="1"/>
      <c r="P1314" s="1"/>
      <c r="Q1314" s="1"/>
      <c r="R1314" s="1"/>
      <c r="S1314" s="1"/>
      <c r="T1314" s="1"/>
      <c r="U1314" s="1"/>
    </row>
    <row r="1315" spans="1:21" ht="17.149999999999999" customHeight="1">
      <c r="A1315" s="1"/>
      <c r="B1315" s="1"/>
      <c r="C1315" s="1"/>
      <c r="D1315" s="1"/>
      <c r="E1315" s="1"/>
      <c r="F1315" s="1"/>
      <c r="G1315" s="1"/>
      <c r="H1315" s="1"/>
      <c r="I1315" s="1"/>
      <c r="J1315" s="1"/>
      <c r="K1315" s="1"/>
      <c r="L1315" s="1"/>
      <c r="M1315" s="1"/>
      <c r="N1315" s="1"/>
      <c r="O1315" s="1"/>
      <c r="P1315" s="1"/>
      <c r="Q1315" s="1"/>
      <c r="R1315" s="1"/>
      <c r="S1315" s="1"/>
      <c r="T1315" s="1"/>
      <c r="U1315" s="1"/>
    </row>
    <row r="1316" spans="1:21" ht="17.149999999999999" customHeight="1">
      <c r="A1316" s="1"/>
      <c r="B1316" s="1"/>
      <c r="C1316" s="1"/>
      <c r="D1316" s="1"/>
      <c r="E1316" s="1"/>
      <c r="F1316" s="1"/>
      <c r="G1316" s="1"/>
      <c r="H1316" s="1"/>
      <c r="I1316" s="1"/>
      <c r="J1316" s="1"/>
      <c r="K1316" s="1"/>
      <c r="L1316" s="1"/>
      <c r="M1316" s="1"/>
      <c r="N1316" s="1"/>
      <c r="O1316" s="1"/>
      <c r="P1316" s="1"/>
      <c r="Q1316" s="1"/>
      <c r="R1316" s="1"/>
      <c r="S1316" s="1"/>
      <c r="T1316" s="1"/>
      <c r="U1316" s="1"/>
    </row>
    <row r="1317" spans="1:21" ht="17.149999999999999" customHeight="1">
      <c r="A1317" s="1"/>
      <c r="B1317" s="1"/>
      <c r="C1317" s="1"/>
      <c r="D1317" s="1"/>
      <c r="E1317" s="1"/>
      <c r="F1317" s="1"/>
      <c r="G1317" s="1"/>
      <c r="H1317" s="1"/>
      <c r="I1317" s="1"/>
      <c r="J1317" s="1"/>
      <c r="K1317" s="1"/>
      <c r="L1317" s="1"/>
      <c r="M1317" s="1"/>
      <c r="N1317" s="1"/>
      <c r="O1317" s="1"/>
      <c r="P1317" s="1"/>
      <c r="Q1317" s="1"/>
      <c r="R1317" s="1"/>
      <c r="S1317" s="1"/>
      <c r="T1317" s="1"/>
      <c r="U1317" s="1"/>
    </row>
    <row r="1318" spans="1:21" ht="17.149999999999999" customHeight="1">
      <c r="A1318" s="1"/>
      <c r="B1318" s="1"/>
      <c r="C1318" s="1"/>
      <c r="D1318" s="1"/>
      <c r="E1318" s="1"/>
      <c r="F1318" s="1"/>
      <c r="G1318" s="1"/>
      <c r="H1318" s="1"/>
      <c r="I1318" s="1"/>
      <c r="J1318" s="1"/>
      <c r="K1318" s="1"/>
      <c r="L1318" s="1"/>
      <c r="M1318" s="1"/>
      <c r="N1318" s="1"/>
      <c r="O1318" s="1"/>
      <c r="P1318" s="1"/>
      <c r="Q1318" s="1"/>
      <c r="R1318" s="1"/>
      <c r="S1318" s="1"/>
      <c r="T1318" s="1"/>
      <c r="U1318" s="1"/>
    </row>
    <row r="1319" spans="1:21" ht="17.149999999999999" customHeight="1">
      <c r="A1319" s="1"/>
      <c r="B1319" s="1"/>
      <c r="C1319" s="1"/>
      <c r="D1319" s="1"/>
      <c r="E1319" s="1"/>
      <c r="F1319" s="1"/>
      <c r="G1319" s="1"/>
      <c r="H1319" s="1"/>
      <c r="I1319" s="1"/>
      <c r="J1319" s="1"/>
      <c r="K1319" s="1"/>
      <c r="L1319" s="1"/>
      <c r="M1319" s="1"/>
      <c r="N1319" s="1"/>
      <c r="O1319" s="1"/>
      <c r="P1319" s="1"/>
      <c r="Q1319" s="1"/>
      <c r="R1319" s="1"/>
      <c r="S1319" s="1"/>
      <c r="T1319" s="1"/>
      <c r="U1319" s="1"/>
    </row>
    <row r="1320" spans="1:21" ht="17.149999999999999" customHeight="1">
      <c r="A1320" s="1"/>
      <c r="B1320" s="1"/>
      <c r="C1320" s="1"/>
      <c r="D1320" s="1"/>
      <c r="E1320" s="1"/>
      <c r="F1320" s="1"/>
      <c r="G1320" s="1"/>
      <c r="H1320" s="1"/>
      <c r="I1320" s="1"/>
      <c r="J1320" s="1"/>
      <c r="K1320" s="1"/>
      <c r="L1320" s="1"/>
      <c r="M1320" s="1"/>
      <c r="N1320" s="1"/>
      <c r="O1320" s="1"/>
      <c r="P1320" s="1"/>
      <c r="Q1320" s="1"/>
      <c r="R1320" s="1"/>
      <c r="S1320" s="1"/>
      <c r="T1320" s="1"/>
      <c r="U1320" s="1"/>
    </row>
    <row r="1321" spans="1:21" ht="17.149999999999999" customHeight="1">
      <c r="A1321" s="1"/>
      <c r="B1321" s="1"/>
      <c r="C1321" s="1"/>
      <c r="D1321" s="1"/>
      <c r="E1321" s="1"/>
      <c r="F1321" s="1"/>
      <c r="G1321" s="1"/>
      <c r="H1321" s="1"/>
      <c r="I1321" s="1"/>
      <c r="J1321" s="1"/>
      <c r="K1321" s="1"/>
      <c r="L1321" s="1"/>
      <c r="M1321" s="1"/>
      <c r="N1321" s="1"/>
      <c r="O1321" s="1"/>
      <c r="P1321" s="1"/>
      <c r="Q1321" s="1"/>
      <c r="R1321" s="1"/>
      <c r="S1321" s="1"/>
      <c r="T1321" s="1"/>
      <c r="U1321" s="1"/>
    </row>
    <row r="1322" spans="1:21" ht="17.149999999999999" customHeight="1">
      <c r="A1322" s="1"/>
      <c r="B1322" s="1"/>
      <c r="C1322" s="1"/>
      <c r="D1322" s="1"/>
      <c r="E1322" s="1"/>
      <c r="F1322" s="1"/>
      <c r="G1322" s="1"/>
      <c r="H1322" s="1"/>
      <c r="I1322" s="1"/>
      <c r="J1322" s="1"/>
      <c r="K1322" s="1"/>
      <c r="L1322" s="1"/>
      <c r="M1322" s="1"/>
      <c r="N1322" s="1"/>
      <c r="O1322" s="1"/>
      <c r="P1322" s="1"/>
      <c r="Q1322" s="1"/>
      <c r="R1322" s="1"/>
      <c r="S1322" s="1"/>
      <c r="T1322" s="1"/>
      <c r="U1322" s="1"/>
    </row>
    <row r="1323" spans="1:21" ht="17.149999999999999" customHeight="1">
      <c r="A1323" s="1"/>
      <c r="B1323" s="1"/>
      <c r="C1323" s="1"/>
      <c r="D1323" s="1"/>
      <c r="E1323" s="1"/>
      <c r="F1323" s="1"/>
      <c r="G1323" s="1"/>
      <c r="H1323" s="1"/>
      <c r="I1323" s="1"/>
      <c r="J1323" s="1"/>
      <c r="K1323" s="1"/>
      <c r="L1323" s="1"/>
      <c r="M1323" s="1"/>
      <c r="N1323" s="1"/>
      <c r="O1323" s="1"/>
      <c r="P1323" s="1"/>
      <c r="Q1323" s="1"/>
      <c r="R1323" s="1"/>
      <c r="S1323" s="1"/>
      <c r="T1323" s="1"/>
      <c r="U1323" s="1"/>
    </row>
    <row r="1324" spans="1:21" ht="17.149999999999999" customHeight="1">
      <c r="A1324" s="1"/>
      <c r="B1324" s="1"/>
      <c r="C1324" s="1"/>
      <c r="D1324" s="1"/>
      <c r="E1324" s="1"/>
      <c r="F1324" s="1"/>
      <c r="G1324" s="1"/>
      <c r="H1324" s="1"/>
      <c r="I1324" s="1"/>
      <c r="J1324" s="1"/>
      <c r="K1324" s="1"/>
      <c r="L1324" s="1"/>
      <c r="M1324" s="1"/>
      <c r="N1324" s="1"/>
      <c r="O1324" s="1"/>
      <c r="P1324" s="1"/>
      <c r="Q1324" s="1"/>
      <c r="R1324" s="1"/>
      <c r="S1324" s="1"/>
      <c r="T1324" s="1"/>
      <c r="U1324" s="1"/>
    </row>
    <row r="1325" spans="1:21" ht="17.149999999999999" customHeight="1">
      <c r="A1325" s="1"/>
      <c r="B1325" s="1"/>
      <c r="C1325" s="1"/>
      <c r="D1325" s="1"/>
      <c r="E1325" s="1"/>
      <c r="F1325" s="1"/>
      <c r="G1325" s="1"/>
      <c r="H1325" s="1"/>
      <c r="I1325" s="1"/>
      <c r="J1325" s="1"/>
      <c r="K1325" s="1"/>
      <c r="L1325" s="1"/>
      <c r="M1325" s="1"/>
      <c r="N1325" s="1"/>
      <c r="O1325" s="1"/>
      <c r="P1325" s="1"/>
      <c r="Q1325" s="1"/>
      <c r="R1325" s="1"/>
      <c r="S1325" s="1"/>
      <c r="T1325" s="1"/>
      <c r="U1325" s="1"/>
    </row>
    <row r="1326" spans="1:21" ht="17.149999999999999" customHeight="1">
      <c r="A1326" s="1"/>
      <c r="B1326" s="1"/>
      <c r="C1326" s="1"/>
      <c r="D1326" s="1"/>
      <c r="E1326" s="1"/>
      <c r="F1326" s="1"/>
      <c r="G1326" s="1"/>
      <c r="H1326" s="1"/>
      <c r="I1326" s="1"/>
      <c r="J1326" s="1"/>
      <c r="K1326" s="1"/>
      <c r="L1326" s="1"/>
      <c r="M1326" s="1"/>
      <c r="N1326" s="1"/>
      <c r="O1326" s="1"/>
      <c r="P1326" s="1"/>
      <c r="Q1326" s="1"/>
      <c r="R1326" s="1"/>
      <c r="S1326" s="1"/>
      <c r="T1326" s="1"/>
      <c r="U1326" s="1"/>
    </row>
    <row r="1327" spans="1:21" ht="17.149999999999999" customHeight="1">
      <c r="A1327" s="1"/>
      <c r="B1327" s="1"/>
      <c r="C1327" s="1"/>
      <c r="D1327" s="1"/>
      <c r="E1327" s="1"/>
      <c r="F1327" s="1"/>
      <c r="G1327" s="1"/>
      <c r="H1327" s="1"/>
      <c r="I1327" s="1"/>
      <c r="J1327" s="1"/>
      <c r="K1327" s="1"/>
      <c r="L1327" s="1"/>
      <c r="M1327" s="1"/>
      <c r="N1327" s="1"/>
      <c r="O1327" s="1"/>
      <c r="P1327" s="1"/>
      <c r="Q1327" s="1"/>
      <c r="R1327" s="1"/>
      <c r="S1327" s="1"/>
      <c r="T1327" s="1"/>
      <c r="U1327" s="1"/>
    </row>
    <row r="1328" spans="1:21" ht="17.149999999999999" customHeight="1">
      <c r="A1328" s="1"/>
      <c r="B1328" s="1"/>
      <c r="C1328" s="1"/>
      <c r="D1328" s="1"/>
      <c r="E1328" s="1"/>
      <c r="F1328" s="1"/>
      <c r="G1328" s="1"/>
      <c r="H1328" s="1"/>
      <c r="I1328" s="1"/>
      <c r="J1328" s="1"/>
      <c r="K1328" s="1"/>
      <c r="L1328" s="1"/>
      <c r="M1328" s="1"/>
      <c r="N1328" s="1"/>
      <c r="O1328" s="1"/>
      <c r="P1328" s="1"/>
      <c r="Q1328" s="1"/>
      <c r="R1328" s="1"/>
      <c r="S1328" s="1"/>
      <c r="T1328" s="1"/>
      <c r="U1328" s="1"/>
    </row>
    <row r="1329" spans="1:21" ht="17.149999999999999" customHeight="1">
      <c r="A1329" s="1"/>
      <c r="B1329" s="1"/>
      <c r="C1329" s="1"/>
      <c r="D1329" s="1"/>
      <c r="E1329" s="1"/>
      <c r="F1329" s="1"/>
      <c r="G1329" s="1"/>
      <c r="H1329" s="1"/>
      <c r="I1329" s="1"/>
      <c r="J1329" s="1"/>
      <c r="K1329" s="1"/>
      <c r="L1329" s="1"/>
      <c r="M1329" s="1"/>
      <c r="N1329" s="1"/>
      <c r="O1329" s="1"/>
      <c r="P1329" s="1"/>
      <c r="Q1329" s="1"/>
      <c r="R1329" s="1"/>
      <c r="S1329" s="1"/>
      <c r="T1329" s="1"/>
      <c r="U1329" s="1"/>
    </row>
    <row r="1330" spans="1:21" ht="17.149999999999999" customHeight="1">
      <c r="A1330" s="1"/>
      <c r="B1330" s="1"/>
      <c r="C1330" s="1"/>
      <c r="D1330" s="1"/>
      <c r="E1330" s="1"/>
      <c r="F1330" s="1"/>
      <c r="G1330" s="1"/>
      <c r="H1330" s="1"/>
      <c r="I1330" s="1"/>
      <c r="J1330" s="1"/>
      <c r="K1330" s="1"/>
      <c r="L1330" s="1"/>
      <c r="M1330" s="1"/>
      <c r="N1330" s="1"/>
      <c r="O1330" s="1"/>
      <c r="P1330" s="1"/>
      <c r="Q1330" s="1"/>
      <c r="R1330" s="1"/>
      <c r="S1330" s="1"/>
      <c r="T1330" s="1"/>
      <c r="U1330" s="1"/>
    </row>
    <row r="1331" spans="1:21" ht="17.149999999999999" customHeight="1">
      <c r="A1331" s="1"/>
      <c r="B1331" s="1"/>
      <c r="C1331" s="1"/>
      <c r="D1331" s="1"/>
      <c r="E1331" s="1"/>
      <c r="F1331" s="1"/>
      <c r="G1331" s="1"/>
      <c r="H1331" s="1"/>
      <c r="I1331" s="1"/>
      <c r="J1331" s="1"/>
      <c r="K1331" s="1"/>
      <c r="L1331" s="1"/>
      <c r="M1331" s="1"/>
      <c r="N1331" s="1"/>
      <c r="O1331" s="1"/>
      <c r="P1331" s="1"/>
      <c r="Q1331" s="1"/>
      <c r="R1331" s="1"/>
      <c r="S1331" s="1"/>
      <c r="T1331" s="1"/>
      <c r="U1331" s="1"/>
    </row>
    <row r="1332" spans="1:21" ht="17.149999999999999" customHeight="1">
      <c r="A1332" s="1"/>
      <c r="B1332" s="1"/>
      <c r="C1332" s="1"/>
      <c r="D1332" s="1"/>
      <c r="E1332" s="1"/>
      <c r="F1332" s="1"/>
      <c r="G1332" s="1"/>
      <c r="H1332" s="1"/>
      <c r="I1332" s="1"/>
      <c r="J1332" s="1"/>
      <c r="K1332" s="1"/>
      <c r="L1332" s="1"/>
      <c r="M1332" s="1"/>
      <c r="N1332" s="1"/>
      <c r="O1332" s="1"/>
      <c r="P1332" s="1"/>
      <c r="Q1332" s="1"/>
      <c r="R1332" s="1"/>
      <c r="S1332" s="1"/>
      <c r="T1332" s="1"/>
      <c r="U1332" s="1"/>
    </row>
    <row r="1333" spans="1:21" ht="17.149999999999999" customHeight="1">
      <c r="A1333" s="1"/>
      <c r="B1333" s="1"/>
      <c r="C1333" s="1"/>
      <c r="D1333" s="1"/>
      <c r="E1333" s="1"/>
      <c r="F1333" s="1"/>
      <c r="G1333" s="1"/>
      <c r="H1333" s="1"/>
      <c r="I1333" s="1"/>
      <c r="J1333" s="1"/>
      <c r="K1333" s="1"/>
      <c r="L1333" s="1"/>
      <c r="M1333" s="1"/>
      <c r="N1333" s="1"/>
      <c r="O1333" s="1"/>
      <c r="P1333" s="1"/>
      <c r="Q1333" s="1"/>
      <c r="R1333" s="1"/>
      <c r="S1333" s="1"/>
      <c r="T1333" s="1"/>
      <c r="U1333" s="1"/>
    </row>
    <row r="1334" spans="1:21" ht="17.149999999999999" customHeight="1">
      <c r="A1334" s="1"/>
      <c r="B1334" s="1"/>
      <c r="C1334" s="1"/>
      <c r="D1334" s="1"/>
      <c r="E1334" s="1"/>
      <c r="F1334" s="1"/>
      <c r="G1334" s="1"/>
      <c r="H1334" s="1"/>
      <c r="I1334" s="1"/>
      <c r="J1334" s="1"/>
      <c r="K1334" s="1"/>
      <c r="L1334" s="1"/>
      <c r="M1334" s="1"/>
      <c r="N1334" s="1"/>
      <c r="O1334" s="1"/>
      <c r="P1334" s="1"/>
      <c r="Q1334" s="1"/>
      <c r="R1334" s="1"/>
      <c r="S1334" s="1"/>
      <c r="T1334" s="1"/>
      <c r="U1334" s="1"/>
    </row>
    <row r="1335" spans="1:21" ht="17.149999999999999" customHeight="1">
      <c r="A1335" s="1"/>
      <c r="B1335" s="1"/>
      <c r="C1335" s="1"/>
      <c r="D1335" s="1"/>
      <c r="E1335" s="1"/>
      <c r="F1335" s="1"/>
      <c r="G1335" s="1"/>
      <c r="H1335" s="1"/>
      <c r="I1335" s="1"/>
      <c r="J1335" s="1"/>
      <c r="K1335" s="1"/>
      <c r="L1335" s="1"/>
      <c r="M1335" s="1"/>
      <c r="N1335" s="1"/>
      <c r="O1335" s="1"/>
      <c r="P1335" s="1"/>
      <c r="Q1335" s="1"/>
      <c r="R1335" s="1"/>
      <c r="S1335" s="1"/>
      <c r="T1335" s="1"/>
      <c r="U1335" s="1"/>
    </row>
    <row r="1336" spans="1:21" ht="17.149999999999999" customHeight="1">
      <c r="A1336" s="1"/>
      <c r="B1336" s="1"/>
      <c r="C1336" s="1"/>
      <c r="D1336" s="1"/>
      <c r="E1336" s="1"/>
      <c r="F1336" s="1"/>
      <c r="G1336" s="1"/>
      <c r="H1336" s="1"/>
      <c r="I1336" s="1"/>
      <c r="J1336" s="1"/>
      <c r="K1336" s="1"/>
      <c r="L1336" s="1"/>
      <c r="M1336" s="1"/>
      <c r="N1336" s="1"/>
      <c r="O1336" s="1"/>
      <c r="P1336" s="1"/>
      <c r="Q1336" s="1"/>
      <c r="R1336" s="1"/>
      <c r="S1336" s="1"/>
      <c r="T1336" s="1"/>
      <c r="U1336" s="1"/>
    </row>
    <row r="1337" spans="1:21" ht="17.149999999999999" customHeight="1">
      <c r="A1337" s="1"/>
      <c r="B1337" s="1"/>
      <c r="C1337" s="1"/>
      <c r="D1337" s="1"/>
      <c r="E1337" s="1"/>
      <c r="F1337" s="1"/>
      <c r="G1337" s="1"/>
      <c r="H1337" s="1"/>
      <c r="I1337" s="1"/>
      <c r="J1337" s="1"/>
      <c r="K1337" s="1"/>
      <c r="L1337" s="1"/>
      <c r="M1337" s="1"/>
      <c r="N1337" s="1"/>
      <c r="O1337" s="1"/>
      <c r="P1337" s="1"/>
      <c r="Q1337" s="1"/>
      <c r="R1337" s="1"/>
      <c r="S1337" s="1"/>
      <c r="T1337" s="1"/>
      <c r="U1337" s="1"/>
    </row>
    <row r="1338" spans="1:21" ht="17.149999999999999" customHeight="1">
      <c r="A1338" s="1"/>
      <c r="B1338" s="1"/>
      <c r="C1338" s="1"/>
      <c r="D1338" s="1"/>
      <c r="E1338" s="1"/>
      <c r="F1338" s="1"/>
      <c r="G1338" s="1"/>
      <c r="H1338" s="1"/>
      <c r="I1338" s="1"/>
      <c r="J1338" s="1"/>
      <c r="K1338" s="1"/>
      <c r="L1338" s="1"/>
      <c r="M1338" s="1"/>
      <c r="N1338" s="1"/>
      <c r="O1338" s="1"/>
      <c r="P1338" s="1"/>
      <c r="Q1338" s="1"/>
      <c r="R1338" s="1"/>
      <c r="S1338" s="1"/>
      <c r="T1338" s="1"/>
      <c r="U1338" s="1"/>
    </row>
    <row r="1339" spans="1:21" ht="17.149999999999999" customHeight="1">
      <c r="A1339" s="1"/>
      <c r="B1339" s="1"/>
      <c r="C1339" s="1"/>
      <c r="D1339" s="1"/>
      <c r="E1339" s="1"/>
      <c r="F1339" s="1"/>
      <c r="G1339" s="1"/>
      <c r="H1339" s="1"/>
      <c r="I1339" s="1"/>
      <c r="J1339" s="1"/>
      <c r="K1339" s="1"/>
      <c r="L1339" s="1"/>
      <c r="M1339" s="1"/>
      <c r="N1339" s="1"/>
      <c r="O1339" s="1"/>
      <c r="P1339" s="1"/>
      <c r="Q1339" s="1"/>
      <c r="R1339" s="1"/>
      <c r="S1339" s="1"/>
      <c r="T1339" s="1"/>
      <c r="U1339" s="1"/>
    </row>
    <row r="1340" spans="1:21" ht="17.149999999999999" customHeight="1">
      <c r="A1340" s="1"/>
      <c r="B1340" s="1"/>
      <c r="C1340" s="1"/>
      <c r="D1340" s="1"/>
      <c r="E1340" s="1"/>
      <c r="F1340" s="1"/>
      <c r="G1340" s="1"/>
      <c r="H1340" s="1"/>
      <c r="I1340" s="1"/>
      <c r="J1340" s="1"/>
      <c r="K1340" s="1"/>
      <c r="L1340" s="1"/>
      <c r="M1340" s="1"/>
      <c r="N1340" s="1"/>
      <c r="O1340" s="1"/>
      <c r="P1340" s="1"/>
      <c r="Q1340" s="1"/>
      <c r="R1340" s="1"/>
      <c r="S1340" s="1"/>
      <c r="T1340" s="1"/>
      <c r="U1340" s="1"/>
    </row>
    <row r="1341" spans="1:21" ht="17.149999999999999" customHeight="1">
      <c r="A1341" s="1"/>
      <c r="B1341" s="1"/>
      <c r="C1341" s="1"/>
      <c r="D1341" s="1"/>
      <c r="E1341" s="1"/>
      <c r="F1341" s="1"/>
      <c r="G1341" s="1"/>
      <c r="H1341" s="1"/>
      <c r="I1341" s="1"/>
      <c r="J1341" s="1"/>
      <c r="K1341" s="1"/>
      <c r="L1341" s="1"/>
      <c r="M1341" s="1"/>
      <c r="N1341" s="1"/>
      <c r="O1341" s="1"/>
      <c r="P1341" s="1"/>
      <c r="Q1341" s="1"/>
      <c r="R1341" s="1"/>
      <c r="S1341" s="1"/>
      <c r="T1341" s="1"/>
      <c r="U1341" s="1"/>
    </row>
    <row r="1342" spans="1:21" ht="17.149999999999999" customHeight="1">
      <c r="A1342" s="1"/>
      <c r="B1342" s="1"/>
      <c r="C1342" s="1"/>
      <c r="D1342" s="1"/>
      <c r="E1342" s="1"/>
      <c r="F1342" s="1"/>
      <c r="G1342" s="1"/>
      <c r="H1342" s="1"/>
      <c r="I1342" s="1"/>
      <c r="J1342" s="1"/>
      <c r="K1342" s="1"/>
      <c r="L1342" s="1"/>
      <c r="M1342" s="1"/>
      <c r="N1342" s="1"/>
      <c r="O1342" s="1"/>
      <c r="P1342" s="1"/>
      <c r="Q1342" s="1"/>
      <c r="R1342" s="1"/>
      <c r="S1342" s="1"/>
      <c r="T1342" s="1"/>
      <c r="U1342" s="1"/>
    </row>
    <row r="1343" spans="1:21" ht="17.149999999999999" customHeight="1">
      <c r="A1343" s="1"/>
      <c r="B1343" s="1"/>
      <c r="C1343" s="1"/>
      <c r="D1343" s="1"/>
      <c r="E1343" s="1"/>
      <c r="F1343" s="1"/>
      <c r="G1343" s="1"/>
      <c r="H1343" s="1"/>
      <c r="I1343" s="1"/>
      <c r="J1343" s="1"/>
      <c r="K1343" s="1"/>
      <c r="L1343" s="1"/>
      <c r="M1343" s="1"/>
      <c r="N1343" s="1"/>
      <c r="O1343" s="1"/>
      <c r="P1343" s="1"/>
      <c r="Q1343" s="1"/>
      <c r="R1343" s="1"/>
      <c r="S1343" s="1"/>
      <c r="T1343" s="1"/>
      <c r="U1343" s="1"/>
    </row>
    <row r="1344" spans="1:21" ht="17.149999999999999" customHeight="1">
      <c r="A1344" s="1"/>
      <c r="B1344" s="1"/>
      <c r="C1344" s="1"/>
      <c r="D1344" s="1"/>
      <c r="E1344" s="1"/>
      <c r="F1344" s="1"/>
      <c r="G1344" s="1"/>
      <c r="H1344" s="1"/>
      <c r="I1344" s="1"/>
      <c r="J1344" s="1"/>
      <c r="K1344" s="1"/>
      <c r="L1344" s="1"/>
      <c r="M1344" s="1"/>
      <c r="N1344" s="1"/>
      <c r="O1344" s="1"/>
      <c r="P1344" s="1"/>
      <c r="Q1344" s="1"/>
      <c r="R1344" s="1"/>
      <c r="S1344" s="1"/>
      <c r="T1344" s="1"/>
      <c r="U1344" s="1"/>
    </row>
    <row r="1345" spans="1:21" ht="17.149999999999999" customHeight="1">
      <c r="A1345" s="1"/>
      <c r="B1345" s="1"/>
      <c r="C1345" s="1"/>
      <c r="D1345" s="1"/>
      <c r="E1345" s="1"/>
      <c r="F1345" s="1"/>
      <c r="G1345" s="1"/>
      <c r="H1345" s="1"/>
      <c r="I1345" s="1"/>
      <c r="J1345" s="1"/>
      <c r="K1345" s="1"/>
      <c r="L1345" s="1"/>
      <c r="M1345" s="1"/>
      <c r="N1345" s="1"/>
      <c r="O1345" s="1"/>
      <c r="P1345" s="1"/>
      <c r="Q1345" s="1"/>
      <c r="R1345" s="1"/>
      <c r="S1345" s="1"/>
      <c r="T1345" s="1"/>
      <c r="U1345" s="1"/>
    </row>
    <row r="1346" spans="1:21" ht="17.149999999999999" customHeight="1">
      <c r="A1346" s="1"/>
      <c r="B1346" s="1"/>
      <c r="C1346" s="1"/>
      <c r="D1346" s="1"/>
      <c r="E1346" s="1"/>
      <c r="F1346" s="1"/>
      <c r="G1346" s="1"/>
      <c r="H1346" s="1"/>
      <c r="I1346" s="1"/>
      <c r="J1346" s="1"/>
      <c r="K1346" s="1"/>
      <c r="L1346" s="1"/>
      <c r="M1346" s="1"/>
      <c r="N1346" s="1"/>
      <c r="O1346" s="1"/>
      <c r="P1346" s="1"/>
      <c r="Q1346" s="1"/>
      <c r="R1346" s="1"/>
      <c r="S1346" s="1"/>
      <c r="T1346" s="1"/>
      <c r="U1346" s="1"/>
    </row>
    <row r="1347" spans="1:21" ht="17.149999999999999" customHeight="1">
      <c r="A1347" s="1"/>
      <c r="B1347" s="1"/>
      <c r="C1347" s="1"/>
      <c r="D1347" s="1"/>
      <c r="E1347" s="1"/>
      <c r="F1347" s="1"/>
      <c r="G1347" s="1"/>
      <c r="H1347" s="1"/>
      <c r="I1347" s="1"/>
      <c r="J1347" s="1"/>
      <c r="K1347" s="1"/>
      <c r="L1347" s="1"/>
      <c r="M1347" s="1"/>
      <c r="N1347" s="1"/>
      <c r="O1347" s="1"/>
      <c r="P1347" s="1"/>
      <c r="Q1347" s="1"/>
      <c r="R1347" s="1"/>
      <c r="S1347" s="1"/>
      <c r="T1347" s="1"/>
      <c r="U1347" s="1"/>
    </row>
    <row r="1348" spans="1:21" ht="17.149999999999999" customHeight="1">
      <c r="A1348" s="1"/>
      <c r="B1348" s="1"/>
      <c r="C1348" s="1"/>
      <c r="D1348" s="1"/>
      <c r="E1348" s="1"/>
      <c r="F1348" s="1"/>
      <c r="G1348" s="1"/>
      <c r="H1348" s="1"/>
      <c r="I1348" s="1"/>
      <c r="J1348" s="1"/>
      <c r="K1348" s="1"/>
      <c r="L1348" s="1"/>
      <c r="M1348" s="1"/>
      <c r="N1348" s="1"/>
      <c r="O1348" s="1"/>
      <c r="P1348" s="1"/>
      <c r="Q1348" s="1"/>
      <c r="R1348" s="1"/>
      <c r="S1348" s="1"/>
      <c r="T1348" s="1"/>
      <c r="U1348" s="1"/>
    </row>
    <row r="1349" spans="1:21" ht="17.149999999999999" customHeight="1">
      <c r="A1349" s="1"/>
      <c r="B1349" s="1"/>
      <c r="C1349" s="1"/>
      <c r="D1349" s="1"/>
      <c r="E1349" s="1"/>
      <c r="F1349" s="1"/>
      <c r="G1349" s="1"/>
      <c r="H1349" s="1"/>
      <c r="I1349" s="1"/>
      <c r="J1349" s="1"/>
      <c r="K1349" s="1"/>
      <c r="L1349" s="1"/>
      <c r="M1349" s="1"/>
      <c r="N1349" s="1"/>
      <c r="O1349" s="1"/>
      <c r="P1349" s="1"/>
      <c r="Q1349" s="1"/>
      <c r="R1349" s="1"/>
      <c r="S1349" s="1"/>
      <c r="T1349" s="1"/>
      <c r="U1349" s="1"/>
    </row>
    <row r="1350" spans="1:21" ht="17.149999999999999" customHeight="1">
      <c r="A1350" s="1"/>
      <c r="B1350" s="1"/>
      <c r="C1350" s="1"/>
      <c r="D1350" s="1"/>
      <c r="E1350" s="1"/>
      <c r="F1350" s="1"/>
      <c r="G1350" s="1"/>
      <c r="H1350" s="1"/>
      <c r="I1350" s="1"/>
      <c r="J1350" s="1"/>
      <c r="K1350" s="1"/>
      <c r="L1350" s="1"/>
      <c r="M1350" s="1"/>
      <c r="N1350" s="1"/>
      <c r="O1350" s="1"/>
      <c r="P1350" s="1"/>
      <c r="Q1350" s="1"/>
      <c r="R1350" s="1"/>
      <c r="S1350" s="1"/>
      <c r="T1350" s="1"/>
      <c r="U1350" s="1"/>
    </row>
    <row r="1351" spans="1:21" ht="17.149999999999999" customHeight="1">
      <c r="A1351" s="1"/>
      <c r="B1351" s="1"/>
      <c r="C1351" s="1"/>
      <c r="D1351" s="1"/>
      <c r="E1351" s="1"/>
      <c r="F1351" s="1"/>
      <c r="G1351" s="1"/>
      <c r="H1351" s="1"/>
      <c r="I1351" s="1"/>
      <c r="J1351" s="1"/>
      <c r="K1351" s="1"/>
      <c r="L1351" s="1"/>
      <c r="M1351" s="1"/>
      <c r="N1351" s="1"/>
      <c r="O1351" s="1"/>
      <c r="P1351" s="1"/>
      <c r="Q1351" s="1"/>
      <c r="R1351" s="1"/>
      <c r="S1351" s="1"/>
      <c r="T1351" s="1"/>
      <c r="U1351" s="1"/>
    </row>
    <row r="1352" spans="1:21" ht="17.149999999999999" customHeight="1">
      <c r="A1352" s="1"/>
      <c r="B1352" s="1"/>
      <c r="C1352" s="1"/>
      <c r="D1352" s="1"/>
      <c r="E1352" s="1"/>
      <c r="F1352" s="1"/>
      <c r="G1352" s="1"/>
      <c r="H1352" s="1"/>
      <c r="I1352" s="1"/>
      <c r="J1352" s="1"/>
      <c r="K1352" s="1"/>
      <c r="L1352" s="1"/>
      <c r="M1352" s="1"/>
      <c r="N1352" s="1"/>
      <c r="O1352" s="1"/>
      <c r="P1352" s="1"/>
      <c r="Q1352" s="1"/>
      <c r="R1352" s="1"/>
      <c r="S1352" s="1"/>
      <c r="T1352" s="1"/>
      <c r="U1352" s="1"/>
    </row>
    <row r="1353" spans="1:21" ht="17.149999999999999" customHeight="1">
      <c r="A1353" s="1"/>
      <c r="B1353" s="1"/>
      <c r="C1353" s="1"/>
      <c r="D1353" s="1"/>
      <c r="E1353" s="1"/>
      <c r="F1353" s="1"/>
      <c r="G1353" s="1"/>
      <c r="H1353" s="1"/>
      <c r="I1353" s="1"/>
      <c r="J1353" s="1"/>
      <c r="K1353" s="1"/>
      <c r="L1353" s="1"/>
      <c r="M1353" s="1"/>
      <c r="N1353" s="1"/>
      <c r="O1353" s="1"/>
      <c r="P1353" s="1"/>
      <c r="Q1353" s="1"/>
      <c r="R1353" s="1"/>
      <c r="S1353" s="1"/>
      <c r="T1353" s="1"/>
      <c r="U1353" s="1"/>
    </row>
    <row r="1354" spans="1:21" ht="17.149999999999999" customHeight="1">
      <c r="A1354" s="1"/>
      <c r="B1354" s="1"/>
      <c r="C1354" s="1"/>
      <c r="D1354" s="1"/>
      <c r="E1354" s="1"/>
      <c r="F1354" s="1"/>
      <c r="G1354" s="1"/>
      <c r="H1354" s="1"/>
      <c r="I1354" s="1"/>
      <c r="J1354" s="1"/>
      <c r="K1354" s="1"/>
      <c r="L1354" s="1"/>
      <c r="M1354" s="1"/>
      <c r="N1354" s="1"/>
      <c r="O1354" s="1"/>
      <c r="P1354" s="1"/>
      <c r="Q1354" s="1"/>
      <c r="R1354" s="1"/>
      <c r="S1354" s="1"/>
      <c r="T1354" s="1"/>
      <c r="U1354" s="1"/>
    </row>
    <row r="1355" spans="1:21" ht="17.149999999999999" customHeight="1">
      <c r="A1355" s="1"/>
      <c r="B1355" s="1"/>
      <c r="C1355" s="1"/>
      <c r="D1355" s="1"/>
      <c r="E1355" s="1"/>
      <c r="F1355" s="1"/>
      <c r="G1355" s="1"/>
      <c r="H1355" s="1"/>
      <c r="I1355" s="1"/>
      <c r="J1355" s="1"/>
      <c r="K1355" s="1"/>
      <c r="L1355" s="1"/>
      <c r="M1355" s="1"/>
      <c r="N1355" s="1"/>
      <c r="O1355" s="1"/>
      <c r="P1355" s="1"/>
      <c r="Q1355" s="1"/>
      <c r="R1355" s="1"/>
      <c r="S1355" s="1"/>
      <c r="T1355" s="1"/>
      <c r="U1355" s="1"/>
    </row>
    <row r="1356" spans="1:21" ht="17.149999999999999" customHeight="1">
      <c r="A1356" s="1"/>
      <c r="B1356" s="1"/>
      <c r="C1356" s="1"/>
      <c r="D1356" s="1"/>
      <c r="E1356" s="1"/>
      <c r="F1356" s="1"/>
      <c r="G1356" s="1"/>
      <c r="H1356" s="1"/>
      <c r="I1356" s="1"/>
      <c r="J1356" s="1"/>
      <c r="K1356" s="1"/>
      <c r="L1356" s="1"/>
      <c r="M1356" s="1"/>
      <c r="N1356" s="1"/>
      <c r="O1356" s="1"/>
      <c r="P1356" s="1"/>
      <c r="Q1356" s="1"/>
      <c r="R1356" s="1"/>
      <c r="S1356" s="1"/>
      <c r="T1356" s="1"/>
      <c r="U1356" s="1"/>
    </row>
    <row r="1357" spans="1:21" ht="17.149999999999999" customHeight="1">
      <c r="A1357" s="1"/>
      <c r="B1357" s="1"/>
      <c r="C1357" s="1"/>
      <c r="D1357" s="1"/>
      <c r="E1357" s="1"/>
      <c r="F1357" s="1"/>
      <c r="G1357" s="1"/>
      <c r="H1357" s="1"/>
      <c r="I1357" s="1"/>
      <c r="J1357" s="1"/>
      <c r="K1357" s="1"/>
      <c r="L1357" s="1"/>
      <c r="M1357" s="1"/>
      <c r="N1357" s="1"/>
      <c r="O1357" s="1"/>
      <c r="P1357" s="1"/>
      <c r="Q1357" s="1"/>
      <c r="R1357" s="1"/>
      <c r="S1357" s="1"/>
      <c r="T1357" s="1"/>
      <c r="U1357" s="1"/>
    </row>
    <row r="1358" spans="1:21" ht="17.149999999999999" customHeight="1">
      <c r="A1358" s="1"/>
      <c r="B1358" s="1"/>
      <c r="C1358" s="1"/>
      <c r="D1358" s="1"/>
      <c r="E1358" s="1"/>
      <c r="F1358" s="1"/>
      <c r="G1358" s="1"/>
      <c r="H1358" s="1"/>
      <c r="I1358" s="1"/>
      <c r="J1358" s="1"/>
      <c r="K1358" s="1"/>
      <c r="L1358" s="1"/>
      <c r="M1358" s="1"/>
      <c r="N1358" s="1"/>
      <c r="O1358" s="1"/>
      <c r="P1358" s="1"/>
      <c r="Q1358" s="1"/>
      <c r="R1358" s="1"/>
      <c r="S1358" s="1"/>
      <c r="T1358" s="1"/>
      <c r="U1358" s="1"/>
    </row>
    <row r="1359" spans="1:21" ht="17.149999999999999" customHeight="1">
      <c r="A1359" s="1"/>
      <c r="B1359" s="1"/>
      <c r="C1359" s="1"/>
      <c r="D1359" s="1"/>
      <c r="E1359" s="1"/>
      <c r="F1359" s="1"/>
      <c r="G1359" s="1"/>
      <c r="H1359" s="1"/>
      <c r="I1359" s="1"/>
      <c r="J1359" s="1"/>
      <c r="K1359" s="1"/>
      <c r="L1359" s="1"/>
      <c r="M1359" s="1"/>
      <c r="N1359" s="1"/>
      <c r="O1359" s="1"/>
      <c r="P1359" s="1"/>
      <c r="Q1359" s="1"/>
      <c r="R1359" s="1"/>
      <c r="S1359" s="1"/>
      <c r="T1359" s="1"/>
      <c r="U1359" s="1"/>
    </row>
    <row r="1360" spans="1:21" ht="17.149999999999999" customHeight="1">
      <c r="A1360" s="1"/>
      <c r="B1360" s="1"/>
      <c r="C1360" s="1"/>
      <c r="D1360" s="1"/>
      <c r="E1360" s="1"/>
      <c r="F1360" s="1"/>
      <c r="G1360" s="1"/>
      <c r="H1360" s="1"/>
      <c r="I1360" s="1"/>
      <c r="J1360" s="1"/>
      <c r="K1360" s="1"/>
      <c r="L1360" s="1"/>
      <c r="M1360" s="1"/>
      <c r="N1360" s="1"/>
      <c r="O1360" s="1"/>
      <c r="P1360" s="1"/>
      <c r="Q1360" s="1"/>
      <c r="R1360" s="1"/>
      <c r="S1360" s="1"/>
      <c r="T1360" s="1"/>
      <c r="U1360" s="1"/>
    </row>
    <row r="1361" spans="1:21" ht="17.149999999999999" customHeight="1">
      <c r="A1361" s="1"/>
      <c r="B1361" s="1"/>
      <c r="C1361" s="1"/>
      <c r="D1361" s="1"/>
      <c r="E1361" s="1"/>
      <c r="F1361" s="1"/>
      <c r="G1361" s="1"/>
      <c r="H1361" s="1"/>
      <c r="I1361" s="1"/>
      <c r="J1361" s="1"/>
      <c r="K1361" s="1"/>
      <c r="L1361" s="1"/>
      <c r="M1361" s="1"/>
      <c r="N1361" s="1"/>
      <c r="O1361" s="1"/>
      <c r="P1361" s="1"/>
      <c r="Q1361" s="1"/>
      <c r="R1361" s="1"/>
      <c r="S1361" s="1"/>
      <c r="T1361" s="1"/>
      <c r="U1361" s="1"/>
    </row>
    <row r="1362" spans="1:21" ht="17.149999999999999" customHeight="1">
      <c r="A1362" s="1"/>
      <c r="B1362" s="1"/>
      <c r="C1362" s="1"/>
      <c r="D1362" s="1"/>
      <c r="E1362" s="1"/>
      <c r="F1362" s="1"/>
      <c r="G1362" s="1"/>
      <c r="H1362" s="1"/>
      <c r="I1362" s="1"/>
      <c r="J1362" s="1"/>
      <c r="K1362" s="1"/>
      <c r="L1362" s="1"/>
      <c r="M1362" s="1"/>
      <c r="N1362" s="1"/>
      <c r="O1362" s="1"/>
      <c r="P1362" s="1"/>
      <c r="Q1362" s="1"/>
      <c r="R1362" s="1"/>
      <c r="S1362" s="1"/>
      <c r="T1362" s="1"/>
      <c r="U1362" s="1"/>
    </row>
    <row r="1363" spans="1:21" ht="17.149999999999999" customHeight="1">
      <c r="A1363" s="1"/>
      <c r="B1363" s="1"/>
      <c r="C1363" s="1"/>
      <c r="D1363" s="1"/>
      <c r="E1363" s="1"/>
      <c r="F1363" s="1"/>
      <c r="G1363" s="1"/>
      <c r="H1363" s="1"/>
      <c r="I1363" s="1"/>
      <c r="J1363" s="1"/>
      <c r="K1363" s="1"/>
      <c r="L1363" s="1"/>
      <c r="M1363" s="1"/>
      <c r="N1363" s="1"/>
      <c r="O1363" s="1"/>
      <c r="P1363" s="1"/>
      <c r="Q1363" s="1"/>
      <c r="R1363" s="1"/>
      <c r="S1363" s="1"/>
      <c r="T1363" s="1"/>
      <c r="U1363" s="1"/>
    </row>
    <row r="1364" spans="1:21" ht="17.149999999999999" customHeight="1">
      <c r="A1364" s="1"/>
      <c r="B1364" s="1"/>
      <c r="C1364" s="1"/>
      <c r="D1364" s="1"/>
      <c r="E1364" s="1"/>
      <c r="F1364" s="1"/>
      <c r="G1364" s="1"/>
      <c r="H1364" s="1"/>
      <c r="I1364" s="1"/>
      <c r="J1364" s="1"/>
      <c r="K1364" s="1"/>
      <c r="L1364" s="1"/>
      <c r="M1364" s="1"/>
      <c r="N1364" s="1"/>
      <c r="O1364" s="1"/>
      <c r="P1364" s="1"/>
      <c r="Q1364" s="1"/>
      <c r="R1364" s="1"/>
      <c r="S1364" s="1"/>
      <c r="T1364" s="1"/>
      <c r="U1364" s="1"/>
    </row>
    <row r="1365" spans="1:21" ht="17.149999999999999" customHeight="1">
      <c r="A1365" s="1"/>
      <c r="B1365" s="1"/>
      <c r="C1365" s="1"/>
      <c r="D1365" s="1"/>
      <c r="E1365" s="1"/>
      <c r="F1365" s="1"/>
      <c r="G1365" s="1"/>
      <c r="H1365" s="1"/>
      <c r="I1365" s="1"/>
      <c r="J1365" s="1"/>
      <c r="K1365" s="1"/>
      <c r="L1365" s="1"/>
      <c r="M1365" s="1"/>
      <c r="N1365" s="1"/>
      <c r="O1365" s="1"/>
      <c r="P1365" s="1"/>
      <c r="Q1365" s="1"/>
      <c r="R1365" s="1"/>
      <c r="S1365" s="1"/>
      <c r="T1365" s="1"/>
      <c r="U1365" s="1"/>
    </row>
    <row r="1366" spans="1:21" ht="17.149999999999999" customHeight="1">
      <c r="A1366" s="1"/>
      <c r="B1366" s="1"/>
      <c r="C1366" s="1"/>
      <c r="D1366" s="1"/>
      <c r="E1366" s="1"/>
      <c r="F1366" s="1"/>
      <c r="G1366" s="1"/>
      <c r="H1366" s="1"/>
      <c r="I1366" s="1"/>
      <c r="J1366" s="1"/>
      <c r="K1366" s="1"/>
      <c r="L1366" s="1"/>
      <c r="M1366" s="1"/>
      <c r="N1366" s="1"/>
      <c r="O1366" s="1"/>
      <c r="P1366" s="1"/>
      <c r="Q1366" s="1"/>
      <c r="R1366" s="1"/>
      <c r="S1366" s="1"/>
      <c r="T1366" s="1"/>
      <c r="U1366" s="1"/>
    </row>
    <row r="1367" spans="1:21" ht="17.149999999999999" customHeight="1">
      <c r="A1367" s="1"/>
      <c r="B1367" s="1"/>
      <c r="C1367" s="1"/>
      <c r="D1367" s="1"/>
      <c r="E1367" s="1"/>
      <c r="F1367" s="1"/>
      <c r="G1367" s="1"/>
      <c r="H1367" s="1"/>
      <c r="I1367" s="1"/>
      <c r="J1367" s="1"/>
      <c r="K1367" s="1"/>
      <c r="L1367" s="1"/>
      <c r="M1367" s="1"/>
      <c r="N1367" s="1"/>
      <c r="O1367" s="1"/>
      <c r="P1367" s="1"/>
      <c r="Q1367" s="1"/>
      <c r="R1367" s="1"/>
      <c r="S1367" s="1"/>
      <c r="T1367" s="1"/>
      <c r="U1367" s="1"/>
    </row>
    <row r="1368" spans="1:21" ht="17.149999999999999" customHeight="1">
      <c r="A1368" s="1"/>
      <c r="B1368" s="1"/>
      <c r="C1368" s="1"/>
      <c r="D1368" s="1"/>
      <c r="E1368" s="1"/>
      <c r="F1368" s="1"/>
      <c r="G1368" s="1"/>
      <c r="H1368" s="1"/>
      <c r="I1368" s="1"/>
      <c r="J1368" s="1"/>
      <c r="K1368" s="1"/>
      <c r="L1368" s="1"/>
      <c r="M1368" s="1"/>
      <c r="N1368" s="1"/>
      <c r="O1368" s="1"/>
      <c r="P1368" s="1"/>
      <c r="Q1368" s="1"/>
      <c r="R1368" s="1"/>
      <c r="S1368" s="1"/>
      <c r="T1368" s="1"/>
      <c r="U1368" s="1"/>
    </row>
    <row r="1369" spans="1:21" ht="17.149999999999999" customHeight="1">
      <c r="A1369" s="1"/>
      <c r="B1369" s="1"/>
      <c r="C1369" s="1"/>
      <c r="D1369" s="1"/>
      <c r="E1369" s="1"/>
      <c r="F1369" s="1"/>
      <c r="G1369" s="1"/>
      <c r="H1369" s="1"/>
      <c r="I1369" s="1"/>
      <c r="J1369" s="1"/>
      <c r="K1369" s="1"/>
      <c r="L1369" s="1"/>
      <c r="M1369" s="1"/>
      <c r="N1369" s="1"/>
      <c r="O1369" s="1"/>
      <c r="P1369" s="1"/>
      <c r="Q1369" s="1"/>
      <c r="R1369" s="1"/>
      <c r="S1369" s="1"/>
      <c r="T1369" s="1"/>
      <c r="U1369" s="1"/>
    </row>
    <row r="1370" spans="1:21" ht="17.149999999999999" customHeight="1">
      <c r="A1370" s="1"/>
      <c r="B1370" s="1"/>
      <c r="C1370" s="1"/>
      <c r="D1370" s="1"/>
      <c r="E1370" s="1"/>
      <c r="F1370" s="1"/>
      <c r="G1370" s="1"/>
      <c r="H1370" s="1"/>
      <c r="I1370" s="1"/>
      <c r="J1370" s="1"/>
      <c r="K1370" s="1"/>
      <c r="L1370" s="1"/>
      <c r="M1370" s="1"/>
      <c r="N1370" s="1"/>
      <c r="O1370" s="1"/>
      <c r="P1370" s="1"/>
      <c r="Q1370" s="1"/>
      <c r="R1370" s="1"/>
      <c r="S1370" s="1"/>
      <c r="T1370" s="1"/>
      <c r="U1370" s="1"/>
    </row>
    <row r="1371" spans="1:21" ht="17.149999999999999" customHeight="1">
      <c r="A1371" s="1"/>
      <c r="B1371" s="1"/>
      <c r="C1371" s="1"/>
      <c r="D1371" s="1"/>
      <c r="E1371" s="1"/>
      <c r="F1371" s="1"/>
      <c r="G1371" s="1"/>
      <c r="H1371" s="1"/>
      <c r="I1371" s="1"/>
      <c r="J1371" s="1"/>
      <c r="K1371" s="1"/>
      <c r="L1371" s="1"/>
      <c r="M1371" s="1"/>
      <c r="N1371" s="1"/>
      <c r="O1371" s="1"/>
      <c r="P1371" s="1"/>
      <c r="Q1371" s="1"/>
      <c r="R1371" s="1"/>
      <c r="S1371" s="1"/>
      <c r="T1371" s="1"/>
      <c r="U1371" s="1"/>
    </row>
    <row r="1372" spans="1:21" ht="17.149999999999999" customHeight="1">
      <c r="A1372" s="1"/>
      <c r="B1372" s="1"/>
      <c r="C1372" s="1"/>
      <c r="D1372" s="1"/>
      <c r="E1372" s="1"/>
      <c r="F1372" s="1"/>
      <c r="G1372" s="1"/>
      <c r="H1372" s="1"/>
      <c r="I1372" s="1"/>
      <c r="J1372" s="1"/>
      <c r="K1372" s="1"/>
      <c r="L1372" s="1"/>
      <c r="M1372" s="1"/>
      <c r="N1372" s="1"/>
      <c r="O1372" s="1"/>
      <c r="P1372" s="1"/>
      <c r="Q1372" s="1"/>
      <c r="R1372" s="1"/>
      <c r="S1372" s="1"/>
      <c r="T1372" s="1"/>
      <c r="U1372" s="1"/>
    </row>
    <row r="1373" spans="1:21" ht="17.149999999999999" customHeight="1">
      <c r="A1373" s="1"/>
      <c r="B1373" s="1"/>
      <c r="C1373" s="1"/>
      <c r="D1373" s="1"/>
      <c r="E1373" s="1"/>
      <c r="F1373" s="1"/>
      <c r="G1373" s="1"/>
      <c r="H1373" s="1"/>
      <c r="I1373" s="1"/>
      <c r="J1373" s="1"/>
      <c r="K1373" s="1"/>
      <c r="L1373" s="1"/>
      <c r="M1373" s="1"/>
      <c r="N1373" s="1"/>
      <c r="O1373" s="1"/>
      <c r="P1373" s="1"/>
      <c r="Q1373" s="1"/>
      <c r="R1373" s="1"/>
      <c r="S1373" s="1"/>
      <c r="T1373" s="1"/>
      <c r="U1373" s="1"/>
    </row>
    <row r="1374" spans="1:21" ht="17.149999999999999" customHeight="1">
      <c r="A1374" s="1"/>
      <c r="B1374" s="1"/>
      <c r="C1374" s="1"/>
      <c r="D1374" s="1"/>
      <c r="E1374" s="1"/>
      <c r="F1374" s="1"/>
      <c r="G1374" s="1"/>
      <c r="H1374" s="1"/>
      <c r="I1374" s="1"/>
      <c r="J1374" s="1"/>
      <c r="K1374" s="1"/>
      <c r="L1374" s="1"/>
      <c r="M1374" s="1"/>
      <c r="N1374" s="1"/>
      <c r="O1374" s="1"/>
      <c r="P1374" s="1"/>
      <c r="Q1374" s="1"/>
      <c r="R1374" s="1"/>
      <c r="S1374" s="1"/>
      <c r="T1374" s="1"/>
      <c r="U1374" s="1"/>
    </row>
    <row r="1375" spans="1:21" ht="17.149999999999999" customHeight="1">
      <c r="A1375" s="1"/>
      <c r="B1375" s="1"/>
      <c r="C1375" s="1"/>
      <c r="D1375" s="1"/>
      <c r="E1375" s="1"/>
      <c r="F1375" s="1"/>
      <c r="G1375" s="1"/>
      <c r="H1375" s="1"/>
      <c r="I1375" s="1"/>
      <c r="J1375" s="1"/>
      <c r="K1375" s="1"/>
      <c r="L1375" s="1"/>
      <c r="M1375" s="1"/>
      <c r="N1375" s="1"/>
      <c r="O1375" s="1"/>
      <c r="P1375" s="1"/>
      <c r="Q1375" s="1"/>
      <c r="R1375" s="1"/>
      <c r="S1375" s="1"/>
      <c r="T1375" s="1"/>
      <c r="U1375" s="1"/>
    </row>
    <row r="1376" spans="1:21" ht="17.149999999999999" customHeight="1">
      <c r="A1376" s="1"/>
      <c r="B1376" s="1"/>
      <c r="C1376" s="1"/>
      <c r="D1376" s="1"/>
      <c r="E1376" s="1"/>
      <c r="F1376" s="1"/>
      <c r="G1376" s="1"/>
      <c r="H1376" s="1"/>
      <c r="I1376" s="1"/>
      <c r="J1376" s="1"/>
      <c r="K1376" s="1"/>
      <c r="L1376" s="1"/>
      <c r="M1376" s="1"/>
      <c r="N1376" s="1"/>
      <c r="O1376" s="1"/>
      <c r="P1376" s="1"/>
      <c r="Q1376" s="1"/>
      <c r="R1376" s="1"/>
      <c r="S1376" s="1"/>
      <c r="T1376" s="1"/>
      <c r="U1376" s="1"/>
    </row>
    <row r="1377" spans="1:21" ht="17.149999999999999" customHeight="1">
      <c r="A1377" s="1"/>
      <c r="B1377" s="1"/>
      <c r="C1377" s="1"/>
      <c r="D1377" s="1"/>
      <c r="E1377" s="1"/>
      <c r="F1377" s="1"/>
      <c r="G1377" s="1"/>
      <c r="H1377" s="1"/>
      <c r="I1377" s="1"/>
      <c r="J1377" s="1"/>
      <c r="K1377" s="1"/>
      <c r="L1377" s="1"/>
      <c r="M1377" s="1"/>
      <c r="N1377" s="1"/>
      <c r="O1377" s="1"/>
      <c r="P1377" s="1"/>
      <c r="Q1377" s="1"/>
      <c r="R1377" s="1"/>
      <c r="S1377" s="1"/>
      <c r="T1377" s="1"/>
      <c r="U1377" s="1"/>
    </row>
    <row r="1378" spans="1:21" ht="17.149999999999999" customHeight="1">
      <c r="A1378" s="1"/>
      <c r="B1378" s="1"/>
      <c r="C1378" s="1"/>
      <c r="D1378" s="1"/>
      <c r="E1378" s="1"/>
      <c r="F1378" s="1"/>
      <c r="G1378" s="1"/>
      <c r="H1378" s="1"/>
      <c r="I1378" s="1"/>
      <c r="J1378" s="1"/>
      <c r="K1378" s="1"/>
      <c r="L1378" s="1"/>
      <c r="M1378" s="1"/>
      <c r="N1378" s="1"/>
      <c r="O1378" s="1"/>
      <c r="P1378" s="1"/>
      <c r="Q1378" s="1"/>
      <c r="R1378" s="1"/>
      <c r="S1378" s="1"/>
      <c r="T1378" s="1"/>
      <c r="U1378" s="1"/>
    </row>
    <row r="1379" spans="1:21" ht="17.149999999999999" customHeight="1">
      <c r="A1379" s="1"/>
      <c r="B1379" s="1"/>
      <c r="C1379" s="1"/>
      <c r="D1379" s="1"/>
      <c r="E1379" s="1"/>
      <c r="F1379" s="1"/>
      <c r="G1379" s="1"/>
      <c r="H1379" s="1"/>
      <c r="I1379" s="1"/>
      <c r="J1379" s="1"/>
      <c r="K1379" s="1"/>
      <c r="L1379" s="1"/>
      <c r="M1379" s="1"/>
      <c r="N1379" s="1"/>
      <c r="O1379" s="1"/>
      <c r="P1379" s="1"/>
      <c r="Q1379" s="1"/>
      <c r="R1379" s="1"/>
      <c r="S1379" s="1"/>
      <c r="T1379" s="1"/>
      <c r="U1379" s="1"/>
    </row>
    <row r="1380" spans="1:21" ht="17.149999999999999" customHeight="1">
      <c r="A1380" s="1"/>
      <c r="B1380" s="1"/>
      <c r="C1380" s="1"/>
      <c r="D1380" s="1"/>
      <c r="E1380" s="1"/>
      <c r="F1380" s="1"/>
      <c r="G1380" s="1"/>
      <c r="H1380" s="1"/>
      <c r="I1380" s="1"/>
      <c r="J1380" s="1"/>
      <c r="K1380" s="1"/>
      <c r="L1380" s="1"/>
      <c r="M1380" s="1"/>
      <c r="N1380" s="1"/>
      <c r="O1380" s="1"/>
      <c r="P1380" s="1"/>
      <c r="Q1380" s="1"/>
      <c r="R1380" s="1"/>
      <c r="S1380" s="1"/>
      <c r="T1380" s="1"/>
      <c r="U1380" s="1"/>
    </row>
    <row r="1381" spans="1:21" ht="17.149999999999999" customHeight="1">
      <c r="A1381" s="1"/>
      <c r="B1381" s="1"/>
      <c r="C1381" s="1"/>
      <c r="D1381" s="1"/>
      <c r="E1381" s="1"/>
      <c r="F1381" s="1"/>
      <c r="G1381" s="1"/>
      <c r="H1381" s="1"/>
      <c r="I1381" s="1"/>
      <c r="J1381" s="1"/>
      <c r="K1381" s="1"/>
      <c r="L1381" s="1"/>
      <c r="M1381" s="1"/>
      <c r="N1381" s="1"/>
      <c r="O1381" s="1"/>
      <c r="P1381" s="1"/>
      <c r="Q1381" s="1"/>
      <c r="R1381" s="1"/>
      <c r="S1381" s="1"/>
      <c r="T1381" s="1"/>
      <c r="U1381" s="1"/>
    </row>
    <row r="1382" spans="1:21" ht="17.149999999999999" customHeight="1">
      <c r="A1382" s="1"/>
      <c r="B1382" s="1"/>
      <c r="C1382" s="1"/>
      <c r="D1382" s="1"/>
      <c r="E1382" s="1"/>
      <c r="F1382" s="1"/>
      <c r="G1382" s="1"/>
      <c r="H1382" s="1"/>
      <c r="I1382" s="1"/>
      <c r="J1382" s="1"/>
      <c r="K1382" s="1"/>
      <c r="L1382" s="1"/>
      <c r="M1382" s="1"/>
      <c r="N1382" s="1"/>
      <c r="O1382" s="1"/>
      <c r="P1382" s="1"/>
      <c r="Q1382" s="1"/>
      <c r="R1382" s="1"/>
      <c r="S1382" s="1"/>
      <c r="T1382" s="1"/>
      <c r="U1382" s="1"/>
    </row>
    <row r="1383" spans="1:21" ht="17.149999999999999" customHeight="1">
      <c r="A1383" s="1"/>
      <c r="B1383" s="1"/>
      <c r="C1383" s="1"/>
      <c r="D1383" s="1"/>
      <c r="E1383" s="1"/>
      <c r="F1383" s="1"/>
      <c r="G1383" s="1"/>
      <c r="H1383" s="1"/>
      <c r="I1383" s="1"/>
      <c r="J1383" s="1"/>
      <c r="K1383" s="1"/>
      <c r="L1383" s="1"/>
      <c r="M1383" s="1"/>
      <c r="N1383" s="1"/>
      <c r="O1383" s="1"/>
      <c r="P1383" s="1"/>
      <c r="Q1383" s="1"/>
      <c r="R1383" s="1"/>
      <c r="S1383" s="1"/>
      <c r="T1383" s="1"/>
      <c r="U1383" s="1"/>
    </row>
    <row r="1384" spans="1:21" ht="17.149999999999999" customHeight="1">
      <c r="A1384" s="1"/>
      <c r="B1384" s="1"/>
      <c r="C1384" s="1"/>
      <c r="D1384" s="1"/>
      <c r="E1384" s="1"/>
      <c r="F1384" s="1"/>
      <c r="G1384" s="1"/>
      <c r="H1384" s="1"/>
      <c r="I1384" s="1"/>
      <c r="J1384" s="1"/>
      <c r="K1384" s="1"/>
      <c r="L1384" s="1"/>
      <c r="M1384" s="1"/>
      <c r="N1384" s="1"/>
      <c r="O1384" s="1"/>
      <c r="P1384" s="1"/>
      <c r="Q1384" s="1"/>
      <c r="R1384" s="1"/>
      <c r="S1384" s="1"/>
      <c r="T1384" s="1"/>
      <c r="U1384" s="1"/>
    </row>
    <row r="1385" spans="1:21" ht="17.149999999999999" customHeight="1">
      <c r="A1385" s="1"/>
      <c r="B1385" s="1"/>
      <c r="C1385" s="1"/>
      <c r="D1385" s="1"/>
      <c r="E1385" s="1"/>
      <c r="F1385" s="1"/>
      <c r="G1385" s="1"/>
      <c r="H1385" s="1"/>
      <c r="I1385" s="1"/>
      <c r="J1385" s="1"/>
      <c r="K1385" s="1"/>
      <c r="L1385" s="1"/>
      <c r="M1385" s="1"/>
      <c r="N1385" s="1"/>
      <c r="O1385" s="1"/>
      <c r="P1385" s="1"/>
      <c r="Q1385" s="1"/>
      <c r="R1385" s="1"/>
      <c r="S1385" s="1"/>
      <c r="T1385" s="1"/>
      <c r="U1385" s="1"/>
    </row>
    <row r="1386" spans="1:21" ht="17.149999999999999" customHeight="1">
      <c r="A1386" s="1"/>
      <c r="B1386" s="1"/>
      <c r="C1386" s="1"/>
      <c r="D1386" s="1"/>
      <c r="E1386" s="1"/>
      <c r="F1386" s="1"/>
      <c r="G1386" s="1"/>
      <c r="H1386" s="1"/>
      <c r="I1386" s="1"/>
      <c r="J1386" s="1"/>
      <c r="K1386" s="1"/>
      <c r="L1386" s="1"/>
      <c r="M1386" s="1"/>
      <c r="N1386" s="1"/>
      <c r="O1386" s="1"/>
      <c r="P1386" s="1"/>
      <c r="Q1386" s="1"/>
      <c r="R1386" s="1"/>
      <c r="S1386" s="1"/>
      <c r="T1386" s="1"/>
      <c r="U1386" s="1"/>
    </row>
    <row r="1387" spans="1:21" ht="17.149999999999999" customHeight="1">
      <c r="A1387" s="1"/>
      <c r="B1387" s="1"/>
      <c r="C1387" s="1"/>
      <c r="D1387" s="1"/>
      <c r="E1387" s="1"/>
      <c r="F1387" s="1"/>
      <c r="G1387" s="1"/>
      <c r="H1387" s="1"/>
      <c r="I1387" s="1"/>
      <c r="J1387" s="1"/>
      <c r="K1387" s="1"/>
      <c r="L1387" s="1"/>
      <c r="M1387" s="1"/>
      <c r="N1387" s="1"/>
      <c r="O1387" s="1"/>
      <c r="P1387" s="1"/>
      <c r="Q1387" s="1"/>
      <c r="R1387" s="1"/>
      <c r="S1387" s="1"/>
      <c r="T1387" s="1"/>
      <c r="U1387" s="1"/>
    </row>
    <row r="1388" spans="1:21" ht="17.149999999999999" customHeight="1">
      <c r="A1388" s="1"/>
      <c r="B1388" s="1"/>
      <c r="C1388" s="1"/>
      <c r="D1388" s="1"/>
      <c r="E1388" s="1"/>
      <c r="F1388" s="1"/>
      <c r="G1388" s="1"/>
      <c r="H1388" s="1"/>
      <c r="I1388" s="1"/>
      <c r="J1388" s="1"/>
      <c r="K1388" s="1"/>
      <c r="L1388" s="1"/>
      <c r="M1388" s="1"/>
      <c r="N1388" s="1"/>
      <c r="O1388" s="1"/>
      <c r="P1388" s="1"/>
      <c r="Q1388" s="1"/>
      <c r="R1388" s="1"/>
      <c r="S1388" s="1"/>
      <c r="T1388" s="1"/>
      <c r="U1388" s="1"/>
    </row>
    <row r="1389" spans="1:21" ht="17.149999999999999" customHeight="1">
      <c r="A1389" s="1"/>
      <c r="B1389" s="1"/>
      <c r="C1389" s="1"/>
      <c r="D1389" s="1"/>
      <c r="E1389" s="1"/>
      <c r="F1389" s="1"/>
      <c r="G1389" s="1"/>
      <c r="H1389" s="1"/>
      <c r="I1389" s="1"/>
      <c r="J1389" s="1"/>
      <c r="K1389" s="1"/>
      <c r="L1389" s="1"/>
      <c r="M1389" s="1"/>
      <c r="N1389" s="1"/>
      <c r="O1389" s="1"/>
      <c r="P1389" s="1"/>
      <c r="Q1389" s="1"/>
      <c r="R1389" s="1"/>
      <c r="S1389" s="1"/>
      <c r="T1389" s="1"/>
      <c r="U1389" s="1"/>
    </row>
    <row r="1390" spans="1:21" ht="17.149999999999999" customHeight="1">
      <c r="A1390" s="1"/>
      <c r="B1390" s="1"/>
      <c r="C1390" s="1"/>
      <c r="D1390" s="1"/>
      <c r="E1390" s="1"/>
      <c r="F1390" s="1"/>
      <c r="G1390" s="1"/>
      <c r="H1390" s="1"/>
      <c r="I1390" s="1"/>
      <c r="J1390" s="1"/>
      <c r="K1390" s="1"/>
      <c r="L1390" s="1"/>
      <c r="M1390" s="1"/>
      <c r="N1390" s="1"/>
      <c r="O1390" s="1"/>
      <c r="P1390" s="1"/>
      <c r="Q1390" s="1"/>
      <c r="R1390" s="1"/>
      <c r="S1390" s="1"/>
      <c r="T1390" s="1"/>
      <c r="U1390" s="1"/>
    </row>
    <row r="1391" spans="1:21" ht="17.149999999999999" customHeight="1">
      <c r="A1391" s="1"/>
      <c r="B1391" s="1"/>
      <c r="C1391" s="1"/>
      <c r="D1391" s="1"/>
      <c r="E1391" s="1"/>
      <c r="F1391" s="1"/>
      <c r="G1391" s="1"/>
      <c r="H1391" s="1"/>
      <c r="I1391" s="1"/>
      <c r="J1391" s="1"/>
      <c r="K1391" s="1"/>
      <c r="L1391" s="1"/>
      <c r="M1391" s="1"/>
      <c r="N1391" s="1"/>
      <c r="O1391" s="1"/>
      <c r="P1391" s="1"/>
      <c r="Q1391" s="1"/>
      <c r="R1391" s="1"/>
      <c r="S1391" s="1"/>
      <c r="T1391" s="1"/>
      <c r="U1391" s="1"/>
    </row>
    <row r="1392" spans="1:21" ht="17.149999999999999" customHeight="1">
      <c r="A1392" s="1"/>
      <c r="B1392" s="1"/>
      <c r="C1392" s="1"/>
      <c r="D1392" s="1"/>
      <c r="E1392" s="1"/>
      <c r="F1392" s="1"/>
      <c r="G1392" s="1"/>
      <c r="H1392" s="1"/>
      <c r="I1392" s="1"/>
      <c r="J1392" s="1"/>
      <c r="K1392" s="1"/>
      <c r="L1392" s="1"/>
      <c r="M1392" s="1"/>
      <c r="N1392" s="1"/>
      <c r="O1392" s="1"/>
      <c r="P1392" s="1"/>
      <c r="Q1392" s="1"/>
      <c r="R1392" s="1"/>
      <c r="S1392" s="1"/>
      <c r="T1392" s="1"/>
      <c r="U1392" s="1"/>
    </row>
    <row r="1393" spans="1:21" ht="17.149999999999999" customHeight="1">
      <c r="A1393" s="1"/>
      <c r="B1393" s="1"/>
      <c r="C1393" s="1"/>
      <c r="D1393" s="1"/>
      <c r="E1393" s="1"/>
      <c r="F1393" s="1"/>
      <c r="G1393" s="1"/>
      <c r="H1393" s="1"/>
      <c r="I1393" s="1"/>
      <c r="J1393" s="1"/>
      <c r="K1393" s="1"/>
      <c r="L1393" s="1"/>
      <c r="M1393" s="1"/>
      <c r="N1393" s="1"/>
      <c r="O1393" s="1"/>
      <c r="P1393" s="1"/>
      <c r="Q1393" s="1"/>
      <c r="R1393" s="1"/>
      <c r="S1393" s="1"/>
      <c r="T1393" s="1"/>
      <c r="U1393" s="1"/>
    </row>
    <row r="1394" spans="1:21" ht="17.149999999999999" customHeight="1">
      <c r="A1394" s="1"/>
      <c r="B1394" s="1"/>
      <c r="C1394" s="1"/>
      <c r="D1394" s="1"/>
      <c r="E1394" s="1"/>
      <c r="F1394" s="1"/>
      <c r="G1394" s="1"/>
      <c r="H1394" s="1"/>
      <c r="I1394" s="1"/>
      <c r="J1394" s="1"/>
      <c r="K1394" s="1"/>
      <c r="L1394" s="1"/>
      <c r="M1394" s="1"/>
      <c r="N1394" s="1"/>
      <c r="O1394" s="1"/>
      <c r="P1394" s="1"/>
      <c r="Q1394" s="1"/>
      <c r="R1394" s="1"/>
      <c r="S1394" s="1"/>
      <c r="T1394" s="1"/>
      <c r="U1394" s="1"/>
    </row>
    <row r="1395" spans="1:21" ht="17.149999999999999" customHeight="1">
      <c r="A1395" s="1"/>
      <c r="B1395" s="1"/>
      <c r="C1395" s="1"/>
      <c r="D1395" s="1"/>
      <c r="E1395" s="1"/>
      <c r="F1395" s="1"/>
      <c r="G1395" s="1"/>
      <c r="H1395" s="1"/>
      <c r="I1395" s="1"/>
      <c r="J1395" s="1"/>
      <c r="K1395" s="1"/>
      <c r="L1395" s="1"/>
      <c r="M1395" s="1"/>
      <c r="N1395" s="1"/>
      <c r="O1395" s="1"/>
      <c r="P1395" s="1"/>
      <c r="Q1395" s="1"/>
      <c r="R1395" s="1"/>
      <c r="S1395" s="1"/>
      <c r="T1395" s="1"/>
      <c r="U1395" s="1"/>
    </row>
    <row r="1396" spans="1:21" ht="17.149999999999999" customHeight="1">
      <c r="A1396" s="1"/>
      <c r="B1396" s="1"/>
      <c r="C1396" s="1"/>
      <c r="D1396" s="1"/>
      <c r="E1396" s="1"/>
      <c r="F1396" s="1"/>
      <c r="G1396" s="1"/>
      <c r="H1396" s="1"/>
      <c r="I1396" s="1"/>
      <c r="J1396" s="1"/>
      <c r="K1396" s="1"/>
      <c r="L1396" s="1"/>
      <c r="M1396" s="1"/>
      <c r="N1396" s="1"/>
      <c r="O1396" s="1"/>
      <c r="P1396" s="1"/>
      <c r="Q1396" s="1"/>
      <c r="R1396" s="1"/>
      <c r="S1396" s="1"/>
      <c r="T1396" s="1"/>
      <c r="U1396" s="1"/>
    </row>
    <row r="1397" spans="1:21" ht="17.149999999999999" customHeight="1">
      <c r="A1397" s="1"/>
      <c r="B1397" s="1"/>
      <c r="C1397" s="1"/>
      <c r="D1397" s="1"/>
      <c r="E1397" s="1"/>
      <c r="F1397" s="1"/>
      <c r="G1397" s="1"/>
      <c r="H1397" s="1"/>
      <c r="I1397" s="1"/>
      <c r="J1397" s="1"/>
      <c r="K1397" s="1"/>
      <c r="L1397" s="1"/>
      <c r="M1397" s="1"/>
      <c r="N1397" s="1"/>
      <c r="O1397" s="1"/>
      <c r="P1397" s="1"/>
      <c r="Q1397" s="1"/>
      <c r="R1397" s="1"/>
      <c r="S1397" s="1"/>
      <c r="T1397" s="1"/>
      <c r="U1397" s="1"/>
    </row>
    <row r="1398" spans="1:21" ht="17.149999999999999" customHeight="1">
      <c r="A1398" s="1"/>
      <c r="B1398" s="1"/>
      <c r="C1398" s="1"/>
      <c r="D1398" s="1"/>
      <c r="E1398" s="1"/>
      <c r="F1398" s="1"/>
      <c r="G1398" s="1"/>
      <c r="H1398" s="1"/>
      <c r="I1398" s="1"/>
      <c r="J1398" s="1"/>
      <c r="K1398" s="1"/>
      <c r="L1398" s="1"/>
      <c r="M1398" s="1"/>
      <c r="N1398" s="1"/>
      <c r="O1398" s="1"/>
      <c r="P1398" s="1"/>
      <c r="Q1398" s="1"/>
      <c r="R1398" s="1"/>
      <c r="S1398" s="1"/>
      <c r="T1398" s="1"/>
      <c r="U1398" s="1"/>
    </row>
    <row r="1399" spans="1:21" ht="17.149999999999999" customHeight="1">
      <c r="A1399" s="1"/>
      <c r="B1399" s="1"/>
      <c r="C1399" s="1"/>
      <c r="D1399" s="1"/>
      <c r="E1399" s="1"/>
      <c r="F1399" s="1"/>
      <c r="G1399" s="1"/>
      <c r="H1399" s="1"/>
      <c r="I1399" s="1"/>
      <c r="J1399" s="1"/>
      <c r="K1399" s="1"/>
      <c r="L1399" s="1"/>
      <c r="M1399" s="1"/>
      <c r="N1399" s="1"/>
      <c r="O1399" s="1"/>
      <c r="P1399" s="1"/>
      <c r="Q1399" s="1"/>
      <c r="R1399" s="1"/>
      <c r="S1399" s="1"/>
      <c r="T1399" s="1"/>
      <c r="U1399" s="1"/>
    </row>
    <row r="1400" spans="1:21" ht="17.149999999999999" customHeight="1">
      <c r="A1400" s="1"/>
      <c r="B1400" s="1"/>
      <c r="C1400" s="1"/>
      <c r="D1400" s="1"/>
      <c r="E1400" s="1"/>
      <c r="F1400" s="1"/>
      <c r="G1400" s="1"/>
      <c r="H1400" s="1"/>
      <c r="I1400" s="1"/>
      <c r="J1400" s="1"/>
      <c r="K1400" s="1"/>
      <c r="L1400" s="1"/>
      <c r="M1400" s="1"/>
      <c r="N1400" s="1"/>
      <c r="O1400" s="1"/>
      <c r="P1400" s="1"/>
      <c r="Q1400" s="1"/>
      <c r="R1400" s="1"/>
      <c r="S1400" s="1"/>
      <c r="T1400" s="1"/>
      <c r="U1400" s="1"/>
    </row>
    <row r="1401" spans="1:21" ht="17.149999999999999" customHeight="1">
      <c r="A1401" s="1"/>
      <c r="B1401" s="1"/>
      <c r="C1401" s="1"/>
      <c r="D1401" s="1"/>
      <c r="E1401" s="1"/>
      <c r="F1401" s="1"/>
      <c r="G1401" s="1"/>
      <c r="H1401" s="1"/>
      <c r="I1401" s="1"/>
      <c r="J1401" s="1"/>
      <c r="K1401" s="1"/>
      <c r="L1401" s="1"/>
      <c r="M1401" s="1"/>
      <c r="N1401" s="1"/>
      <c r="O1401" s="1"/>
      <c r="P1401" s="1"/>
      <c r="Q1401" s="1"/>
      <c r="R1401" s="1"/>
      <c r="S1401" s="1"/>
      <c r="T1401" s="1"/>
      <c r="U1401" s="1"/>
    </row>
    <row r="1402" spans="1:21" ht="17.149999999999999" customHeight="1">
      <c r="A1402" s="1"/>
      <c r="B1402" s="1"/>
      <c r="C1402" s="1"/>
      <c r="D1402" s="1"/>
      <c r="E1402" s="1"/>
      <c r="F1402" s="1"/>
      <c r="G1402" s="1"/>
      <c r="H1402" s="1"/>
      <c r="I1402" s="1"/>
      <c r="J1402" s="1"/>
      <c r="K1402" s="1"/>
      <c r="L1402" s="1"/>
      <c r="M1402" s="1"/>
      <c r="N1402" s="1"/>
      <c r="O1402" s="1"/>
      <c r="P1402" s="1"/>
      <c r="Q1402" s="1"/>
      <c r="R1402" s="1"/>
      <c r="S1402" s="1"/>
      <c r="T1402" s="1"/>
      <c r="U1402" s="1"/>
    </row>
    <row r="1403" spans="1:21" ht="17.149999999999999" customHeight="1">
      <c r="A1403" s="1"/>
      <c r="B1403" s="1"/>
      <c r="C1403" s="1"/>
      <c r="D1403" s="1"/>
      <c r="E1403" s="1"/>
      <c r="F1403" s="1"/>
      <c r="G1403" s="1"/>
      <c r="H1403" s="1"/>
      <c r="I1403" s="1"/>
      <c r="J1403" s="1"/>
      <c r="K1403" s="1"/>
      <c r="L1403" s="1"/>
      <c r="M1403" s="1"/>
      <c r="N1403" s="1"/>
      <c r="O1403" s="1"/>
      <c r="P1403" s="1"/>
      <c r="Q1403" s="1"/>
      <c r="R1403" s="1"/>
      <c r="S1403" s="1"/>
      <c r="T1403" s="1"/>
      <c r="U1403" s="1"/>
    </row>
    <row r="1404" spans="1:21" ht="17.149999999999999" customHeight="1">
      <c r="A1404" s="1"/>
      <c r="B1404" s="1"/>
      <c r="C1404" s="1"/>
      <c r="D1404" s="1"/>
      <c r="E1404" s="1"/>
      <c r="F1404" s="1"/>
      <c r="G1404" s="1"/>
      <c r="H1404" s="1"/>
      <c r="I1404" s="1"/>
      <c r="J1404" s="1"/>
      <c r="K1404" s="1"/>
      <c r="L1404" s="1"/>
      <c r="M1404" s="1"/>
      <c r="N1404" s="1"/>
      <c r="O1404" s="1"/>
      <c r="P1404" s="1"/>
      <c r="Q1404" s="1"/>
      <c r="R1404" s="1"/>
      <c r="S1404" s="1"/>
      <c r="T1404" s="1"/>
      <c r="U1404" s="1"/>
    </row>
    <row r="1405" spans="1:21" ht="17.149999999999999" customHeight="1">
      <c r="A1405" s="1"/>
      <c r="B1405" s="1"/>
      <c r="C1405" s="1"/>
      <c r="D1405" s="1"/>
      <c r="E1405" s="1"/>
      <c r="F1405" s="1"/>
      <c r="G1405" s="1"/>
      <c r="H1405" s="1"/>
      <c r="I1405" s="1"/>
      <c r="J1405" s="1"/>
      <c r="K1405" s="1"/>
      <c r="L1405" s="1"/>
      <c r="M1405" s="1"/>
      <c r="N1405" s="1"/>
      <c r="O1405" s="1"/>
      <c r="P1405" s="1"/>
      <c r="Q1405" s="1"/>
      <c r="R1405" s="1"/>
      <c r="S1405" s="1"/>
      <c r="T1405" s="1"/>
      <c r="U1405" s="1"/>
    </row>
    <row r="1406" spans="1:21" ht="17.149999999999999" customHeight="1">
      <c r="A1406" s="1"/>
      <c r="B1406" s="1"/>
      <c r="C1406" s="1"/>
      <c r="D1406" s="1"/>
      <c r="E1406" s="1"/>
      <c r="F1406" s="1"/>
      <c r="G1406" s="1"/>
      <c r="H1406" s="1"/>
      <c r="I1406" s="1"/>
      <c r="J1406" s="1"/>
      <c r="K1406" s="1"/>
      <c r="L1406" s="1"/>
      <c r="M1406" s="1"/>
      <c r="N1406" s="1"/>
      <c r="O1406" s="1"/>
      <c r="P1406" s="1"/>
      <c r="Q1406" s="1"/>
      <c r="R1406" s="1"/>
      <c r="S1406" s="1"/>
      <c r="T1406" s="1"/>
      <c r="U1406" s="1"/>
    </row>
    <row r="1407" spans="1:21" ht="17.149999999999999" customHeight="1">
      <c r="A1407" s="1"/>
      <c r="B1407" s="1"/>
      <c r="C1407" s="1"/>
      <c r="D1407" s="1"/>
      <c r="E1407" s="1"/>
      <c r="F1407" s="1"/>
      <c r="G1407" s="1"/>
      <c r="H1407" s="1"/>
      <c r="I1407" s="1"/>
      <c r="J1407" s="1"/>
      <c r="K1407" s="1"/>
      <c r="L1407" s="1"/>
      <c r="M1407" s="1"/>
      <c r="N1407" s="1"/>
      <c r="O1407" s="1"/>
      <c r="P1407" s="1"/>
      <c r="Q1407" s="1"/>
      <c r="R1407" s="1"/>
      <c r="S1407" s="1"/>
      <c r="T1407" s="1"/>
      <c r="U1407" s="1"/>
    </row>
    <row r="1408" spans="1:21" ht="17.149999999999999" customHeight="1">
      <c r="A1408" s="1"/>
      <c r="B1408" s="1"/>
      <c r="C1408" s="1"/>
      <c r="D1408" s="1"/>
      <c r="E1408" s="1"/>
      <c r="F1408" s="1"/>
      <c r="G1408" s="1"/>
      <c r="H1408" s="1"/>
      <c r="I1408" s="1"/>
      <c r="J1408" s="1"/>
      <c r="K1408" s="1"/>
      <c r="L1408" s="1"/>
      <c r="M1408" s="1"/>
      <c r="N1408" s="1"/>
      <c r="O1408" s="1"/>
      <c r="P1408" s="1"/>
      <c r="Q1408" s="1"/>
      <c r="R1408" s="1"/>
      <c r="S1408" s="1"/>
      <c r="T1408" s="1"/>
      <c r="U1408" s="1"/>
    </row>
    <row r="1409" spans="1:21" ht="17.149999999999999" customHeight="1">
      <c r="A1409" s="1"/>
      <c r="B1409" s="1"/>
      <c r="C1409" s="1"/>
      <c r="D1409" s="1"/>
      <c r="E1409" s="1"/>
      <c r="F1409" s="1"/>
      <c r="G1409" s="1"/>
      <c r="H1409" s="1"/>
      <c r="I1409" s="1"/>
      <c r="J1409" s="1"/>
      <c r="K1409" s="1"/>
      <c r="L1409" s="1"/>
      <c r="M1409" s="1"/>
      <c r="N1409" s="1"/>
      <c r="O1409" s="1"/>
      <c r="P1409" s="1"/>
      <c r="Q1409" s="1"/>
      <c r="R1409" s="1"/>
      <c r="S1409" s="1"/>
      <c r="T1409" s="1"/>
      <c r="U1409" s="1"/>
    </row>
    <row r="1410" spans="1:21" ht="17.149999999999999" customHeight="1">
      <c r="A1410" s="1"/>
      <c r="B1410" s="1"/>
      <c r="C1410" s="1"/>
      <c r="D1410" s="1"/>
      <c r="E1410" s="1"/>
      <c r="F1410" s="1"/>
      <c r="G1410" s="1"/>
      <c r="H1410" s="1"/>
      <c r="I1410" s="1"/>
      <c r="J1410" s="1"/>
      <c r="K1410" s="1"/>
      <c r="L1410" s="1"/>
      <c r="M1410" s="1"/>
      <c r="N1410" s="1"/>
      <c r="O1410" s="1"/>
      <c r="P1410" s="1"/>
      <c r="Q1410" s="1"/>
      <c r="R1410" s="1"/>
      <c r="S1410" s="1"/>
      <c r="T1410" s="1"/>
      <c r="U1410" s="1"/>
    </row>
    <row r="1411" spans="1:21" ht="17.149999999999999" customHeight="1">
      <c r="A1411" s="1"/>
      <c r="B1411" s="1"/>
      <c r="C1411" s="1"/>
      <c r="D1411" s="1"/>
      <c r="E1411" s="1"/>
      <c r="F1411" s="1"/>
      <c r="G1411" s="1"/>
      <c r="H1411" s="1"/>
      <c r="I1411" s="1"/>
      <c r="J1411" s="1"/>
      <c r="K1411" s="1"/>
      <c r="L1411" s="1"/>
      <c r="M1411" s="1"/>
      <c r="N1411" s="1"/>
      <c r="O1411" s="1"/>
      <c r="P1411" s="1"/>
      <c r="Q1411" s="1"/>
      <c r="R1411" s="1"/>
      <c r="S1411" s="1"/>
      <c r="T1411" s="1"/>
      <c r="U1411" s="1"/>
    </row>
    <row r="1412" spans="1:21" ht="17.149999999999999" customHeight="1">
      <c r="A1412" s="1"/>
      <c r="B1412" s="1"/>
      <c r="C1412" s="1"/>
      <c r="D1412" s="1"/>
      <c r="E1412" s="1"/>
      <c r="F1412" s="1"/>
      <c r="G1412" s="1"/>
      <c r="H1412" s="1"/>
      <c r="I1412" s="1"/>
      <c r="J1412" s="1"/>
      <c r="K1412" s="1"/>
      <c r="L1412" s="1"/>
      <c r="M1412" s="1"/>
      <c r="N1412" s="1"/>
      <c r="O1412" s="1"/>
      <c r="P1412" s="1"/>
      <c r="Q1412" s="1"/>
      <c r="R1412" s="1"/>
      <c r="S1412" s="1"/>
      <c r="T1412" s="1"/>
      <c r="U1412" s="1"/>
    </row>
    <row r="1413" spans="1:21" ht="17.149999999999999" customHeight="1">
      <c r="A1413" s="1"/>
      <c r="B1413" s="1"/>
      <c r="C1413" s="1"/>
      <c r="D1413" s="1"/>
      <c r="E1413" s="1"/>
      <c r="F1413" s="1"/>
      <c r="G1413" s="1"/>
      <c r="H1413" s="1"/>
      <c r="I1413" s="1"/>
      <c r="J1413" s="1"/>
      <c r="K1413" s="1"/>
      <c r="L1413" s="1"/>
      <c r="M1413" s="1"/>
      <c r="N1413" s="1"/>
      <c r="O1413" s="1"/>
      <c r="P1413" s="1"/>
      <c r="Q1413" s="1"/>
      <c r="R1413" s="1"/>
      <c r="S1413" s="1"/>
      <c r="T1413" s="1"/>
      <c r="U1413" s="1"/>
    </row>
    <row r="1414" spans="1:21" ht="17.149999999999999" customHeight="1">
      <c r="A1414" s="1"/>
      <c r="B1414" s="1"/>
      <c r="C1414" s="1"/>
      <c r="D1414" s="1"/>
      <c r="E1414" s="1"/>
      <c r="F1414" s="1"/>
      <c r="G1414" s="1"/>
      <c r="H1414" s="1"/>
      <c r="I1414" s="1"/>
      <c r="J1414" s="1"/>
      <c r="K1414" s="1"/>
      <c r="L1414" s="1"/>
      <c r="M1414" s="1"/>
      <c r="N1414" s="1"/>
      <c r="O1414" s="1"/>
      <c r="P1414" s="1"/>
      <c r="Q1414" s="1"/>
      <c r="R1414" s="1"/>
      <c r="S1414" s="1"/>
      <c r="T1414" s="1"/>
      <c r="U1414" s="1"/>
    </row>
    <row r="1415" spans="1:21" ht="17.149999999999999" customHeight="1">
      <c r="A1415" s="1"/>
      <c r="B1415" s="1"/>
      <c r="C1415" s="1"/>
      <c r="D1415" s="1"/>
      <c r="E1415" s="1"/>
      <c r="F1415" s="1"/>
      <c r="G1415" s="1"/>
      <c r="H1415" s="1"/>
      <c r="I1415" s="1"/>
      <c r="J1415" s="1"/>
      <c r="K1415" s="1"/>
      <c r="L1415" s="1"/>
      <c r="M1415" s="1"/>
      <c r="N1415" s="1"/>
      <c r="O1415" s="1"/>
      <c r="P1415" s="1"/>
      <c r="Q1415" s="1"/>
      <c r="R1415" s="1"/>
      <c r="S1415" s="1"/>
      <c r="T1415" s="1"/>
      <c r="U1415" s="1"/>
    </row>
    <row r="1416" spans="1:21" ht="17.149999999999999" customHeight="1">
      <c r="A1416" s="1"/>
      <c r="B1416" s="1"/>
      <c r="C1416" s="1"/>
      <c r="D1416" s="1"/>
      <c r="E1416" s="1"/>
      <c r="F1416" s="1"/>
      <c r="G1416" s="1"/>
      <c r="H1416" s="1"/>
      <c r="I1416" s="1"/>
      <c r="J1416" s="1"/>
      <c r="K1416" s="1"/>
      <c r="L1416" s="1"/>
      <c r="M1416" s="1"/>
      <c r="N1416" s="1"/>
      <c r="O1416" s="1"/>
      <c r="P1416" s="1"/>
      <c r="Q1416" s="1"/>
      <c r="R1416" s="1"/>
      <c r="S1416" s="1"/>
      <c r="T1416" s="1"/>
      <c r="U1416" s="1"/>
    </row>
    <row r="1417" spans="1:21" ht="17.149999999999999" customHeight="1">
      <c r="A1417" s="1"/>
      <c r="B1417" s="1"/>
      <c r="C1417" s="1"/>
      <c r="D1417" s="1"/>
      <c r="E1417" s="1"/>
      <c r="F1417" s="1"/>
      <c r="G1417" s="1"/>
      <c r="H1417" s="1"/>
      <c r="I1417" s="1"/>
      <c r="J1417" s="1"/>
      <c r="K1417" s="1"/>
      <c r="L1417" s="1"/>
      <c r="M1417" s="1"/>
      <c r="N1417" s="1"/>
      <c r="O1417" s="1"/>
      <c r="P1417" s="1"/>
      <c r="Q1417" s="1"/>
      <c r="R1417" s="1"/>
      <c r="S1417" s="1"/>
      <c r="T1417" s="1"/>
      <c r="U1417" s="1"/>
    </row>
    <row r="1418" spans="1:21" ht="17.149999999999999" customHeight="1">
      <c r="A1418" s="1"/>
      <c r="B1418" s="1"/>
      <c r="C1418" s="1"/>
      <c r="D1418" s="1"/>
      <c r="E1418" s="1"/>
      <c r="F1418" s="1"/>
      <c r="G1418" s="1"/>
      <c r="H1418" s="1"/>
      <c r="I1418" s="1"/>
      <c r="J1418" s="1"/>
      <c r="K1418" s="1"/>
      <c r="L1418" s="1"/>
      <c r="M1418" s="1"/>
      <c r="N1418" s="1"/>
      <c r="O1418" s="1"/>
      <c r="P1418" s="1"/>
      <c r="Q1418" s="1"/>
      <c r="R1418" s="1"/>
      <c r="S1418" s="1"/>
      <c r="T1418" s="1"/>
      <c r="U1418" s="1"/>
    </row>
    <row r="1419" spans="1:21" ht="17.149999999999999" customHeight="1">
      <c r="A1419" s="1"/>
      <c r="B1419" s="1"/>
      <c r="C1419" s="1"/>
      <c r="D1419" s="1"/>
      <c r="E1419" s="1"/>
      <c r="F1419" s="1"/>
      <c r="G1419" s="1"/>
      <c r="H1419" s="1"/>
      <c r="I1419" s="1"/>
      <c r="J1419" s="1"/>
      <c r="K1419" s="1"/>
      <c r="L1419" s="1"/>
      <c r="M1419" s="1"/>
      <c r="N1419" s="1"/>
      <c r="O1419" s="1"/>
      <c r="P1419" s="1"/>
      <c r="Q1419" s="1"/>
      <c r="R1419" s="1"/>
      <c r="S1419" s="1"/>
      <c r="T1419" s="1"/>
      <c r="U1419" s="1"/>
    </row>
    <row r="1420" spans="1:21" ht="17.149999999999999" customHeight="1">
      <c r="A1420" s="1"/>
      <c r="B1420" s="1"/>
      <c r="C1420" s="1"/>
      <c r="D1420" s="1"/>
      <c r="E1420" s="1"/>
      <c r="F1420" s="1"/>
      <c r="G1420" s="1"/>
      <c r="H1420" s="1"/>
      <c r="I1420" s="1"/>
      <c r="J1420" s="1"/>
      <c r="K1420" s="1"/>
      <c r="L1420" s="1"/>
      <c r="M1420" s="1"/>
      <c r="N1420" s="1"/>
      <c r="O1420" s="1"/>
      <c r="P1420" s="1"/>
      <c r="Q1420" s="1"/>
      <c r="R1420" s="1"/>
      <c r="S1420" s="1"/>
      <c r="T1420" s="1"/>
      <c r="U1420" s="1"/>
    </row>
    <row r="1421" spans="1:21" ht="17.149999999999999" customHeight="1">
      <c r="A1421" s="1"/>
      <c r="B1421" s="1"/>
      <c r="C1421" s="1"/>
      <c r="D1421" s="1"/>
      <c r="E1421" s="1"/>
      <c r="F1421" s="1"/>
      <c r="G1421" s="1"/>
      <c r="H1421" s="1"/>
      <c r="I1421" s="1"/>
      <c r="J1421" s="1"/>
      <c r="K1421" s="1"/>
      <c r="L1421" s="1"/>
      <c r="M1421" s="1"/>
      <c r="N1421" s="1"/>
      <c r="O1421" s="1"/>
      <c r="P1421" s="1"/>
      <c r="Q1421" s="1"/>
      <c r="R1421" s="1"/>
      <c r="S1421" s="1"/>
      <c r="T1421" s="1"/>
      <c r="U1421" s="1"/>
    </row>
    <row r="1422" spans="1:21" ht="17.149999999999999" customHeight="1">
      <c r="A1422" s="1"/>
      <c r="B1422" s="1"/>
      <c r="C1422" s="1"/>
      <c r="D1422" s="1"/>
      <c r="E1422" s="1"/>
      <c r="F1422" s="1"/>
      <c r="G1422" s="1"/>
      <c r="H1422" s="1"/>
      <c r="I1422" s="1"/>
      <c r="J1422" s="1"/>
      <c r="K1422" s="1"/>
      <c r="L1422" s="1"/>
      <c r="M1422" s="1"/>
      <c r="N1422" s="1"/>
      <c r="O1422" s="1"/>
      <c r="P1422" s="1"/>
      <c r="Q1422" s="1"/>
      <c r="R1422" s="1"/>
      <c r="S1422" s="1"/>
      <c r="T1422" s="1"/>
      <c r="U1422" s="1"/>
    </row>
    <row r="1423" spans="1:21" ht="17.149999999999999" customHeight="1">
      <c r="A1423" s="1"/>
      <c r="B1423" s="1"/>
      <c r="C1423" s="1"/>
      <c r="D1423" s="1"/>
      <c r="E1423" s="1"/>
      <c r="F1423" s="1"/>
      <c r="G1423" s="1"/>
      <c r="H1423" s="1"/>
      <c r="I1423" s="1"/>
      <c r="J1423" s="1"/>
      <c r="K1423" s="1"/>
      <c r="L1423" s="1"/>
      <c r="M1423" s="1"/>
      <c r="N1423" s="1"/>
      <c r="O1423" s="1"/>
      <c r="P1423" s="1"/>
      <c r="Q1423" s="1"/>
      <c r="R1423" s="1"/>
      <c r="S1423" s="1"/>
      <c r="T1423" s="1"/>
      <c r="U1423" s="1"/>
    </row>
    <row r="1424" spans="1:21" ht="17.149999999999999" customHeight="1">
      <c r="A1424" s="1"/>
      <c r="B1424" s="1"/>
      <c r="C1424" s="1"/>
      <c r="D1424" s="1"/>
      <c r="E1424" s="1"/>
      <c r="F1424" s="1"/>
      <c r="G1424" s="1"/>
      <c r="H1424" s="1"/>
      <c r="I1424" s="1"/>
      <c r="J1424" s="1"/>
      <c r="K1424" s="1"/>
      <c r="L1424" s="1"/>
      <c r="M1424" s="1"/>
      <c r="N1424" s="1"/>
      <c r="O1424" s="1"/>
      <c r="P1424" s="1"/>
      <c r="Q1424" s="1"/>
      <c r="R1424" s="1"/>
      <c r="S1424" s="1"/>
      <c r="T1424" s="1"/>
      <c r="U1424" s="1"/>
    </row>
    <row r="1425" spans="1:21" ht="17.149999999999999" customHeight="1">
      <c r="A1425" s="1"/>
      <c r="B1425" s="1"/>
      <c r="C1425" s="1"/>
      <c r="D1425" s="1"/>
      <c r="E1425" s="1"/>
      <c r="F1425" s="1"/>
      <c r="G1425" s="1"/>
      <c r="H1425" s="1"/>
      <c r="I1425" s="1"/>
      <c r="J1425" s="1"/>
      <c r="K1425" s="1"/>
      <c r="L1425" s="1"/>
      <c r="M1425" s="1"/>
      <c r="N1425" s="1"/>
      <c r="O1425" s="1"/>
      <c r="P1425" s="1"/>
      <c r="Q1425" s="1"/>
      <c r="R1425" s="1"/>
      <c r="S1425" s="1"/>
      <c r="T1425" s="1"/>
      <c r="U1425" s="1"/>
    </row>
    <row r="1426" spans="1:21" ht="17.149999999999999" customHeight="1">
      <c r="A1426" s="1"/>
      <c r="B1426" s="1"/>
      <c r="C1426" s="1"/>
      <c r="D1426" s="1"/>
      <c r="E1426" s="1"/>
      <c r="F1426" s="1"/>
      <c r="G1426" s="1"/>
      <c r="H1426" s="1"/>
      <c r="I1426" s="1"/>
      <c r="J1426" s="1"/>
      <c r="K1426" s="1"/>
      <c r="L1426" s="1"/>
      <c r="M1426" s="1"/>
      <c r="N1426" s="1"/>
      <c r="O1426" s="1"/>
      <c r="P1426" s="1"/>
      <c r="Q1426" s="1"/>
      <c r="R1426" s="1"/>
      <c r="S1426" s="1"/>
      <c r="T1426" s="1"/>
      <c r="U1426" s="1"/>
    </row>
    <row r="1427" spans="1:21" ht="17.149999999999999" customHeight="1">
      <c r="A1427" s="1"/>
      <c r="B1427" s="1"/>
      <c r="C1427" s="1"/>
      <c r="D1427" s="1"/>
      <c r="E1427" s="1"/>
      <c r="F1427" s="1"/>
      <c r="G1427" s="1"/>
      <c r="H1427" s="1"/>
      <c r="I1427" s="1"/>
      <c r="J1427" s="1"/>
      <c r="K1427" s="1"/>
      <c r="L1427" s="1"/>
      <c r="M1427" s="1"/>
      <c r="N1427" s="1"/>
      <c r="O1427" s="1"/>
      <c r="P1427" s="1"/>
      <c r="Q1427" s="1"/>
      <c r="R1427" s="1"/>
      <c r="S1427" s="1"/>
      <c r="T1427" s="1"/>
      <c r="U1427" s="1"/>
    </row>
    <row r="1428" spans="1:21" ht="17.149999999999999" customHeight="1">
      <c r="A1428" s="1"/>
      <c r="B1428" s="1"/>
      <c r="C1428" s="1"/>
      <c r="D1428" s="1"/>
      <c r="E1428" s="1"/>
      <c r="F1428" s="1"/>
      <c r="G1428" s="1"/>
      <c r="H1428" s="1"/>
      <c r="I1428" s="1"/>
      <c r="J1428" s="1"/>
      <c r="K1428" s="1"/>
      <c r="L1428" s="1"/>
      <c r="M1428" s="1"/>
      <c r="N1428" s="1"/>
      <c r="O1428" s="1"/>
      <c r="P1428" s="1"/>
      <c r="Q1428" s="1"/>
      <c r="R1428" s="1"/>
      <c r="S1428" s="1"/>
      <c r="T1428" s="1"/>
      <c r="U1428" s="1"/>
    </row>
    <row r="1429" spans="1:21" ht="17.149999999999999" customHeight="1">
      <c r="A1429" s="1"/>
      <c r="B1429" s="1"/>
      <c r="C1429" s="1"/>
      <c r="D1429" s="1"/>
      <c r="E1429" s="1"/>
      <c r="F1429" s="1"/>
      <c r="G1429" s="1"/>
      <c r="H1429" s="1"/>
      <c r="I1429" s="1"/>
      <c r="J1429" s="1"/>
      <c r="K1429" s="1"/>
      <c r="L1429" s="1"/>
      <c r="M1429" s="1"/>
      <c r="N1429" s="1"/>
      <c r="O1429" s="1"/>
      <c r="P1429" s="1"/>
      <c r="Q1429" s="1"/>
      <c r="R1429" s="1"/>
      <c r="S1429" s="1"/>
      <c r="T1429" s="1"/>
      <c r="U1429" s="1"/>
    </row>
    <row r="1430" spans="1:21" ht="17.149999999999999" customHeight="1">
      <c r="A1430" s="1"/>
      <c r="B1430" s="1"/>
      <c r="C1430" s="1"/>
      <c r="D1430" s="1"/>
      <c r="E1430" s="1"/>
      <c r="F1430" s="1"/>
      <c r="G1430" s="1"/>
      <c r="H1430" s="1"/>
      <c r="I1430" s="1"/>
      <c r="J1430" s="1"/>
      <c r="K1430" s="1"/>
      <c r="L1430" s="1"/>
      <c r="M1430" s="1"/>
      <c r="N1430" s="1"/>
      <c r="O1430" s="1"/>
      <c r="P1430" s="1"/>
      <c r="Q1430" s="1"/>
      <c r="R1430" s="1"/>
      <c r="S1430" s="1"/>
      <c r="T1430" s="1"/>
      <c r="U1430" s="1"/>
    </row>
    <row r="1431" spans="1:21" ht="17.149999999999999" customHeight="1">
      <c r="A1431" s="1"/>
      <c r="B1431" s="1"/>
      <c r="C1431" s="1"/>
      <c r="D1431" s="1"/>
      <c r="E1431" s="1"/>
      <c r="F1431" s="1"/>
      <c r="G1431" s="1"/>
      <c r="H1431" s="1"/>
      <c r="I1431" s="1"/>
      <c r="J1431" s="1"/>
      <c r="K1431" s="1"/>
      <c r="L1431" s="1"/>
      <c r="M1431" s="1"/>
      <c r="N1431" s="1"/>
      <c r="O1431" s="1"/>
      <c r="P1431" s="1"/>
      <c r="Q1431" s="1"/>
      <c r="R1431" s="1"/>
      <c r="S1431" s="1"/>
      <c r="T1431" s="1"/>
      <c r="U1431" s="1"/>
    </row>
    <row r="1432" spans="1:21" ht="17.149999999999999" customHeight="1">
      <c r="A1432" s="1"/>
      <c r="B1432" s="1"/>
      <c r="C1432" s="1"/>
      <c r="D1432" s="1"/>
      <c r="E1432" s="1"/>
      <c r="F1432" s="1"/>
      <c r="G1432" s="1"/>
      <c r="H1432" s="1"/>
      <c r="I1432" s="1"/>
      <c r="J1432" s="1"/>
      <c r="K1432" s="1"/>
      <c r="L1432" s="1"/>
      <c r="M1432" s="1"/>
      <c r="N1432" s="1"/>
      <c r="O1432" s="1"/>
      <c r="P1432" s="1"/>
      <c r="Q1432" s="1"/>
      <c r="R1432" s="1"/>
      <c r="S1432" s="1"/>
      <c r="T1432" s="1"/>
      <c r="U1432" s="1"/>
    </row>
    <row r="1433" spans="1:21" ht="17.149999999999999" customHeight="1">
      <c r="A1433" s="1"/>
      <c r="B1433" s="1"/>
      <c r="C1433" s="1"/>
      <c r="D1433" s="1"/>
      <c r="E1433" s="1"/>
      <c r="F1433" s="1"/>
      <c r="G1433" s="1"/>
      <c r="H1433" s="1"/>
      <c r="I1433" s="1"/>
      <c r="J1433" s="1"/>
      <c r="K1433" s="1"/>
      <c r="L1433" s="1"/>
      <c r="M1433" s="1"/>
      <c r="N1433" s="1"/>
      <c r="O1433" s="1"/>
      <c r="P1433" s="1"/>
      <c r="Q1433" s="1"/>
      <c r="R1433" s="1"/>
      <c r="S1433" s="1"/>
      <c r="T1433" s="1"/>
      <c r="U1433" s="1"/>
    </row>
    <row r="1434" spans="1:21" ht="17.149999999999999" customHeight="1">
      <c r="A1434" s="1"/>
      <c r="B1434" s="1"/>
      <c r="C1434" s="1"/>
      <c r="D1434" s="1"/>
      <c r="E1434" s="1"/>
      <c r="F1434" s="1"/>
      <c r="G1434" s="1"/>
      <c r="H1434" s="1"/>
      <c r="I1434" s="1"/>
      <c r="J1434" s="1"/>
      <c r="K1434" s="1"/>
      <c r="L1434" s="1"/>
      <c r="M1434" s="1"/>
      <c r="N1434" s="1"/>
      <c r="O1434" s="1"/>
      <c r="P1434" s="1"/>
      <c r="Q1434" s="1"/>
      <c r="R1434" s="1"/>
      <c r="S1434" s="1"/>
      <c r="T1434" s="1"/>
      <c r="U1434" s="1"/>
    </row>
    <row r="1435" spans="1:21" ht="17.149999999999999" customHeight="1">
      <c r="A1435" s="1"/>
      <c r="B1435" s="1"/>
      <c r="C1435" s="1"/>
      <c r="D1435" s="1"/>
      <c r="E1435" s="1"/>
      <c r="F1435" s="1"/>
      <c r="G1435" s="1"/>
      <c r="H1435" s="1"/>
      <c r="I1435" s="1"/>
      <c r="J1435" s="1"/>
      <c r="K1435" s="1"/>
      <c r="L1435" s="1"/>
      <c r="M1435" s="1"/>
      <c r="N1435" s="1"/>
      <c r="O1435" s="1"/>
      <c r="P1435" s="1"/>
      <c r="Q1435" s="1"/>
      <c r="R1435" s="1"/>
      <c r="S1435" s="1"/>
      <c r="T1435" s="1"/>
      <c r="U1435" s="1"/>
    </row>
    <row r="1436" spans="1:21" ht="17.149999999999999" customHeight="1">
      <c r="A1436" s="1"/>
      <c r="B1436" s="1"/>
      <c r="C1436" s="1"/>
      <c r="D1436" s="1"/>
      <c r="E1436" s="1"/>
      <c r="F1436" s="1"/>
      <c r="G1436" s="1"/>
      <c r="H1436" s="1"/>
      <c r="I1436" s="1"/>
      <c r="J1436" s="1"/>
      <c r="K1436" s="1"/>
      <c r="L1436" s="1"/>
      <c r="M1436" s="1"/>
      <c r="N1436" s="1"/>
      <c r="O1436" s="1"/>
      <c r="P1436" s="1"/>
      <c r="Q1436" s="1"/>
      <c r="R1436" s="1"/>
      <c r="S1436" s="1"/>
      <c r="T1436" s="1"/>
      <c r="U1436" s="1"/>
    </row>
    <row r="1437" spans="1:21" ht="17.149999999999999" customHeight="1">
      <c r="A1437" s="1"/>
      <c r="B1437" s="1"/>
      <c r="C1437" s="1"/>
      <c r="D1437" s="1"/>
      <c r="E1437" s="1"/>
      <c r="F1437" s="1"/>
      <c r="G1437" s="1"/>
      <c r="H1437" s="1"/>
      <c r="I1437" s="1"/>
      <c r="J1437" s="1"/>
      <c r="K1437" s="1"/>
      <c r="L1437" s="1"/>
      <c r="M1437" s="1"/>
      <c r="N1437" s="1"/>
      <c r="O1437" s="1"/>
      <c r="P1437" s="1"/>
      <c r="Q1437" s="1"/>
      <c r="R1437" s="1"/>
      <c r="S1437" s="1"/>
      <c r="T1437" s="1"/>
      <c r="U1437" s="1"/>
    </row>
    <row r="1438" spans="1:21" ht="17.149999999999999" customHeight="1">
      <c r="A1438" s="1"/>
      <c r="B1438" s="1"/>
      <c r="C1438" s="1"/>
      <c r="D1438" s="1"/>
      <c r="E1438" s="1"/>
      <c r="F1438" s="1"/>
      <c r="G1438" s="1"/>
      <c r="H1438" s="1"/>
      <c r="I1438" s="1"/>
      <c r="J1438" s="1"/>
      <c r="K1438" s="1"/>
      <c r="L1438" s="1"/>
      <c r="M1438" s="1"/>
      <c r="N1438" s="1"/>
      <c r="O1438" s="1"/>
      <c r="P1438" s="1"/>
      <c r="Q1438" s="1"/>
      <c r="R1438" s="1"/>
      <c r="S1438" s="1"/>
      <c r="T1438" s="1"/>
      <c r="U1438" s="1"/>
    </row>
    <row r="1439" spans="1:21" ht="17.149999999999999" customHeight="1">
      <c r="A1439" s="1"/>
      <c r="B1439" s="1"/>
      <c r="C1439" s="1"/>
      <c r="D1439" s="1"/>
      <c r="E1439" s="1"/>
      <c r="F1439" s="1"/>
      <c r="G1439" s="1"/>
      <c r="H1439" s="1"/>
      <c r="I1439" s="1"/>
      <c r="J1439" s="1"/>
      <c r="K1439" s="1"/>
      <c r="L1439" s="1"/>
      <c r="M1439" s="1"/>
      <c r="N1439" s="1"/>
      <c r="O1439" s="1"/>
      <c r="P1439" s="1"/>
      <c r="Q1439" s="1"/>
      <c r="R1439" s="1"/>
      <c r="S1439" s="1"/>
      <c r="T1439" s="1"/>
      <c r="U1439" s="1"/>
    </row>
    <row r="1440" spans="1:21" ht="17.149999999999999" customHeight="1">
      <c r="A1440" s="1"/>
      <c r="B1440" s="1"/>
      <c r="C1440" s="1"/>
      <c r="D1440" s="1"/>
      <c r="E1440" s="1"/>
      <c r="F1440" s="1"/>
      <c r="G1440" s="1"/>
      <c r="H1440" s="1"/>
      <c r="I1440" s="1"/>
      <c r="J1440" s="1"/>
      <c r="K1440" s="1"/>
      <c r="L1440" s="1"/>
      <c r="M1440" s="1"/>
      <c r="N1440" s="1"/>
      <c r="O1440" s="1"/>
      <c r="P1440" s="1"/>
      <c r="Q1440" s="1"/>
      <c r="R1440" s="1"/>
      <c r="S1440" s="1"/>
      <c r="T1440" s="1"/>
      <c r="U1440" s="1"/>
    </row>
    <row r="1441" spans="1:21" ht="17.149999999999999" customHeight="1">
      <c r="A1441" s="1"/>
      <c r="B1441" s="1"/>
      <c r="C1441" s="1"/>
      <c r="D1441" s="1"/>
      <c r="E1441" s="1"/>
      <c r="F1441" s="1"/>
      <c r="G1441" s="1"/>
      <c r="H1441" s="1"/>
      <c r="I1441" s="1"/>
      <c r="J1441" s="1"/>
      <c r="K1441" s="1"/>
      <c r="L1441" s="1"/>
      <c r="M1441" s="1"/>
      <c r="N1441" s="1"/>
      <c r="O1441" s="1"/>
      <c r="P1441" s="1"/>
      <c r="Q1441" s="1"/>
      <c r="R1441" s="1"/>
      <c r="S1441" s="1"/>
      <c r="T1441" s="1"/>
      <c r="U1441" s="1"/>
    </row>
    <row r="1442" spans="1:21" ht="17.149999999999999" customHeight="1">
      <c r="A1442" s="1"/>
      <c r="B1442" s="1"/>
      <c r="C1442" s="1"/>
      <c r="D1442" s="1"/>
      <c r="E1442" s="1"/>
      <c r="F1442" s="1"/>
      <c r="G1442" s="1"/>
      <c r="H1442" s="1"/>
      <c r="I1442" s="1"/>
      <c r="J1442" s="1"/>
      <c r="K1442" s="1"/>
      <c r="L1442" s="1"/>
      <c r="M1442" s="1"/>
      <c r="N1442" s="1"/>
      <c r="O1442" s="1"/>
      <c r="P1442" s="1"/>
      <c r="Q1442" s="1"/>
      <c r="R1442" s="1"/>
      <c r="S1442" s="1"/>
      <c r="T1442" s="1"/>
      <c r="U1442" s="1"/>
    </row>
    <row r="1443" spans="1:21" ht="17.149999999999999" customHeight="1">
      <c r="A1443" s="1"/>
      <c r="B1443" s="1"/>
      <c r="C1443" s="1"/>
      <c r="D1443" s="1"/>
      <c r="E1443" s="1"/>
      <c r="F1443" s="1"/>
      <c r="G1443" s="1"/>
      <c r="H1443" s="1"/>
      <c r="I1443" s="1"/>
      <c r="J1443" s="1"/>
      <c r="K1443" s="1"/>
      <c r="L1443" s="1"/>
      <c r="M1443" s="1"/>
      <c r="N1443" s="1"/>
      <c r="O1443" s="1"/>
      <c r="P1443" s="1"/>
      <c r="Q1443" s="1"/>
      <c r="R1443" s="1"/>
      <c r="S1443" s="1"/>
      <c r="T1443" s="1"/>
      <c r="U1443" s="1"/>
    </row>
    <row r="1444" spans="1:21" ht="17.149999999999999" customHeight="1">
      <c r="A1444" s="1"/>
      <c r="B1444" s="1"/>
      <c r="C1444" s="1"/>
      <c r="D1444" s="1"/>
      <c r="E1444" s="1"/>
      <c r="F1444" s="1"/>
      <c r="G1444" s="1"/>
      <c r="H1444" s="1"/>
      <c r="I1444" s="1"/>
      <c r="J1444" s="1"/>
      <c r="K1444" s="1"/>
      <c r="L1444" s="1"/>
      <c r="M1444" s="1"/>
      <c r="N1444" s="1"/>
      <c r="O1444" s="1"/>
      <c r="P1444" s="1"/>
      <c r="Q1444" s="1"/>
      <c r="R1444" s="1"/>
      <c r="S1444" s="1"/>
      <c r="T1444" s="1"/>
      <c r="U1444" s="1"/>
    </row>
    <row r="1445" spans="1:21" ht="17.149999999999999" customHeight="1">
      <c r="A1445" s="1"/>
      <c r="B1445" s="1"/>
      <c r="C1445" s="1"/>
      <c r="D1445" s="1"/>
      <c r="E1445" s="1"/>
      <c r="F1445" s="1"/>
      <c r="G1445" s="1"/>
      <c r="H1445" s="1"/>
      <c r="I1445" s="1"/>
      <c r="J1445" s="1"/>
      <c r="K1445" s="1"/>
      <c r="L1445" s="1"/>
      <c r="M1445" s="1"/>
      <c r="N1445" s="1"/>
      <c r="O1445" s="1"/>
      <c r="P1445" s="1"/>
      <c r="Q1445" s="1"/>
      <c r="R1445" s="1"/>
      <c r="S1445" s="1"/>
      <c r="T1445" s="1"/>
      <c r="U1445" s="1"/>
    </row>
    <row r="1446" spans="1:21" ht="17.149999999999999" customHeight="1">
      <c r="A1446" s="1"/>
      <c r="B1446" s="1"/>
      <c r="C1446" s="1"/>
      <c r="D1446" s="1"/>
      <c r="E1446" s="1"/>
      <c r="F1446" s="1"/>
      <c r="G1446" s="1"/>
      <c r="H1446" s="1"/>
      <c r="I1446" s="1"/>
      <c r="J1446" s="1"/>
      <c r="K1446" s="1"/>
      <c r="L1446" s="1"/>
      <c r="M1446" s="1"/>
      <c r="N1446" s="1"/>
      <c r="O1446" s="1"/>
      <c r="P1446" s="1"/>
      <c r="Q1446" s="1"/>
      <c r="R1446" s="1"/>
      <c r="S1446" s="1"/>
      <c r="T1446" s="1"/>
      <c r="U1446" s="1"/>
    </row>
    <row r="1447" spans="1:21" ht="17.149999999999999" customHeight="1">
      <c r="A1447" s="1"/>
      <c r="B1447" s="1"/>
      <c r="C1447" s="1"/>
      <c r="D1447" s="1"/>
      <c r="E1447" s="1"/>
      <c r="F1447" s="1"/>
      <c r="G1447" s="1"/>
      <c r="H1447" s="1"/>
      <c r="I1447" s="1"/>
      <c r="J1447" s="1"/>
      <c r="K1447" s="1"/>
      <c r="L1447" s="1"/>
      <c r="M1447" s="1"/>
      <c r="N1447" s="1"/>
      <c r="O1447" s="1"/>
      <c r="P1447" s="1"/>
      <c r="Q1447" s="1"/>
      <c r="R1447" s="1"/>
      <c r="S1447" s="1"/>
      <c r="T1447" s="1"/>
      <c r="U1447" s="1"/>
    </row>
    <row r="1448" spans="1:21" ht="17.149999999999999" customHeight="1">
      <c r="A1448" s="1"/>
      <c r="B1448" s="1"/>
      <c r="C1448" s="1"/>
      <c r="D1448" s="1"/>
      <c r="E1448" s="1"/>
      <c r="F1448" s="1"/>
      <c r="G1448" s="1"/>
      <c r="H1448" s="1"/>
      <c r="I1448" s="1"/>
      <c r="J1448" s="1"/>
      <c r="K1448" s="1"/>
      <c r="L1448" s="1"/>
      <c r="M1448" s="1"/>
      <c r="N1448" s="1"/>
      <c r="O1448" s="1"/>
      <c r="P1448" s="1"/>
      <c r="Q1448" s="1"/>
      <c r="R1448" s="1"/>
      <c r="S1448" s="1"/>
      <c r="T1448" s="1"/>
      <c r="U1448" s="1"/>
    </row>
    <row r="1449" spans="1:21" ht="17.149999999999999" customHeight="1">
      <c r="A1449" s="1"/>
      <c r="B1449" s="1"/>
      <c r="C1449" s="1"/>
      <c r="D1449" s="1"/>
      <c r="E1449" s="1"/>
      <c r="F1449" s="1"/>
      <c r="G1449" s="1"/>
      <c r="H1449" s="1"/>
      <c r="I1449" s="1"/>
      <c r="J1449" s="1"/>
      <c r="K1449" s="1"/>
      <c r="L1449" s="1"/>
      <c r="M1449" s="1"/>
      <c r="N1449" s="1"/>
      <c r="O1449" s="1"/>
      <c r="P1449" s="1"/>
      <c r="Q1449" s="1"/>
      <c r="R1449" s="1"/>
      <c r="S1449" s="1"/>
      <c r="T1449" s="1"/>
      <c r="U1449" s="1"/>
    </row>
    <row r="1450" spans="1:21" ht="17.149999999999999" customHeight="1">
      <c r="A1450" s="1"/>
      <c r="B1450" s="1"/>
      <c r="C1450" s="1"/>
      <c r="D1450" s="1"/>
      <c r="E1450" s="1"/>
      <c r="F1450" s="1"/>
      <c r="G1450" s="1"/>
      <c r="H1450" s="1"/>
      <c r="I1450" s="1"/>
      <c r="J1450" s="1"/>
      <c r="K1450" s="1"/>
      <c r="L1450" s="1"/>
      <c r="M1450" s="1"/>
      <c r="N1450" s="1"/>
      <c r="O1450" s="1"/>
      <c r="P1450" s="1"/>
      <c r="Q1450" s="1"/>
      <c r="R1450" s="1"/>
      <c r="S1450" s="1"/>
      <c r="T1450" s="1"/>
      <c r="U1450" s="1"/>
    </row>
    <row r="1451" spans="1:21" ht="17.149999999999999" customHeight="1">
      <c r="A1451" s="1"/>
      <c r="B1451" s="1"/>
      <c r="C1451" s="1"/>
      <c r="D1451" s="1"/>
      <c r="E1451" s="1"/>
      <c r="F1451" s="1"/>
      <c r="G1451" s="1"/>
      <c r="H1451" s="1"/>
      <c r="I1451" s="1"/>
      <c r="J1451" s="1"/>
      <c r="K1451" s="1"/>
      <c r="L1451" s="1"/>
      <c r="M1451" s="1"/>
      <c r="N1451" s="1"/>
      <c r="O1451" s="1"/>
      <c r="P1451" s="1"/>
      <c r="Q1451" s="1"/>
      <c r="R1451" s="1"/>
      <c r="S1451" s="1"/>
      <c r="T1451" s="1"/>
      <c r="U1451" s="1"/>
    </row>
    <row r="1452" spans="1:21" ht="17.149999999999999" customHeight="1">
      <c r="A1452" s="1"/>
      <c r="B1452" s="1"/>
      <c r="C1452" s="1"/>
      <c r="D1452" s="1"/>
      <c r="E1452" s="1"/>
      <c r="F1452" s="1"/>
      <c r="G1452" s="1"/>
      <c r="H1452" s="1"/>
      <c r="I1452" s="1"/>
      <c r="J1452" s="1"/>
      <c r="K1452" s="1"/>
      <c r="L1452" s="1"/>
      <c r="M1452" s="1"/>
      <c r="N1452" s="1"/>
      <c r="O1452" s="1"/>
      <c r="P1452" s="1"/>
      <c r="Q1452" s="1"/>
      <c r="R1452" s="1"/>
      <c r="S1452" s="1"/>
      <c r="T1452" s="1"/>
      <c r="U1452" s="1"/>
    </row>
    <row r="1453" spans="1:21" ht="17.149999999999999" customHeight="1">
      <c r="A1453" s="1"/>
      <c r="B1453" s="1"/>
      <c r="C1453" s="1"/>
      <c r="D1453" s="1"/>
      <c r="E1453" s="1"/>
      <c r="F1453" s="1"/>
      <c r="G1453" s="1"/>
      <c r="H1453" s="1"/>
      <c r="I1453" s="1"/>
      <c r="J1453" s="1"/>
      <c r="K1453" s="1"/>
      <c r="L1453" s="1"/>
      <c r="M1453" s="1"/>
      <c r="N1453" s="1"/>
      <c r="O1453" s="1"/>
      <c r="P1453" s="1"/>
      <c r="Q1453" s="1"/>
      <c r="R1453" s="1"/>
      <c r="S1453" s="1"/>
      <c r="T1453" s="1"/>
      <c r="U1453" s="1"/>
    </row>
    <row r="1454" spans="1:21" ht="17.149999999999999" customHeight="1">
      <c r="A1454" s="1"/>
      <c r="B1454" s="1"/>
      <c r="C1454" s="1"/>
      <c r="D1454" s="1"/>
      <c r="E1454" s="1"/>
      <c r="F1454" s="1"/>
      <c r="G1454" s="1"/>
      <c r="H1454" s="1"/>
      <c r="I1454" s="1"/>
      <c r="J1454" s="1"/>
      <c r="K1454" s="1"/>
      <c r="L1454" s="1"/>
      <c r="M1454" s="1"/>
      <c r="N1454" s="1"/>
      <c r="O1454" s="1"/>
      <c r="P1454" s="1"/>
      <c r="Q1454" s="1"/>
      <c r="R1454" s="1"/>
      <c r="S1454" s="1"/>
      <c r="T1454" s="1"/>
      <c r="U1454" s="1"/>
    </row>
    <row r="1455" spans="1:21" ht="17.149999999999999" customHeight="1">
      <c r="A1455" s="1"/>
      <c r="B1455" s="1"/>
      <c r="C1455" s="1"/>
      <c r="D1455" s="1"/>
      <c r="E1455" s="1"/>
      <c r="F1455" s="1"/>
      <c r="G1455" s="1"/>
      <c r="H1455" s="1"/>
      <c r="I1455" s="1"/>
      <c r="J1455" s="1"/>
      <c r="K1455" s="1"/>
      <c r="L1455" s="1"/>
      <c r="M1455" s="1"/>
      <c r="N1455" s="1"/>
      <c r="O1455" s="1"/>
      <c r="P1455" s="1"/>
      <c r="Q1455" s="1"/>
      <c r="R1455" s="1"/>
      <c r="S1455" s="1"/>
      <c r="T1455" s="1"/>
      <c r="U1455" s="1"/>
    </row>
    <row r="1456" spans="1:21" ht="17.149999999999999" customHeight="1">
      <c r="A1456" s="1"/>
      <c r="B1456" s="1"/>
      <c r="C1456" s="1"/>
      <c r="D1456" s="1"/>
      <c r="E1456" s="1"/>
      <c r="F1456" s="1"/>
      <c r="G1456" s="1"/>
      <c r="H1456" s="1"/>
      <c r="I1456" s="1"/>
      <c r="J1456" s="1"/>
      <c r="K1456" s="1"/>
      <c r="L1456" s="1"/>
      <c r="M1456" s="1"/>
      <c r="N1456" s="1"/>
      <c r="O1456" s="1"/>
      <c r="P1456" s="1"/>
      <c r="Q1456" s="1"/>
      <c r="R1456" s="1"/>
      <c r="S1456" s="1"/>
      <c r="T1456" s="1"/>
      <c r="U1456" s="1"/>
    </row>
    <row r="1457" spans="1:21" ht="17.149999999999999" customHeight="1">
      <c r="A1457" s="1"/>
      <c r="B1457" s="1"/>
      <c r="C1457" s="1"/>
      <c r="D1457" s="1"/>
      <c r="E1457" s="1"/>
      <c r="F1457" s="1"/>
      <c r="G1457" s="1"/>
      <c r="H1457" s="1"/>
      <c r="I1457" s="1"/>
      <c r="J1457" s="1"/>
      <c r="K1457" s="1"/>
      <c r="L1457" s="1"/>
      <c r="M1457" s="1"/>
      <c r="N1457" s="1"/>
      <c r="O1457" s="1"/>
      <c r="P1457" s="1"/>
      <c r="Q1457" s="1"/>
      <c r="R1457" s="1"/>
      <c r="S1457" s="1"/>
      <c r="T1457" s="1"/>
      <c r="U1457" s="1"/>
    </row>
    <row r="1458" spans="1:21" ht="17.149999999999999" customHeight="1">
      <c r="A1458" s="1"/>
      <c r="B1458" s="1"/>
      <c r="C1458" s="1"/>
      <c r="D1458" s="1"/>
      <c r="E1458" s="1"/>
      <c r="F1458" s="1"/>
      <c r="G1458" s="1"/>
      <c r="H1458" s="1"/>
      <c r="I1458" s="1"/>
      <c r="J1458" s="1"/>
      <c r="K1458" s="1"/>
      <c r="L1458" s="1"/>
      <c r="M1458" s="1"/>
      <c r="N1458" s="1"/>
      <c r="O1458" s="1"/>
      <c r="P1458" s="1"/>
      <c r="Q1458" s="1"/>
      <c r="R1458" s="1"/>
      <c r="S1458" s="1"/>
      <c r="T1458" s="1"/>
      <c r="U1458" s="1"/>
    </row>
    <row r="1459" spans="1:21" ht="17.149999999999999" customHeight="1">
      <c r="A1459" s="1"/>
      <c r="B1459" s="1"/>
      <c r="C1459" s="1"/>
      <c r="D1459" s="1"/>
      <c r="E1459" s="1"/>
      <c r="F1459" s="1"/>
      <c r="G1459" s="1"/>
      <c r="H1459" s="1"/>
      <c r="I1459" s="1"/>
      <c r="J1459" s="1"/>
      <c r="K1459" s="1"/>
      <c r="L1459" s="1"/>
      <c r="M1459" s="1"/>
      <c r="N1459" s="1"/>
      <c r="O1459" s="1"/>
      <c r="P1459" s="1"/>
      <c r="Q1459" s="1"/>
      <c r="R1459" s="1"/>
      <c r="S1459" s="1"/>
      <c r="T1459" s="1"/>
      <c r="U1459" s="1"/>
    </row>
    <row r="1460" spans="1:21" ht="17.149999999999999" customHeight="1">
      <c r="A1460" s="1"/>
      <c r="B1460" s="1"/>
      <c r="C1460" s="1"/>
      <c r="D1460" s="1"/>
      <c r="E1460" s="1"/>
      <c r="F1460" s="1"/>
      <c r="G1460" s="1"/>
      <c r="H1460" s="1"/>
      <c r="I1460" s="1"/>
      <c r="J1460" s="1"/>
      <c r="K1460" s="1"/>
      <c r="L1460" s="1"/>
      <c r="M1460" s="1"/>
      <c r="N1460" s="1"/>
      <c r="O1460" s="1"/>
      <c r="P1460" s="1"/>
      <c r="Q1460" s="1"/>
      <c r="R1460" s="1"/>
      <c r="S1460" s="1"/>
      <c r="T1460" s="1"/>
      <c r="U1460" s="1"/>
    </row>
    <row r="1461" spans="1:21" ht="17.149999999999999" customHeight="1">
      <c r="A1461" s="1"/>
      <c r="B1461" s="1"/>
      <c r="C1461" s="1"/>
      <c r="D1461" s="1"/>
      <c r="E1461" s="1"/>
      <c r="F1461" s="1"/>
      <c r="G1461" s="1"/>
      <c r="H1461" s="1"/>
      <c r="I1461" s="1"/>
      <c r="J1461" s="1"/>
      <c r="K1461" s="1"/>
      <c r="L1461" s="1"/>
      <c r="M1461" s="1"/>
      <c r="N1461" s="1"/>
      <c r="O1461" s="1"/>
      <c r="P1461" s="1"/>
      <c r="Q1461" s="1"/>
      <c r="R1461" s="1"/>
      <c r="S1461" s="1"/>
      <c r="T1461" s="1"/>
      <c r="U1461" s="1"/>
    </row>
    <row r="1462" spans="1:21" ht="17.149999999999999" customHeight="1">
      <c r="A1462" s="1"/>
      <c r="B1462" s="1"/>
      <c r="C1462" s="1"/>
      <c r="D1462" s="1"/>
      <c r="E1462" s="1"/>
      <c r="F1462" s="1"/>
      <c r="G1462" s="1"/>
      <c r="H1462" s="1"/>
      <c r="I1462" s="1"/>
      <c r="J1462" s="1"/>
      <c r="K1462" s="1"/>
      <c r="L1462" s="1"/>
      <c r="M1462" s="1"/>
      <c r="N1462" s="1"/>
      <c r="O1462" s="1"/>
      <c r="P1462" s="1"/>
      <c r="Q1462" s="1"/>
      <c r="R1462" s="1"/>
      <c r="S1462" s="1"/>
      <c r="T1462" s="1"/>
      <c r="U1462" s="1"/>
    </row>
    <row r="1463" spans="1:21" ht="17.149999999999999" customHeight="1">
      <c r="A1463" s="1"/>
      <c r="B1463" s="1"/>
      <c r="C1463" s="1"/>
      <c r="D1463" s="1"/>
      <c r="E1463" s="1"/>
      <c r="F1463" s="1"/>
      <c r="G1463" s="1"/>
      <c r="H1463" s="1"/>
      <c r="I1463" s="1"/>
      <c r="J1463" s="1"/>
      <c r="K1463" s="1"/>
      <c r="L1463" s="1"/>
      <c r="M1463" s="1"/>
      <c r="N1463" s="1"/>
      <c r="O1463" s="1"/>
      <c r="P1463" s="1"/>
      <c r="Q1463" s="1"/>
      <c r="R1463" s="1"/>
      <c r="S1463" s="1"/>
      <c r="T1463" s="1"/>
      <c r="U1463" s="1"/>
    </row>
    <row r="1464" spans="1:21" ht="17.149999999999999" customHeight="1">
      <c r="A1464" s="1"/>
      <c r="B1464" s="1"/>
      <c r="C1464" s="1"/>
      <c r="D1464" s="1"/>
      <c r="E1464" s="1"/>
      <c r="F1464" s="1"/>
      <c r="G1464" s="1"/>
      <c r="H1464" s="1"/>
      <c r="I1464" s="1"/>
      <c r="J1464" s="1"/>
      <c r="K1464" s="1"/>
      <c r="L1464" s="1"/>
      <c r="M1464" s="1"/>
      <c r="N1464" s="1"/>
      <c r="O1464" s="1"/>
      <c r="P1464" s="1"/>
      <c r="Q1464" s="1"/>
      <c r="R1464" s="1"/>
      <c r="S1464" s="1"/>
      <c r="T1464" s="1"/>
      <c r="U1464" s="1"/>
    </row>
    <row r="1465" spans="1:21" ht="17.149999999999999" customHeight="1">
      <c r="A1465" s="1"/>
      <c r="B1465" s="1"/>
      <c r="C1465" s="1"/>
      <c r="D1465" s="1"/>
      <c r="E1465" s="1"/>
      <c r="F1465" s="1"/>
      <c r="G1465" s="1"/>
      <c r="H1465" s="1"/>
      <c r="I1465" s="1"/>
      <c r="J1465" s="1"/>
      <c r="K1465" s="1"/>
      <c r="L1465" s="1"/>
      <c r="M1465" s="1"/>
      <c r="N1465" s="1"/>
      <c r="O1465" s="1"/>
      <c r="P1465" s="1"/>
      <c r="Q1465" s="1"/>
      <c r="R1465" s="1"/>
      <c r="S1465" s="1"/>
      <c r="T1465" s="1"/>
      <c r="U1465" s="1"/>
    </row>
    <row r="1466" spans="1:21" ht="17.149999999999999" customHeight="1">
      <c r="A1466" s="1"/>
      <c r="B1466" s="1"/>
      <c r="C1466" s="1"/>
      <c r="D1466" s="1"/>
      <c r="E1466" s="1"/>
      <c r="F1466" s="1"/>
      <c r="G1466" s="1"/>
      <c r="H1466" s="1"/>
      <c r="I1466" s="1"/>
      <c r="J1466" s="1"/>
      <c r="K1466" s="1"/>
      <c r="L1466" s="1"/>
      <c r="M1466" s="1"/>
      <c r="N1466" s="1"/>
      <c r="O1466" s="1"/>
      <c r="P1466" s="1"/>
      <c r="Q1466" s="1"/>
      <c r="R1466" s="1"/>
      <c r="S1466" s="1"/>
      <c r="T1466" s="1"/>
      <c r="U1466" s="1"/>
    </row>
    <row r="1467" spans="1:21" ht="17.149999999999999" customHeight="1">
      <c r="A1467" s="1"/>
      <c r="B1467" s="1"/>
      <c r="C1467" s="1"/>
      <c r="D1467" s="1"/>
      <c r="E1467" s="1"/>
      <c r="F1467" s="1"/>
      <c r="G1467" s="1"/>
      <c r="H1467" s="1"/>
      <c r="I1467" s="1"/>
      <c r="J1467" s="1"/>
      <c r="K1467" s="1"/>
      <c r="L1467" s="1"/>
      <c r="M1467" s="1"/>
      <c r="N1467" s="1"/>
      <c r="O1467" s="1"/>
      <c r="P1467" s="1"/>
      <c r="Q1467" s="1"/>
      <c r="R1467" s="1"/>
      <c r="S1467" s="1"/>
      <c r="T1467" s="1"/>
      <c r="U1467" s="1"/>
    </row>
    <row r="1468" spans="1:21" ht="17.149999999999999" customHeight="1">
      <c r="A1468" s="1"/>
      <c r="B1468" s="1"/>
      <c r="C1468" s="1"/>
      <c r="D1468" s="1"/>
      <c r="E1468" s="1"/>
      <c r="F1468" s="1"/>
      <c r="G1468" s="1"/>
      <c r="H1468" s="1"/>
      <c r="I1468" s="1"/>
      <c r="J1468" s="1"/>
      <c r="K1468" s="1"/>
      <c r="L1468" s="1"/>
      <c r="M1468" s="1"/>
      <c r="N1468" s="1"/>
      <c r="O1468" s="1"/>
      <c r="P1468" s="1"/>
      <c r="Q1468" s="1"/>
      <c r="R1468" s="1"/>
      <c r="S1468" s="1"/>
      <c r="T1468" s="1"/>
      <c r="U1468" s="1"/>
    </row>
    <row r="1469" spans="1:21" ht="17.149999999999999" customHeight="1">
      <c r="A1469" s="1"/>
      <c r="B1469" s="1"/>
      <c r="C1469" s="1"/>
      <c r="D1469" s="1"/>
      <c r="E1469" s="1"/>
      <c r="F1469" s="1"/>
      <c r="G1469" s="1"/>
      <c r="H1469" s="1"/>
      <c r="I1469" s="1"/>
      <c r="J1469" s="1"/>
      <c r="K1469" s="1"/>
      <c r="L1469" s="1"/>
      <c r="M1469" s="1"/>
      <c r="N1469" s="1"/>
      <c r="O1469" s="1"/>
      <c r="P1469" s="1"/>
      <c r="Q1469" s="1"/>
      <c r="R1469" s="1"/>
      <c r="S1469" s="1"/>
      <c r="T1469" s="1"/>
      <c r="U1469" s="1"/>
    </row>
    <row r="1470" spans="1:21" ht="17.149999999999999" customHeight="1">
      <c r="A1470" s="1"/>
      <c r="B1470" s="1"/>
      <c r="C1470" s="1"/>
      <c r="D1470" s="1"/>
      <c r="E1470" s="1"/>
      <c r="F1470" s="1"/>
      <c r="G1470" s="1"/>
      <c r="H1470" s="1"/>
      <c r="I1470" s="1"/>
      <c r="J1470" s="1"/>
      <c r="K1470" s="1"/>
      <c r="L1470" s="1"/>
      <c r="M1470" s="1"/>
      <c r="N1470" s="1"/>
      <c r="O1470" s="1"/>
      <c r="P1470" s="1"/>
      <c r="Q1470" s="1"/>
      <c r="R1470" s="1"/>
      <c r="S1470" s="1"/>
      <c r="T1470" s="1"/>
      <c r="U1470" s="1"/>
    </row>
    <row r="1471" spans="1:21" ht="17.149999999999999" customHeight="1">
      <c r="A1471" s="1"/>
      <c r="B1471" s="1"/>
      <c r="C1471" s="1"/>
      <c r="D1471" s="1"/>
      <c r="E1471" s="1"/>
      <c r="F1471" s="1"/>
      <c r="G1471" s="1"/>
      <c r="H1471" s="1"/>
      <c r="I1471" s="1"/>
      <c r="J1471" s="1"/>
      <c r="K1471" s="1"/>
      <c r="L1471" s="1"/>
      <c r="M1471" s="1"/>
      <c r="N1471" s="1"/>
      <c r="O1471" s="1"/>
      <c r="P1471" s="1"/>
      <c r="Q1471" s="1"/>
      <c r="R1471" s="1"/>
      <c r="S1471" s="1"/>
      <c r="T1471" s="1"/>
      <c r="U1471" s="1"/>
    </row>
    <row r="1472" spans="1:21" ht="17.149999999999999" customHeight="1">
      <c r="A1472" s="1"/>
      <c r="B1472" s="1"/>
      <c r="C1472" s="1"/>
      <c r="D1472" s="1"/>
      <c r="E1472" s="1"/>
      <c r="F1472" s="1"/>
      <c r="G1472" s="1"/>
      <c r="H1472" s="1"/>
      <c r="I1472" s="1"/>
      <c r="J1472" s="1"/>
      <c r="K1472" s="1"/>
      <c r="L1472" s="1"/>
      <c r="M1472" s="1"/>
      <c r="N1472" s="1"/>
      <c r="O1472" s="1"/>
      <c r="P1472" s="1"/>
      <c r="Q1472" s="1"/>
      <c r="R1472" s="1"/>
      <c r="S1472" s="1"/>
      <c r="T1472" s="1"/>
      <c r="U1472" s="1"/>
    </row>
    <row r="1473" spans="1:21" ht="17.149999999999999" customHeight="1">
      <c r="A1473" s="1"/>
      <c r="B1473" s="1"/>
      <c r="C1473" s="1"/>
      <c r="D1473" s="1"/>
      <c r="E1473" s="1"/>
      <c r="F1473" s="1"/>
      <c r="G1473" s="1"/>
      <c r="H1473" s="1"/>
      <c r="I1473" s="1"/>
      <c r="J1473" s="1"/>
      <c r="K1473" s="1"/>
      <c r="L1473" s="1"/>
      <c r="M1473" s="1"/>
      <c r="N1473" s="1"/>
      <c r="O1473" s="1"/>
      <c r="P1473" s="1"/>
      <c r="Q1473" s="1"/>
      <c r="R1473" s="1"/>
      <c r="S1473" s="1"/>
      <c r="T1473" s="1"/>
      <c r="U1473" s="1"/>
    </row>
    <row r="1474" spans="1:21" ht="17.149999999999999" customHeight="1">
      <c r="A1474" s="1"/>
      <c r="B1474" s="1"/>
      <c r="C1474" s="1"/>
      <c r="D1474" s="1"/>
      <c r="E1474" s="1"/>
      <c r="F1474" s="1"/>
      <c r="G1474" s="1"/>
      <c r="H1474" s="1"/>
      <c r="I1474" s="1"/>
      <c r="J1474" s="1"/>
      <c r="K1474" s="1"/>
      <c r="L1474" s="1"/>
      <c r="M1474" s="1"/>
      <c r="N1474" s="1"/>
      <c r="O1474" s="1"/>
      <c r="P1474" s="1"/>
      <c r="Q1474" s="1"/>
      <c r="R1474" s="1"/>
      <c r="S1474" s="1"/>
      <c r="T1474" s="1"/>
      <c r="U1474" s="1"/>
    </row>
    <row r="1475" spans="1:21" ht="17.149999999999999" customHeight="1">
      <c r="A1475" s="1"/>
      <c r="B1475" s="1"/>
      <c r="C1475" s="1"/>
      <c r="D1475" s="1"/>
      <c r="E1475" s="1"/>
      <c r="F1475" s="1"/>
      <c r="G1475" s="1"/>
      <c r="H1475" s="1"/>
      <c r="I1475" s="1"/>
      <c r="J1475" s="1"/>
      <c r="K1475" s="1"/>
      <c r="L1475" s="1"/>
      <c r="M1475" s="1"/>
      <c r="N1475" s="1"/>
      <c r="O1475" s="1"/>
      <c r="P1475" s="1"/>
      <c r="Q1475" s="1"/>
      <c r="R1475" s="1"/>
      <c r="S1475" s="1"/>
      <c r="T1475" s="1"/>
      <c r="U1475" s="1"/>
    </row>
    <row r="1476" spans="1:21" ht="17.149999999999999" customHeight="1">
      <c r="A1476" s="1"/>
      <c r="B1476" s="1"/>
      <c r="C1476" s="1"/>
      <c r="D1476" s="1"/>
      <c r="E1476" s="1"/>
      <c r="F1476" s="1"/>
      <c r="G1476" s="1"/>
      <c r="H1476" s="1"/>
      <c r="I1476" s="1"/>
      <c r="J1476" s="1"/>
      <c r="K1476" s="1"/>
      <c r="L1476" s="1"/>
      <c r="M1476" s="1"/>
      <c r="N1476" s="1"/>
      <c r="O1476" s="1"/>
      <c r="P1476" s="1"/>
      <c r="Q1476" s="1"/>
      <c r="R1476" s="1"/>
      <c r="S1476" s="1"/>
      <c r="T1476" s="1"/>
      <c r="U1476" s="1"/>
    </row>
    <row r="1477" spans="1:21" ht="17.149999999999999" customHeight="1">
      <c r="A1477" s="1"/>
      <c r="B1477" s="1"/>
      <c r="C1477" s="1"/>
      <c r="D1477" s="1"/>
      <c r="E1477" s="1"/>
      <c r="F1477" s="1"/>
      <c r="G1477" s="1"/>
      <c r="H1477" s="1"/>
      <c r="I1477" s="1"/>
      <c r="J1477" s="1"/>
      <c r="K1477" s="1"/>
      <c r="L1477" s="1"/>
      <c r="M1477" s="1"/>
      <c r="N1477" s="1"/>
      <c r="O1477" s="1"/>
      <c r="P1477" s="1"/>
      <c r="Q1477" s="1"/>
      <c r="R1477" s="1"/>
      <c r="S1477" s="1"/>
      <c r="T1477" s="1"/>
      <c r="U1477" s="1"/>
    </row>
    <row r="1478" spans="1:21" ht="17.149999999999999" customHeight="1">
      <c r="A1478" s="1"/>
      <c r="B1478" s="1"/>
      <c r="C1478" s="1"/>
      <c r="D1478" s="1"/>
      <c r="E1478" s="1"/>
      <c r="F1478" s="1"/>
      <c r="G1478" s="1"/>
      <c r="H1478" s="1"/>
      <c r="I1478" s="1"/>
      <c r="J1478" s="1"/>
      <c r="K1478" s="1"/>
      <c r="L1478" s="1"/>
      <c r="M1478" s="1"/>
      <c r="N1478" s="1"/>
      <c r="O1478" s="1"/>
      <c r="P1478" s="1"/>
      <c r="Q1478" s="1"/>
      <c r="R1478" s="1"/>
      <c r="S1478" s="1"/>
      <c r="T1478" s="1"/>
      <c r="U1478" s="1"/>
    </row>
    <row r="1479" spans="1:21" ht="17.149999999999999" customHeight="1">
      <c r="A1479" s="1"/>
      <c r="B1479" s="1"/>
      <c r="C1479" s="1"/>
      <c r="D1479" s="1"/>
      <c r="E1479" s="1"/>
      <c r="F1479" s="1"/>
      <c r="G1479" s="1"/>
      <c r="H1479" s="1"/>
      <c r="I1479" s="1"/>
      <c r="J1479" s="1"/>
      <c r="K1479" s="1"/>
      <c r="L1479" s="1"/>
      <c r="M1479" s="1"/>
      <c r="N1479" s="1"/>
      <c r="O1479" s="1"/>
      <c r="P1479" s="1"/>
      <c r="Q1479" s="1"/>
      <c r="R1479" s="1"/>
      <c r="S1479" s="1"/>
      <c r="T1479" s="1"/>
      <c r="U1479" s="1"/>
    </row>
    <row r="1480" spans="1:21" ht="17.149999999999999" customHeight="1">
      <c r="A1480" s="1"/>
      <c r="B1480" s="1"/>
      <c r="C1480" s="1"/>
      <c r="D1480" s="1"/>
      <c r="E1480" s="1"/>
      <c r="F1480" s="1"/>
      <c r="G1480" s="1"/>
      <c r="H1480" s="1"/>
      <c r="I1480" s="1"/>
      <c r="J1480" s="1"/>
      <c r="K1480" s="1"/>
      <c r="L1480" s="1"/>
      <c r="M1480" s="1"/>
      <c r="N1480" s="1"/>
      <c r="O1480" s="1"/>
      <c r="P1480" s="1"/>
      <c r="Q1480" s="1"/>
      <c r="R1480" s="1"/>
      <c r="S1480" s="1"/>
      <c r="T1480" s="1"/>
      <c r="U1480" s="1"/>
    </row>
    <row r="1481" spans="1:21" ht="17.149999999999999" customHeight="1">
      <c r="A1481" s="1"/>
      <c r="B1481" s="1"/>
      <c r="C1481" s="1"/>
      <c r="D1481" s="1"/>
      <c r="E1481" s="1"/>
      <c r="F1481" s="1"/>
      <c r="G1481" s="1"/>
      <c r="H1481" s="1"/>
      <c r="I1481" s="1"/>
      <c r="J1481" s="1"/>
      <c r="K1481" s="1"/>
      <c r="L1481" s="1"/>
      <c r="M1481" s="1"/>
      <c r="N1481" s="1"/>
      <c r="O1481" s="1"/>
      <c r="P1481" s="1"/>
      <c r="Q1481" s="1"/>
      <c r="R1481" s="1"/>
      <c r="S1481" s="1"/>
      <c r="T1481" s="1"/>
      <c r="U1481" s="1"/>
    </row>
    <row r="1482" spans="1:21" ht="17.149999999999999" customHeight="1">
      <c r="A1482" s="1"/>
      <c r="B1482" s="1"/>
      <c r="C1482" s="1"/>
      <c r="D1482" s="1"/>
      <c r="E1482" s="1"/>
      <c r="F1482" s="1"/>
      <c r="G1482" s="1"/>
      <c r="H1482" s="1"/>
      <c r="I1482" s="1"/>
      <c r="J1482" s="1"/>
      <c r="K1482" s="1"/>
      <c r="L1482" s="1"/>
      <c r="M1482" s="1"/>
      <c r="N1482" s="1"/>
      <c r="O1482" s="1"/>
      <c r="P1482" s="1"/>
      <c r="Q1482" s="1"/>
      <c r="R1482" s="1"/>
      <c r="S1482" s="1"/>
      <c r="T1482" s="1"/>
      <c r="U1482" s="1"/>
    </row>
    <row r="1483" spans="1:21" ht="17.149999999999999" customHeight="1">
      <c r="A1483" s="1"/>
      <c r="B1483" s="1"/>
      <c r="C1483" s="1"/>
      <c r="D1483" s="1"/>
      <c r="E1483" s="1"/>
      <c r="F1483" s="1"/>
      <c r="G1483" s="1"/>
      <c r="H1483" s="1"/>
      <c r="I1483" s="1"/>
      <c r="J1483" s="1"/>
      <c r="K1483" s="1"/>
      <c r="L1483" s="1"/>
      <c r="M1483" s="1"/>
      <c r="N1483" s="1"/>
      <c r="O1483" s="1"/>
      <c r="P1483" s="1"/>
      <c r="Q1483" s="1"/>
      <c r="R1483" s="1"/>
      <c r="S1483" s="1"/>
      <c r="T1483" s="1"/>
      <c r="U1483" s="1"/>
    </row>
    <row r="1484" spans="1:21" ht="17.149999999999999" customHeight="1">
      <c r="A1484" s="1"/>
      <c r="B1484" s="1"/>
      <c r="C1484" s="1"/>
      <c r="D1484" s="1"/>
      <c r="E1484" s="1"/>
      <c r="F1484" s="1"/>
      <c r="G1484" s="1"/>
      <c r="H1484" s="1"/>
      <c r="I1484" s="1"/>
      <c r="J1484" s="1"/>
      <c r="K1484" s="1"/>
      <c r="L1484" s="1"/>
      <c r="M1484" s="1"/>
      <c r="N1484" s="1"/>
      <c r="O1484" s="1"/>
      <c r="P1484" s="1"/>
      <c r="Q1484" s="1"/>
      <c r="R1484" s="1"/>
      <c r="S1484" s="1"/>
      <c r="T1484" s="1"/>
      <c r="U1484" s="1"/>
    </row>
    <row r="1485" spans="1:21" ht="17.149999999999999" customHeight="1">
      <c r="A1485" s="1"/>
      <c r="B1485" s="1"/>
      <c r="C1485" s="1"/>
      <c r="D1485" s="1"/>
      <c r="E1485" s="1"/>
      <c r="F1485" s="1"/>
      <c r="G1485" s="1"/>
      <c r="H1485" s="1"/>
      <c r="I1485" s="1"/>
      <c r="J1485" s="1"/>
      <c r="K1485" s="1"/>
      <c r="L1485" s="1"/>
      <c r="M1485" s="1"/>
      <c r="N1485" s="1"/>
      <c r="O1485" s="1"/>
      <c r="P1485" s="1"/>
      <c r="Q1485" s="1"/>
      <c r="R1485" s="1"/>
      <c r="S1485" s="1"/>
      <c r="T1485" s="1"/>
      <c r="U1485" s="1"/>
    </row>
    <row r="1486" spans="1:21" ht="17.149999999999999" customHeight="1">
      <c r="A1486" s="1"/>
      <c r="B1486" s="1"/>
      <c r="C1486" s="1"/>
      <c r="D1486" s="1"/>
      <c r="E1486" s="1"/>
      <c r="F1486" s="1"/>
      <c r="G1486" s="1"/>
      <c r="H1486" s="1"/>
      <c r="I1486" s="1"/>
      <c r="J1486" s="1"/>
      <c r="K1486" s="1"/>
      <c r="L1486" s="1"/>
      <c r="M1486" s="1"/>
      <c r="N1486" s="1"/>
      <c r="O1486" s="1"/>
      <c r="P1486" s="1"/>
      <c r="Q1486" s="1"/>
      <c r="R1486" s="1"/>
      <c r="S1486" s="1"/>
      <c r="T1486" s="1"/>
      <c r="U1486" s="1"/>
    </row>
    <row r="1487" spans="1:21" ht="17.149999999999999" customHeight="1">
      <c r="A1487" s="1"/>
      <c r="B1487" s="1"/>
      <c r="C1487" s="1"/>
      <c r="D1487" s="1"/>
      <c r="E1487" s="1"/>
      <c r="F1487" s="1"/>
      <c r="G1487" s="1"/>
      <c r="H1487" s="1"/>
      <c r="I1487" s="1"/>
      <c r="J1487" s="1"/>
      <c r="K1487" s="1"/>
      <c r="L1487" s="1"/>
      <c r="M1487" s="1"/>
      <c r="N1487" s="1"/>
      <c r="O1487" s="1"/>
      <c r="P1487" s="1"/>
      <c r="Q1487" s="1"/>
      <c r="R1487" s="1"/>
      <c r="S1487" s="1"/>
      <c r="T1487" s="1"/>
      <c r="U1487" s="1"/>
    </row>
    <row r="1488" spans="1:21" ht="17.149999999999999" customHeight="1">
      <c r="A1488" s="1"/>
      <c r="B1488" s="1"/>
      <c r="C1488" s="1"/>
      <c r="D1488" s="1"/>
      <c r="E1488" s="1"/>
      <c r="F1488" s="1"/>
      <c r="G1488" s="1"/>
      <c r="H1488" s="1"/>
      <c r="I1488" s="1"/>
      <c r="J1488" s="1"/>
      <c r="K1488" s="1"/>
      <c r="L1488" s="1"/>
      <c r="M1488" s="1"/>
      <c r="N1488" s="1"/>
      <c r="O1488" s="1"/>
      <c r="P1488" s="1"/>
      <c r="Q1488" s="1"/>
      <c r="R1488" s="1"/>
      <c r="S1488" s="1"/>
      <c r="T1488" s="1"/>
      <c r="U1488" s="1"/>
    </row>
    <row r="1489" spans="1:21" ht="17.149999999999999" customHeight="1">
      <c r="A1489" s="1"/>
      <c r="B1489" s="1"/>
      <c r="C1489" s="1"/>
      <c r="D1489" s="1"/>
      <c r="E1489" s="1"/>
      <c r="F1489" s="1"/>
      <c r="G1489" s="1"/>
      <c r="H1489" s="1"/>
      <c r="I1489" s="1"/>
      <c r="J1489" s="1"/>
      <c r="K1489" s="1"/>
      <c r="L1489" s="1"/>
      <c r="M1489" s="1"/>
      <c r="N1489" s="1"/>
      <c r="O1489" s="1"/>
      <c r="P1489" s="1"/>
      <c r="Q1489" s="1"/>
      <c r="R1489" s="1"/>
      <c r="S1489" s="1"/>
      <c r="T1489" s="1"/>
      <c r="U1489" s="1"/>
    </row>
    <row r="1490" spans="1:21" ht="17.149999999999999" customHeight="1">
      <c r="A1490" s="1"/>
      <c r="B1490" s="1"/>
      <c r="C1490" s="1"/>
      <c r="D1490" s="1"/>
      <c r="E1490" s="1"/>
      <c r="F1490" s="1"/>
      <c r="G1490" s="1"/>
      <c r="H1490" s="1"/>
      <c r="I1490" s="1"/>
      <c r="J1490" s="1"/>
      <c r="K1490" s="1"/>
      <c r="L1490" s="1"/>
      <c r="M1490" s="1"/>
      <c r="N1490" s="1"/>
      <c r="O1490" s="1"/>
      <c r="P1490" s="1"/>
      <c r="Q1490" s="1"/>
      <c r="R1490" s="1"/>
      <c r="S1490" s="1"/>
      <c r="T1490" s="1"/>
      <c r="U1490" s="1"/>
    </row>
    <row r="1491" spans="1:21" ht="17.149999999999999" customHeight="1">
      <c r="A1491" s="1"/>
      <c r="B1491" s="1"/>
      <c r="C1491" s="1"/>
      <c r="D1491" s="1"/>
      <c r="E1491" s="1"/>
      <c r="F1491" s="1"/>
      <c r="G1491" s="1"/>
      <c r="H1491" s="1"/>
      <c r="I1491" s="1"/>
      <c r="J1491" s="1"/>
      <c r="K1491" s="1"/>
      <c r="L1491" s="1"/>
      <c r="M1491" s="1"/>
      <c r="N1491" s="1"/>
      <c r="O1491" s="1"/>
      <c r="P1491" s="1"/>
      <c r="Q1491" s="1"/>
      <c r="R1491" s="1"/>
      <c r="S1491" s="1"/>
      <c r="T1491" s="1"/>
      <c r="U1491" s="1"/>
    </row>
    <row r="1492" spans="1:21" ht="17.149999999999999" customHeight="1">
      <c r="A1492" s="1"/>
      <c r="B1492" s="1"/>
      <c r="C1492" s="1"/>
      <c r="D1492" s="1"/>
      <c r="E1492" s="1"/>
      <c r="F1492" s="1"/>
      <c r="G1492" s="1"/>
      <c r="H1492" s="1"/>
      <c r="I1492" s="1"/>
      <c r="J1492" s="1"/>
      <c r="K1492" s="1"/>
      <c r="L1492" s="1"/>
      <c r="M1492" s="1"/>
      <c r="N1492" s="1"/>
      <c r="O1492" s="1"/>
      <c r="P1492" s="1"/>
      <c r="Q1492" s="1"/>
      <c r="R1492" s="1"/>
      <c r="S1492" s="1"/>
      <c r="T1492" s="1"/>
      <c r="U1492" s="1"/>
    </row>
    <row r="1493" spans="1:21" ht="17.149999999999999" customHeight="1">
      <c r="A1493" s="1"/>
      <c r="B1493" s="1"/>
      <c r="C1493" s="1"/>
      <c r="D1493" s="1"/>
      <c r="E1493" s="1"/>
      <c r="F1493" s="1"/>
      <c r="G1493" s="1"/>
      <c r="H1493" s="1"/>
      <c r="I1493" s="1"/>
      <c r="J1493" s="1"/>
      <c r="K1493" s="1"/>
      <c r="L1493" s="1"/>
      <c r="M1493" s="1"/>
      <c r="N1493" s="1"/>
      <c r="O1493" s="1"/>
      <c r="P1493" s="1"/>
      <c r="Q1493" s="1"/>
      <c r="R1493" s="1"/>
      <c r="S1493" s="1"/>
      <c r="T1493" s="1"/>
      <c r="U1493" s="1"/>
    </row>
    <row r="1494" spans="1:21" ht="17.149999999999999" customHeight="1">
      <c r="A1494" s="1"/>
      <c r="B1494" s="1"/>
      <c r="C1494" s="1"/>
      <c r="D1494" s="1"/>
      <c r="E1494" s="1"/>
      <c r="F1494" s="1"/>
      <c r="G1494" s="1"/>
      <c r="H1494" s="1"/>
      <c r="I1494" s="1"/>
      <c r="J1494" s="1"/>
      <c r="K1494" s="1"/>
      <c r="L1494" s="1"/>
      <c r="M1494" s="1"/>
      <c r="N1494" s="1"/>
      <c r="O1494" s="1"/>
      <c r="P1494" s="1"/>
      <c r="Q1494" s="1"/>
      <c r="R1494" s="1"/>
      <c r="S1494" s="1"/>
      <c r="T1494" s="1"/>
      <c r="U1494" s="1"/>
    </row>
    <row r="1495" spans="1:21" ht="17.149999999999999" customHeight="1">
      <c r="A1495" s="1"/>
      <c r="B1495" s="1"/>
      <c r="C1495" s="1"/>
      <c r="D1495" s="1"/>
      <c r="E1495" s="1"/>
      <c r="F1495" s="1"/>
      <c r="G1495" s="1"/>
      <c r="H1495" s="1"/>
      <c r="I1495" s="1"/>
      <c r="J1495" s="1"/>
      <c r="K1495" s="1"/>
      <c r="L1495" s="1"/>
      <c r="M1495" s="1"/>
      <c r="N1495" s="1"/>
      <c r="O1495" s="1"/>
      <c r="P1495" s="1"/>
      <c r="Q1495" s="1"/>
      <c r="R1495" s="1"/>
      <c r="S1495" s="1"/>
      <c r="T1495" s="1"/>
      <c r="U1495" s="1"/>
    </row>
    <row r="1496" spans="1:21" ht="17.149999999999999" customHeight="1">
      <c r="A1496" s="1"/>
      <c r="B1496" s="1"/>
      <c r="C1496" s="1"/>
      <c r="D1496" s="1"/>
      <c r="E1496" s="1"/>
      <c r="F1496" s="1"/>
      <c r="G1496" s="1"/>
      <c r="H1496" s="1"/>
      <c r="I1496" s="1"/>
      <c r="J1496" s="1"/>
      <c r="K1496" s="1"/>
      <c r="L1496" s="1"/>
      <c r="M1496" s="1"/>
      <c r="N1496" s="1"/>
      <c r="O1496" s="1"/>
      <c r="P1496" s="1"/>
      <c r="Q1496" s="1"/>
      <c r="R1496" s="1"/>
      <c r="S1496" s="1"/>
      <c r="T1496" s="1"/>
      <c r="U1496" s="1"/>
    </row>
    <row r="1497" spans="1:21" ht="17.149999999999999" customHeight="1">
      <c r="A1497" s="1"/>
      <c r="B1497" s="1"/>
      <c r="C1497" s="1"/>
      <c r="D1497" s="1"/>
      <c r="E1497" s="1"/>
      <c r="F1497" s="1"/>
      <c r="G1497" s="1"/>
      <c r="H1497" s="1"/>
      <c r="I1497" s="1"/>
      <c r="J1497" s="1"/>
      <c r="K1497" s="1"/>
      <c r="L1497" s="1"/>
      <c r="M1497" s="1"/>
      <c r="N1497" s="1"/>
      <c r="O1497" s="1"/>
      <c r="P1497" s="1"/>
      <c r="Q1497" s="1"/>
      <c r="R1497" s="1"/>
      <c r="S1497" s="1"/>
      <c r="T1497" s="1"/>
      <c r="U1497" s="1"/>
    </row>
    <row r="1498" spans="1:21" ht="17.149999999999999" customHeight="1">
      <c r="A1498" s="1"/>
      <c r="B1498" s="1"/>
      <c r="C1498" s="1"/>
      <c r="D1498" s="1"/>
      <c r="E1498" s="1"/>
      <c r="F1498" s="1"/>
      <c r="G1498" s="1"/>
      <c r="H1498" s="1"/>
      <c r="I1498" s="1"/>
      <c r="J1498" s="1"/>
      <c r="K1498" s="1"/>
      <c r="L1498" s="1"/>
      <c r="M1498" s="1"/>
      <c r="N1498" s="1"/>
      <c r="O1498" s="1"/>
      <c r="P1498" s="1"/>
      <c r="Q1498" s="1"/>
      <c r="R1498" s="1"/>
      <c r="S1498" s="1"/>
      <c r="T1498" s="1"/>
      <c r="U1498" s="1"/>
    </row>
    <row r="1499" spans="1:21" ht="17.149999999999999" customHeight="1">
      <c r="A1499" s="1"/>
      <c r="B1499" s="1"/>
      <c r="C1499" s="1"/>
      <c r="D1499" s="1"/>
      <c r="E1499" s="1"/>
      <c r="F1499" s="1"/>
      <c r="G1499" s="1"/>
      <c r="H1499" s="1"/>
      <c r="I1499" s="1"/>
      <c r="J1499" s="1"/>
      <c r="K1499" s="1"/>
      <c r="L1499" s="1"/>
      <c r="M1499" s="1"/>
      <c r="N1499" s="1"/>
      <c r="O1499" s="1"/>
      <c r="P1499" s="1"/>
      <c r="Q1499" s="1"/>
      <c r="R1499" s="1"/>
      <c r="S1499" s="1"/>
      <c r="T1499" s="1"/>
      <c r="U1499" s="1"/>
    </row>
    <row r="1500" spans="1:21" ht="17.149999999999999" customHeight="1">
      <c r="A1500" s="1"/>
      <c r="B1500" s="1"/>
      <c r="C1500" s="1"/>
      <c r="D1500" s="1"/>
      <c r="E1500" s="1"/>
      <c r="F1500" s="1"/>
      <c r="G1500" s="1"/>
      <c r="H1500" s="1"/>
      <c r="I1500" s="1"/>
      <c r="J1500" s="1"/>
      <c r="K1500" s="1"/>
      <c r="L1500" s="1"/>
      <c r="M1500" s="1"/>
      <c r="N1500" s="1"/>
      <c r="O1500" s="1"/>
      <c r="P1500" s="1"/>
      <c r="Q1500" s="1"/>
      <c r="R1500" s="1"/>
      <c r="S1500" s="1"/>
      <c r="T1500" s="1"/>
      <c r="U1500" s="1"/>
    </row>
    <row r="1501" spans="1:21" ht="17.149999999999999" customHeight="1">
      <c r="A1501" s="1"/>
      <c r="B1501" s="1"/>
      <c r="C1501" s="1"/>
      <c r="D1501" s="1"/>
      <c r="E1501" s="1"/>
      <c r="F1501" s="1"/>
      <c r="G1501" s="1"/>
      <c r="H1501" s="1"/>
      <c r="I1501" s="1"/>
      <c r="J1501" s="1"/>
      <c r="K1501" s="1"/>
      <c r="L1501" s="1"/>
      <c r="M1501" s="1"/>
      <c r="N1501" s="1"/>
      <c r="O1501" s="1"/>
      <c r="P1501" s="1"/>
      <c r="Q1501" s="1"/>
      <c r="R1501" s="1"/>
      <c r="S1501" s="1"/>
      <c r="T1501" s="1"/>
      <c r="U1501" s="1"/>
    </row>
    <row r="1502" spans="1:21" ht="17.149999999999999" customHeight="1">
      <c r="A1502" s="1"/>
      <c r="B1502" s="1"/>
      <c r="C1502" s="1"/>
      <c r="D1502" s="1"/>
      <c r="E1502" s="1"/>
      <c r="F1502" s="1"/>
      <c r="G1502" s="1"/>
      <c r="H1502" s="1"/>
      <c r="I1502" s="1"/>
      <c r="J1502" s="1"/>
      <c r="K1502" s="1"/>
      <c r="L1502" s="1"/>
      <c r="M1502" s="1"/>
      <c r="N1502" s="1"/>
      <c r="O1502" s="1"/>
      <c r="P1502" s="1"/>
      <c r="Q1502" s="1"/>
      <c r="R1502" s="1"/>
      <c r="S1502" s="1"/>
      <c r="T1502" s="1"/>
      <c r="U1502" s="1"/>
    </row>
    <row r="1503" spans="1:21" ht="17.149999999999999" customHeight="1">
      <c r="A1503" s="1"/>
      <c r="B1503" s="1"/>
      <c r="C1503" s="1"/>
      <c r="D1503" s="1"/>
      <c r="E1503" s="1"/>
      <c r="F1503" s="1"/>
      <c r="G1503" s="1"/>
      <c r="H1503" s="1"/>
      <c r="I1503" s="1"/>
      <c r="J1503" s="1"/>
      <c r="K1503" s="1"/>
      <c r="L1503" s="1"/>
      <c r="M1503" s="1"/>
      <c r="N1503" s="1"/>
      <c r="O1503" s="1"/>
      <c r="P1503" s="1"/>
      <c r="Q1503" s="1"/>
      <c r="R1503" s="1"/>
      <c r="S1503" s="1"/>
      <c r="T1503" s="1"/>
      <c r="U1503" s="1"/>
    </row>
    <row r="1504" spans="1:21" ht="17.149999999999999" customHeight="1">
      <c r="A1504" s="1"/>
      <c r="B1504" s="1"/>
      <c r="C1504" s="1"/>
      <c r="D1504" s="1"/>
      <c r="E1504" s="1"/>
      <c r="F1504" s="1"/>
      <c r="G1504" s="1"/>
      <c r="H1504" s="1"/>
      <c r="I1504" s="1"/>
      <c r="J1504" s="1"/>
      <c r="K1504" s="1"/>
      <c r="L1504" s="1"/>
      <c r="M1504" s="1"/>
      <c r="N1504" s="1"/>
      <c r="O1504" s="1"/>
      <c r="P1504" s="1"/>
      <c r="Q1504" s="1"/>
      <c r="R1504" s="1"/>
      <c r="S1504" s="1"/>
      <c r="T1504" s="1"/>
      <c r="U1504" s="1"/>
    </row>
    <row r="1505" spans="1:21" ht="17.149999999999999" customHeight="1">
      <c r="A1505" s="1"/>
      <c r="B1505" s="1"/>
      <c r="C1505" s="1"/>
      <c r="D1505" s="1"/>
      <c r="E1505" s="1"/>
      <c r="F1505" s="1"/>
      <c r="G1505" s="1"/>
      <c r="H1505" s="1"/>
      <c r="I1505" s="1"/>
      <c r="J1505" s="1"/>
      <c r="K1505" s="1"/>
      <c r="L1505" s="1"/>
      <c r="M1505" s="1"/>
      <c r="N1505" s="1"/>
      <c r="O1505" s="1"/>
      <c r="P1505" s="1"/>
      <c r="Q1505" s="1"/>
      <c r="R1505" s="1"/>
      <c r="S1505" s="1"/>
      <c r="T1505" s="1"/>
      <c r="U1505" s="1"/>
    </row>
    <row r="1506" spans="1:21" ht="17.149999999999999" customHeight="1">
      <c r="A1506" s="1"/>
      <c r="B1506" s="1"/>
      <c r="C1506" s="1"/>
      <c r="D1506" s="1"/>
      <c r="E1506" s="1"/>
      <c r="F1506" s="1"/>
      <c r="G1506" s="1"/>
      <c r="H1506" s="1"/>
      <c r="I1506" s="1"/>
      <c r="J1506" s="1"/>
      <c r="K1506" s="1"/>
      <c r="L1506" s="1"/>
      <c r="M1506" s="1"/>
      <c r="N1506" s="1"/>
      <c r="O1506" s="1"/>
      <c r="P1506" s="1"/>
      <c r="Q1506" s="1"/>
      <c r="R1506" s="1"/>
      <c r="S1506" s="1"/>
      <c r="T1506" s="1"/>
      <c r="U1506" s="1"/>
    </row>
    <row r="1507" spans="1:21" ht="17.149999999999999" customHeight="1">
      <c r="A1507" s="1"/>
      <c r="B1507" s="1"/>
      <c r="C1507" s="1"/>
      <c r="D1507" s="1"/>
      <c r="E1507" s="1"/>
      <c r="F1507" s="1"/>
      <c r="G1507" s="1"/>
      <c r="H1507" s="1"/>
      <c r="I1507" s="1"/>
      <c r="J1507" s="1"/>
      <c r="K1507" s="1"/>
      <c r="L1507" s="1"/>
      <c r="M1507" s="1"/>
      <c r="N1507" s="1"/>
      <c r="O1507" s="1"/>
      <c r="P1507" s="1"/>
      <c r="Q1507" s="1"/>
      <c r="R1507" s="1"/>
      <c r="S1507" s="1"/>
      <c r="T1507" s="1"/>
      <c r="U1507" s="1"/>
    </row>
    <row r="1508" spans="1:21" ht="17.149999999999999" customHeight="1">
      <c r="A1508" s="1"/>
      <c r="B1508" s="1"/>
      <c r="C1508" s="1"/>
      <c r="D1508" s="1"/>
      <c r="E1508" s="1"/>
      <c r="F1508" s="1"/>
      <c r="G1508" s="1"/>
      <c r="H1508" s="1"/>
      <c r="I1508" s="1"/>
      <c r="J1508" s="1"/>
      <c r="K1508" s="1"/>
      <c r="L1508" s="1"/>
      <c r="M1508" s="1"/>
      <c r="N1508" s="1"/>
      <c r="O1508" s="1"/>
      <c r="P1508" s="1"/>
      <c r="Q1508" s="1"/>
      <c r="R1508" s="1"/>
      <c r="S1508" s="1"/>
      <c r="T1508" s="1"/>
      <c r="U1508" s="1"/>
    </row>
    <row r="1509" spans="1:21" ht="17.149999999999999" customHeight="1">
      <c r="A1509" s="1"/>
      <c r="B1509" s="1"/>
      <c r="C1509" s="1"/>
      <c r="D1509" s="1"/>
      <c r="E1509" s="1"/>
      <c r="F1509" s="1"/>
      <c r="G1509" s="1"/>
      <c r="H1509" s="1"/>
      <c r="I1509" s="1"/>
      <c r="J1509" s="1"/>
      <c r="K1509" s="1"/>
      <c r="L1509" s="1"/>
      <c r="M1509" s="1"/>
      <c r="N1509" s="1"/>
      <c r="O1509" s="1"/>
      <c r="P1509" s="1"/>
      <c r="Q1509" s="1"/>
      <c r="R1509" s="1"/>
      <c r="S1509" s="1"/>
      <c r="T1509" s="1"/>
      <c r="U1509" s="1"/>
    </row>
    <row r="1510" spans="1:21" ht="17.149999999999999" customHeight="1">
      <c r="A1510" s="1"/>
      <c r="B1510" s="1"/>
      <c r="C1510" s="1"/>
      <c r="D1510" s="1"/>
      <c r="E1510" s="1"/>
      <c r="F1510" s="1"/>
      <c r="G1510" s="1"/>
      <c r="H1510" s="1"/>
      <c r="I1510" s="1"/>
      <c r="J1510" s="1"/>
      <c r="K1510" s="1"/>
      <c r="L1510" s="1"/>
      <c r="M1510" s="1"/>
      <c r="N1510" s="1"/>
      <c r="O1510" s="1"/>
      <c r="P1510" s="1"/>
      <c r="Q1510" s="1"/>
      <c r="R1510" s="1"/>
      <c r="S1510" s="1"/>
      <c r="T1510" s="1"/>
      <c r="U1510" s="1"/>
    </row>
    <row r="1511" spans="1:21" ht="17.149999999999999" customHeight="1">
      <c r="A1511" s="1"/>
      <c r="B1511" s="1"/>
      <c r="C1511" s="1"/>
      <c r="D1511" s="1"/>
      <c r="E1511" s="1"/>
      <c r="F1511" s="1"/>
      <c r="G1511" s="1"/>
      <c r="H1511" s="1"/>
      <c r="I1511" s="1"/>
      <c r="J1511" s="1"/>
      <c r="K1511" s="1"/>
      <c r="L1511" s="1"/>
      <c r="M1511" s="1"/>
      <c r="N1511" s="1"/>
      <c r="O1511" s="1"/>
      <c r="P1511" s="1"/>
      <c r="Q1511" s="1"/>
      <c r="R1511" s="1"/>
      <c r="S1511" s="1"/>
      <c r="T1511" s="1"/>
      <c r="U1511" s="1"/>
    </row>
    <row r="1512" spans="1:21" ht="17.149999999999999" customHeight="1">
      <c r="A1512" s="1"/>
      <c r="B1512" s="1"/>
      <c r="C1512" s="1"/>
      <c r="D1512" s="1"/>
      <c r="E1512" s="1"/>
      <c r="F1512" s="1"/>
      <c r="G1512" s="1"/>
      <c r="H1512" s="1"/>
      <c r="I1512" s="1"/>
      <c r="J1512" s="1"/>
      <c r="K1512" s="1"/>
      <c r="L1512" s="1"/>
      <c r="M1512" s="1"/>
      <c r="N1512" s="1"/>
      <c r="O1512" s="1"/>
      <c r="P1512" s="1"/>
      <c r="Q1512" s="1"/>
      <c r="R1512" s="1"/>
      <c r="S1512" s="1"/>
      <c r="T1512" s="1"/>
      <c r="U1512" s="1"/>
    </row>
    <row r="1513" spans="1:21" ht="17.149999999999999" customHeight="1">
      <c r="A1513" s="1"/>
      <c r="B1513" s="1"/>
      <c r="C1513" s="1"/>
      <c r="D1513" s="1"/>
      <c r="E1513" s="1"/>
      <c r="F1513" s="1"/>
      <c r="G1513" s="1"/>
      <c r="H1513" s="1"/>
      <c r="I1513" s="1"/>
      <c r="J1513" s="1"/>
      <c r="K1513" s="1"/>
      <c r="L1513" s="1"/>
      <c r="M1513" s="1"/>
      <c r="N1513" s="1"/>
      <c r="O1513" s="1"/>
      <c r="P1513" s="1"/>
      <c r="Q1513" s="1"/>
      <c r="R1513" s="1"/>
      <c r="S1513" s="1"/>
      <c r="T1513" s="1"/>
      <c r="U1513" s="1"/>
    </row>
    <row r="1514" spans="1:21" ht="17.149999999999999" customHeight="1">
      <c r="A1514" s="1"/>
      <c r="B1514" s="1"/>
      <c r="C1514" s="1"/>
      <c r="D1514" s="1"/>
      <c r="E1514" s="1"/>
      <c r="F1514" s="1"/>
      <c r="G1514" s="1"/>
      <c r="H1514" s="1"/>
      <c r="I1514" s="1"/>
      <c r="J1514" s="1"/>
      <c r="K1514" s="1"/>
      <c r="L1514" s="1"/>
      <c r="M1514" s="1"/>
      <c r="N1514" s="1"/>
      <c r="O1514" s="1"/>
      <c r="P1514" s="1"/>
      <c r="Q1514" s="1"/>
      <c r="R1514" s="1"/>
      <c r="S1514" s="1"/>
      <c r="T1514" s="1"/>
      <c r="U1514" s="1"/>
    </row>
    <row r="1515" spans="1:21" ht="17.149999999999999" customHeight="1">
      <c r="A1515" s="1"/>
      <c r="B1515" s="1"/>
      <c r="C1515" s="1"/>
      <c r="D1515" s="1"/>
      <c r="E1515" s="1"/>
      <c r="F1515" s="1"/>
      <c r="G1515" s="1"/>
      <c r="H1515" s="1"/>
      <c r="I1515" s="1"/>
      <c r="J1515" s="1"/>
      <c r="K1515" s="1"/>
      <c r="L1515" s="1"/>
      <c r="M1515" s="1"/>
      <c r="N1515" s="1"/>
      <c r="O1515" s="1"/>
      <c r="P1515" s="1"/>
      <c r="Q1515" s="1"/>
      <c r="R1515" s="1"/>
      <c r="S1515" s="1"/>
      <c r="T1515" s="1"/>
      <c r="U1515" s="1"/>
    </row>
    <row r="1516" spans="1:21" ht="17.149999999999999" customHeight="1">
      <c r="A1516" s="1"/>
      <c r="B1516" s="1"/>
      <c r="C1516" s="1"/>
      <c r="D1516" s="1"/>
      <c r="E1516" s="1"/>
      <c r="F1516" s="1"/>
      <c r="G1516" s="1"/>
      <c r="H1516" s="1"/>
      <c r="I1516" s="1"/>
      <c r="J1516" s="1"/>
      <c r="K1516" s="1"/>
      <c r="L1516" s="1"/>
      <c r="M1516" s="1"/>
      <c r="N1516" s="1"/>
      <c r="O1516" s="1"/>
      <c r="P1516" s="1"/>
      <c r="Q1516" s="1"/>
      <c r="R1516" s="1"/>
      <c r="S1516" s="1"/>
      <c r="T1516" s="1"/>
      <c r="U1516" s="1"/>
    </row>
    <row r="1517" spans="1:21" ht="17.149999999999999" customHeight="1">
      <c r="A1517" s="1"/>
      <c r="B1517" s="1"/>
      <c r="C1517" s="1"/>
      <c r="D1517" s="1"/>
      <c r="E1517" s="1"/>
      <c r="F1517" s="1"/>
      <c r="G1517" s="1"/>
      <c r="H1517" s="1"/>
      <c r="I1517" s="1"/>
      <c r="J1517" s="1"/>
      <c r="K1517" s="1"/>
      <c r="L1517" s="1"/>
      <c r="M1517" s="1"/>
      <c r="N1517" s="1"/>
      <c r="O1517" s="1"/>
      <c r="P1517" s="1"/>
      <c r="Q1517" s="1"/>
      <c r="R1517" s="1"/>
      <c r="S1517" s="1"/>
      <c r="T1517" s="1"/>
      <c r="U1517" s="1"/>
    </row>
    <row r="1518" spans="1:21" ht="17.149999999999999" customHeight="1">
      <c r="A1518" s="1"/>
      <c r="B1518" s="1"/>
      <c r="C1518" s="1"/>
      <c r="D1518" s="1"/>
      <c r="E1518" s="1"/>
      <c r="F1518" s="1"/>
      <c r="G1518" s="1"/>
      <c r="H1518" s="1"/>
      <c r="I1518" s="1"/>
      <c r="J1518" s="1"/>
      <c r="K1518" s="1"/>
      <c r="L1518" s="1"/>
      <c r="M1518" s="1"/>
      <c r="N1518" s="1"/>
      <c r="O1518" s="1"/>
      <c r="P1518" s="1"/>
      <c r="Q1518" s="1"/>
      <c r="R1518" s="1"/>
      <c r="S1518" s="1"/>
      <c r="T1518" s="1"/>
      <c r="U1518" s="1"/>
    </row>
    <row r="1519" spans="1:21" ht="17.149999999999999" customHeight="1">
      <c r="A1519" s="1"/>
      <c r="B1519" s="1"/>
      <c r="C1519" s="1"/>
      <c r="D1519" s="1"/>
      <c r="E1519" s="1"/>
      <c r="F1519" s="1"/>
      <c r="G1519" s="1"/>
      <c r="H1519" s="1"/>
      <c r="I1519" s="1"/>
      <c r="J1519" s="1"/>
      <c r="K1519" s="1"/>
      <c r="L1519" s="1"/>
      <c r="M1519" s="1"/>
      <c r="N1519" s="1"/>
      <c r="O1519" s="1"/>
      <c r="P1519" s="1"/>
      <c r="Q1519" s="1"/>
      <c r="R1519" s="1"/>
      <c r="S1519" s="1"/>
      <c r="T1519" s="1"/>
      <c r="U1519" s="1"/>
    </row>
    <row r="1520" spans="1:21" ht="17.149999999999999" customHeight="1">
      <c r="A1520" s="1"/>
      <c r="B1520" s="1"/>
      <c r="C1520" s="1"/>
      <c r="D1520" s="1"/>
      <c r="E1520" s="1"/>
      <c r="F1520" s="1"/>
      <c r="G1520" s="1"/>
      <c r="H1520" s="1"/>
      <c r="I1520" s="1"/>
      <c r="J1520" s="1"/>
      <c r="K1520" s="1"/>
      <c r="L1520" s="1"/>
      <c r="M1520" s="1"/>
      <c r="N1520" s="1"/>
      <c r="O1520" s="1"/>
      <c r="P1520" s="1"/>
      <c r="Q1520" s="1"/>
      <c r="R1520" s="1"/>
      <c r="S1520" s="1"/>
      <c r="T1520" s="1"/>
      <c r="U1520" s="1"/>
    </row>
    <row r="1521" spans="1:21" ht="17.149999999999999" customHeight="1">
      <c r="A1521" s="1"/>
      <c r="B1521" s="1"/>
      <c r="C1521" s="1"/>
      <c r="D1521" s="1"/>
      <c r="E1521" s="1"/>
      <c r="F1521" s="1"/>
      <c r="G1521" s="1"/>
      <c r="H1521" s="1"/>
      <c r="I1521" s="1"/>
      <c r="J1521" s="1"/>
      <c r="K1521" s="1"/>
      <c r="L1521" s="1"/>
      <c r="M1521" s="1"/>
      <c r="N1521" s="1"/>
      <c r="O1521" s="1"/>
      <c r="P1521" s="1"/>
      <c r="Q1521" s="1"/>
      <c r="R1521" s="1"/>
      <c r="S1521" s="1"/>
      <c r="T1521" s="1"/>
      <c r="U1521" s="1"/>
    </row>
    <row r="1522" spans="1:21" ht="17.149999999999999" customHeight="1">
      <c r="A1522" s="1"/>
      <c r="B1522" s="1"/>
      <c r="C1522" s="1"/>
      <c r="D1522" s="1"/>
      <c r="E1522" s="1"/>
      <c r="F1522" s="1"/>
      <c r="G1522" s="1"/>
      <c r="H1522" s="1"/>
      <c r="I1522" s="1"/>
      <c r="J1522" s="1"/>
      <c r="K1522" s="1"/>
      <c r="L1522" s="1"/>
      <c r="M1522" s="1"/>
      <c r="N1522" s="1"/>
      <c r="O1522" s="1"/>
      <c r="P1522" s="1"/>
      <c r="Q1522" s="1"/>
      <c r="R1522" s="1"/>
      <c r="S1522" s="1"/>
      <c r="T1522" s="1"/>
      <c r="U1522" s="1"/>
    </row>
    <row r="1523" spans="1:21" ht="17.149999999999999" customHeight="1">
      <c r="A1523" s="1"/>
      <c r="B1523" s="1"/>
      <c r="C1523" s="1"/>
      <c r="D1523" s="1"/>
      <c r="E1523" s="1"/>
      <c r="F1523" s="1"/>
      <c r="G1523" s="1"/>
      <c r="H1523" s="1"/>
      <c r="I1523" s="1"/>
      <c r="J1523" s="1"/>
      <c r="K1523" s="1"/>
      <c r="L1523" s="1"/>
      <c r="M1523" s="1"/>
      <c r="N1523" s="1"/>
      <c r="O1523" s="1"/>
      <c r="P1523" s="1"/>
      <c r="Q1523" s="1"/>
      <c r="R1523" s="1"/>
      <c r="S1523" s="1"/>
      <c r="T1523" s="1"/>
      <c r="U1523" s="1"/>
    </row>
    <row r="1524" spans="1:21" ht="17.149999999999999" customHeight="1">
      <c r="A1524" s="1"/>
      <c r="B1524" s="1"/>
      <c r="C1524" s="1"/>
      <c r="D1524" s="1"/>
      <c r="E1524" s="1"/>
      <c r="F1524" s="1"/>
      <c r="G1524" s="1"/>
      <c r="H1524" s="1"/>
      <c r="I1524" s="1"/>
      <c r="J1524" s="1"/>
      <c r="K1524" s="1"/>
      <c r="L1524" s="1"/>
      <c r="M1524" s="1"/>
      <c r="N1524" s="1"/>
      <c r="O1524" s="1"/>
      <c r="P1524" s="1"/>
      <c r="Q1524" s="1"/>
      <c r="R1524" s="1"/>
      <c r="S1524" s="1"/>
      <c r="T1524" s="1"/>
      <c r="U1524" s="1"/>
    </row>
    <row r="1525" spans="1:21" ht="17.149999999999999" customHeight="1">
      <c r="A1525" s="1"/>
      <c r="B1525" s="1"/>
      <c r="C1525" s="1"/>
      <c r="D1525" s="1"/>
      <c r="E1525" s="1"/>
      <c r="F1525" s="1"/>
      <c r="G1525" s="1"/>
      <c r="H1525" s="1"/>
      <c r="I1525" s="1"/>
      <c r="J1525" s="1"/>
      <c r="K1525" s="1"/>
      <c r="L1525" s="1"/>
      <c r="M1525" s="1"/>
      <c r="N1525" s="1"/>
      <c r="O1525" s="1"/>
      <c r="P1525" s="1"/>
      <c r="Q1525" s="1"/>
      <c r="R1525" s="1"/>
      <c r="S1525" s="1"/>
      <c r="T1525" s="1"/>
      <c r="U1525" s="1"/>
    </row>
    <row r="1526" spans="1:21" ht="17.149999999999999" customHeight="1">
      <c r="A1526" s="1"/>
      <c r="B1526" s="1"/>
      <c r="C1526" s="1"/>
      <c r="D1526" s="1"/>
      <c r="E1526" s="1"/>
      <c r="F1526" s="1"/>
      <c r="G1526" s="1"/>
      <c r="H1526" s="1"/>
      <c r="I1526" s="1"/>
      <c r="J1526" s="1"/>
      <c r="K1526" s="1"/>
      <c r="L1526" s="1"/>
      <c r="M1526" s="1"/>
      <c r="N1526" s="1"/>
      <c r="O1526" s="1"/>
      <c r="P1526" s="1"/>
      <c r="Q1526" s="1"/>
      <c r="R1526" s="1"/>
      <c r="S1526" s="1"/>
      <c r="T1526" s="1"/>
      <c r="U1526" s="1"/>
    </row>
    <row r="1527" spans="1:21" ht="17.149999999999999" customHeight="1">
      <c r="A1527" s="1"/>
      <c r="B1527" s="1"/>
      <c r="C1527" s="1"/>
      <c r="D1527" s="1"/>
      <c r="E1527" s="1"/>
      <c r="F1527" s="1"/>
      <c r="G1527" s="1"/>
      <c r="H1527" s="1"/>
      <c r="I1527" s="1"/>
      <c r="J1527" s="1"/>
      <c r="K1527" s="1"/>
      <c r="L1527" s="1"/>
      <c r="M1527" s="1"/>
      <c r="N1527" s="1"/>
      <c r="O1527" s="1"/>
      <c r="P1527" s="1"/>
      <c r="Q1527" s="1"/>
      <c r="R1527" s="1"/>
      <c r="S1527" s="1"/>
      <c r="T1527" s="1"/>
      <c r="U1527" s="1"/>
    </row>
    <row r="1528" spans="1:21" ht="17.149999999999999" customHeight="1">
      <c r="A1528" s="1"/>
      <c r="B1528" s="1"/>
      <c r="C1528" s="1"/>
      <c r="D1528" s="1"/>
      <c r="E1528" s="1"/>
      <c r="F1528" s="1"/>
      <c r="G1528" s="1"/>
      <c r="H1528" s="1"/>
      <c r="I1528" s="1"/>
      <c r="J1528" s="1"/>
      <c r="K1528" s="1"/>
      <c r="L1528" s="1"/>
      <c r="M1528" s="1"/>
      <c r="N1528" s="1"/>
      <c r="O1528" s="1"/>
      <c r="P1528" s="1"/>
      <c r="Q1528" s="1"/>
      <c r="R1528" s="1"/>
      <c r="S1528" s="1"/>
      <c r="T1528" s="1"/>
      <c r="U1528" s="1"/>
    </row>
    <row r="1529" spans="1:21" ht="17.149999999999999" customHeight="1">
      <c r="A1529" s="1"/>
      <c r="B1529" s="1"/>
      <c r="C1529" s="1"/>
      <c r="D1529" s="1"/>
      <c r="E1529" s="1"/>
      <c r="F1529" s="1"/>
      <c r="G1529" s="1"/>
      <c r="H1529" s="1"/>
      <c r="I1529" s="1"/>
      <c r="J1529" s="1"/>
      <c r="K1529" s="1"/>
      <c r="L1529" s="1"/>
      <c r="M1529" s="1"/>
      <c r="N1529" s="1"/>
      <c r="O1529" s="1"/>
      <c r="P1529" s="1"/>
      <c r="Q1529" s="1"/>
      <c r="R1529" s="1"/>
      <c r="S1529" s="1"/>
      <c r="T1529" s="1"/>
      <c r="U1529" s="1"/>
    </row>
    <row r="1530" spans="1:21" ht="17.149999999999999" customHeight="1">
      <c r="A1530" s="1"/>
      <c r="B1530" s="1"/>
      <c r="C1530" s="1"/>
      <c r="D1530" s="1"/>
      <c r="E1530" s="1"/>
      <c r="F1530" s="1"/>
      <c r="G1530" s="1"/>
      <c r="H1530" s="1"/>
      <c r="I1530" s="1"/>
      <c r="J1530" s="1"/>
      <c r="K1530" s="1"/>
      <c r="L1530" s="1"/>
      <c r="M1530" s="1"/>
      <c r="N1530" s="1"/>
      <c r="O1530" s="1"/>
      <c r="P1530" s="1"/>
      <c r="Q1530" s="1"/>
      <c r="R1530" s="1"/>
      <c r="S1530" s="1"/>
      <c r="T1530" s="1"/>
      <c r="U1530" s="1"/>
    </row>
    <row r="1531" spans="1:21" ht="17.149999999999999" customHeight="1">
      <c r="A1531" s="1"/>
      <c r="B1531" s="1"/>
      <c r="C1531" s="1"/>
      <c r="D1531" s="1"/>
      <c r="E1531" s="1"/>
      <c r="F1531" s="1"/>
      <c r="G1531" s="1"/>
      <c r="H1531" s="1"/>
      <c r="I1531" s="1"/>
      <c r="J1531" s="1"/>
      <c r="K1531" s="1"/>
      <c r="L1531" s="1"/>
      <c r="M1531" s="1"/>
      <c r="N1531" s="1"/>
      <c r="O1531" s="1"/>
      <c r="P1531" s="1"/>
      <c r="Q1531" s="1"/>
      <c r="R1531" s="1"/>
      <c r="S1531" s="1"/>
      <c r="T1531" s="1"/>
      <c r="U1531" s="1"/>
    </row>
    <row r="1532" spans="1:21" ht="17.149999999999999" customHeight="1">
      <c r="A1532" s="1"/>
      <c r="B1532" s="1"/>
      <c r="C1532" s="1"/>
      <c r="D1532" s="1"/>
      <c r="E1532" s="1"/>
      <c r="F1532" s="1"/>
      <c r="G1532" s="1"/>
      <c r="H1532" s="1"/>
      <c r="I1532" s="1"/>
      <c r="J1532" s="1"/>
      <c r="K1532" s="1"/>
      <c r="L1532" s="1"/>
      <c r="M1532" s="1"/>
      <c r="N1532" s="1"/>
      <c r="O1532" s="1"/>
      <c r="P1532" s="1"/>
      <c r="Q1532" s="1"/>
      <c r="R1532" s="1"/>
      <c r="S1532" s="1"/>
      <c r="T1532" s="1"/>
      <c r="U1532" s="1"/>
    </row>
    <row r="1533" spans="1:21" ht="17.149999999999999" customHeight="1">
      <c r="A1533" s="1"/>
      <c r="B1533" s="1"/>
      <c r="C1533" s="1"/>
      <c r="D1533" s="1"/>
      <c r="E1533" s="1"/>
      <c r="F1533" s="1"/>
      <c r="G1533" s="1"/>
      <c r="H1533" s="1"/>
      <c r="I1533" s="1"/>
      <c r="J1533" s="1"/>
      <c r="K1533" s="1"/>
      <c r="L1533" s="1"/>
      <c r="M1533" s="1"/>
      <c r="N1533" s="1"/>
      <c r="O1533" s="1"/>
      <c r="P1533" s="1"/>
      <c r="Q1533" s="1"/>
      <c r="R1533" s="1"/>
      <c r="S1533" s="1"/>
      <c r="T1533" s="1"/>
      <c r="U1533" s="1"/>
    </row>
    <row r="1534" spans="1:21" ht="17.149999999999999" customHeight="1">
      <c r="A1534" s="1"/>
      <c r="B1534" s="1"/>
      <c r="C1534" s="1"/>
      <c r="D1534" s="1"/>
      <c r="E1534" s="1"/>
      <c r="F1534" s="1"/>
      <c r="G1534" s="1"/>
      <c r="H1534" s="1"/>
      <c r="I1534" s="1"/>
      <c r="J1534" s="1"/>
      <c r="K1534" s="1"/>
      <c r="L1534" s="1"/>
      <c r="M1534" s="1"/>
      <c r="N1534" s="1"/>
      <c r="O1534" s="1"/>
      <c r="P1534" s="1"/>
      <c r="Q1534" s="1"/>
      <c r="R1534" s="1"/>
      <c r="S1534" s="1"/>
      <c r="T1534" s="1"/>
      <c r="U1534" s="1"/>
    </row>
    <row r="1535" spans="1:21" ht="17.149999999999999" customHeight="1">
      <c r="A1535" s="1"/>
      <c r="B1535" s="1"/>
      <c r="C1535" s="1"/>
      <c r="D1535" s="1"/>
      <c r="E1535" s="1"/>
      <c r="F1535" s="1"/>
      <c r="G1535" s="1"/>
      <c r="H1535" s="1"/>
      <c r="I1535" s="1"/>
      <c r="J1535" s="1"/>
      <c r="K1535" s="1"/>
      <c r="L1535" s="1"/>
      <c r="M1535" s="1"/>
      <c r="N1535" s="1"/>
      <c r="O1535" s="1"/>
      <c r="P1535" s="1"/>
      <c r="Q1535" s="1"/>
      <c r="R1535" s="1"/>
      <c r="S1535" s="1"/>
      <c r="T1535" s="1"/>
      <c r="U1535" s="1"/>
    </row>
    <row r="1536" spans="1:21" ht="17.149999999999999" customHeight="1">
      <c r="A1536" s="1"/>
      <c r="B1536" s="1"/>
      <c r="C1536" s="1"/>
      <c r="D1536" s="1"/>
      <c r="E1536" s="1"/>
      <c r="F1536" s="1"/>
      <c r="G1536" s="1"/>
      <c r="H1536" s="1"/>
      <c r="I1536" s="1"/>
      <c r="J1536" s="1"/>
      <c r="K1536" s="1"/>
      <c r="L1536" s="1"/>
      <c r="M1536" s="1"/>
      <c r="N1536" s="1"/>
      <c r="O1536" s="1"/>
      <c r="P1536" s="1"/>
      <c r="Q1536" s="1"/>
      <c r="R1536" s="1"/>
      <c r="S1536" s="1"/>
      <c r="T1536" s="1"/>
      <c r="U1536" s="1"/>
    </row>
    <row r="1537" spans="1:28" ht="17.149999999999999" customHeight="1">
      <c r="A1537" s="1"/>
      <c r="B1537" s="1"/>
      <c r="C1537" s="1"/>
      <c r="D1537" s="1"/>
      <c r="E1537" s="1"/>
      <c r="F1537" s="1"/>
      <c r="G1537" s="1"/>
      <c r="H1537" s="1"/>
      <c r="I1537" s="1"/>
      <c r="J1537" s="1"/>
      <c r="K1537" s="1"/>
      <c r="L1537" s="1"/>
      <c r="M1537" s="1"/>
      <c r="N1537" s="1"/>
      <c r="O1537" s="1"/>
      <c r="P1537" s="1"/>
      <c r="Q1537" s="1"/>
      <c r="R1537" s="1"/>
      <c r="S1537" s="1"/>
      <c r="T1537" s="1"/>
      <c r="U1537" s="1"/>
    </row>
    <row r="1538" spans="1:28" ht="17.149999999999999" customHeight="1">
      <c r="A1538" s="1"/>
      <c r="B1538" s="1"/>
      <c r="C1538" s="1"/>
      <c r="D1538" s="1"/>
      <c r="E1538" s="1"/>
      <c r="F1538" s="1"/>
      <c r="G1538" s="1"/>
      <c r="H1538" s="1"/>
      <c r="I1538" s="1"/>
      <c r="J1538" s="1"/>
      <c r="K1538" s="1"/>
      <c r="L1538" s="1"/>
      <c r="M1538" s="1"/>
      <c r="N1538" s="1"/>
      <c r="O1538" s="1"/>
      <c r="P1538" s="1"/>
      <c r="Q1538" s="1"/>
      <c r="R1538" s="1"/>
      <c r="S1538" s="1"/>
      <c r="T1538" s="1"/>
      <c r="U1538" s="1"/>
    </row>
    <row r="1539" spans="1:28" ht="17.149999999999999" customHeight="1">
      <c r="A1539" s="1"/>
      <c r="B1539" s="1"/>
      <c r="C1539" s="1"/>
      <c r="D1539" s="1"/>
      <c r="E1539" s="1"/>
      <c r="F1539" s="1"/>
      <c r="G1539" s="1"/>
      <c r="H1539" s="1"/>
      <c r="I1539" s="1"/>
      <c r="J1539" s="1"/>
      <c r="K1539" s="1"/>
      <c r="L1539" s="1"/>
      <c r="M1539" s="1"/>
      <c r="N1539" s="1"/>
      <c r="O1539" s="1"/>
      <c r="P1539" s="1"/>
      <c r="Q1539" s="1"/>
      <c r="R1539" s="1"/>
      <c r="S1539" s="1"/>
      <c r="T1539" s="1"/>
      <c r="U1539" s="1"/>
    </row>
    <row r="1540" spans="1:28" ht="17.149999999999999" customHeight="1">
      <c r="A1540" s="1"/>
      <c r="B1540" s="1"/>
      <c r="C1540" s="1"/>
      <c r="D1540" s="1"/>
      <c r="E1540" s="1"/>
      <c r="F1540" s="1"/>
      <c r="G1540" s="1"/>
      <c r="H1540" s="1"/>
      <c r="I1540" s="1"/>
      <c r="J1540" s="1"/>
      <c r="K1540" s="1"/>
      <c r="L1540" s="1"/>
      <c r="M1540" s="1"/>
      <c r="N1540" s="1"/>
      <c r="O1540" s="1"/>
      <c r="P1540" s="1"/>
      <c r="Q1540" s="1"/>
      <c r="R1540" s="1"/>
      <c r="S1540" s="1"/>
      <c r="T1540" s="1"/>
      <c r="U1540" s="1"/>
    </row>
    <row r="1541" spans="1:28" ht="17.149999999999999" customHeight="1">
      <c r="A1541" s="1"/>
      <c r="B1541" s="1"/>
      <c r="C1541" s="1"/>
      <c r="D1541" s="1"/>
      <c r="E1541" s="1"/>
      <c r="F1541" s="1"/>
      <c r="G1541" s="1"/>
      <c r="H1541" s="1"/>
      <c r="I1541" s="1"/>
      <c r="J1541" s="1"/>
      <c r="K1541" s="1"/>
      <c r="L1541" s="1"/>
      <c r="M1541" s="1"/>
      <c r="N1541" s="1"/>
      <c r="O1541" s="1"/>
      <c r="P1541" s="1"/>
      <c r="Q1541" s="1"/>
      <c r="R1541" s="1"/>
      <c r="S1541" s="1"/>
      <c r="T1541" s="1"/>
      <c r="U1541" s="1"/>
      <c r="AB1541" s="2" t="s">
        <v>6952</v>
      </c>
    </row>
    <row r="1542" spans="1:28" ht="17.149999999999999" customHeight="1">
      <c r="A1542" s="1"/>
      <c r="B1542" s="1"/>
      <c r="C1542" s="1"/>
      <c r="D1542" s="1"/>
      <c r="E1542" s="1"/>
      <c r="F1542" s="1"/>
      <c r="G1542" s="1"/>
      <c r="H1542" s="1"/>
      <c r="I1542" s="1"/>
      <c r="J1542" s="1"/>
      <c r="K1542" s="1"/>
      <c r="L1542" s="1"/>
      <c r="M1542" s="1"/>
      <c r="N1542" s="1"/>
      <c r="O1542" s="1"/>
      <c r="P1542" s="1"/>
      <c r="Q1542" s="1"/>
      <c r="R1542" s="1"/>
      <c r="S1542" s="1"/>
      <c r="T1542" s="1"/>
      <c r="U1542" s="1"/>
      <c r="AB1542" s="2">
        <v>0.25</v>
      </c>
    </row>
    <row r="1543" spans="1:28" ht="17.149999999999999" customHeight="1">
      <c r="A1543" s="1"/>
      <c r="B1543" s="1"/>
      <c r="C1543" s="1"/>
      <c r="D1543" s="1"/>
      <c r="E1543" s="1"/>
      <c r="F1543" s="1"/>
      <c r="G1543" s="1"/>
      <c r="H1543" s="1"/>
      <c r="I1543" s="1"/>
      <c r="J1543" s="1"/>
      <c r="K1543" s="1"/>
      <c r="L1543" s="1"/>
      <c r="M1543" s="1"/>
      <c r="N1543" s="1"/>
      <c r="O1543" s="1"/>
      <c r="P1543" s="1"/>
      <c r="Q1543" s="1"/>
      <c r="R1543" s="1"/>
      <c r="S1543" s="1"/>
      <c r="T1543" s="1"/>
      <c r="U1543" s="1"/>
      <c r="AB1543" s="2">
        <v>0.5</v>
      </c>
    </row>
    <row r="1544" spans="1:28" ht="17.149999999999999" customHeight="1">
      <c r="A1544" s="1"/>
      <c r="B1544" s="1"/>
      <c r="C1544" s="1"/>
      <c r="D1544" s="1"/>
      <c r="E1544" s="1"/>
      <c r="F1544" s="1"/>
      <c r="G1544" s="1"/>
      <c r="H1544" s="1"/>
      <c r="I1544" s="1"/>
      <c r="J1544" s="1"/>
      <c r="K1544" s="1"/>
      <c r="L1544" s="1"/>
      <c r="M1544" s="1"/>
      <c r="N1544" s="1"/>
      <c r="O1544" s="1"/>
      <c r="P1544" s="1"/>
      <c r="Q1544" s="1"/>
      <c r="R1544" s="1"/>
      <c r="S1544" s="1"/>
      <c r="T1544" s="1"/>
      <c r="U1544" s="1"/>
      <c r="AB1544" s="2">
        <v>0.5</v>
      </c>
    </row>
    <row r="1545" spans="1:28" ht="17.149999999999999" customHeight="1">
      <c r="A1545" s="1"/>
      <c r="B1545" s="1"/>
      <c r="C1545" s="1"/>
      <c r="D1545" s="1"/>
      <c r="E1545" s="1"/>
      <c r="F1545" s="1"/>
      <c r="G1545" s="1"/>
      <c r="H1545" s="1"/>
      <c r="I1545" s="1"/>
      <c r="J1545" s="1"/>
      <c r="K1545" s="1"/>
      <c r="L1545" s="1"/>
      <c r="M1545" s="1"/>
      <c r="N1545" s="1"/>
      <c r="O1545" s="1"/>
      <c r="P1545" s="1"/>
      <c r="Q1545" s="1"/>
      <c r="R1545" s="1"/>
      <c r="S1545" s="1"/>
      <c r="T1545" s="1"/>
      <c r="U1545" s="1"/>
      <c r="AB1545" s="2">
        <v>0.5</v>
      </c>
    </row>
    <row r="1546" spans="1:28" ht="17.149999999999999" customHeight="1">
      <c r="A1546" s="1"/>
      <c r="B1546" s="1"/>
      <c r="C1546" s="1"/>
      <c r="D1546" s="1"/>
      <c r="E1546" s="1"/>
      <c r="F1546" s="1"/>
      <c r="G1546" s="1"/>
      <c r="H1546" s="1"/>
      <c r="I1546" s="1"/>
      <c r="J1546" s="1"/>
      <c r="K1546" s="1"/>
      <c r="L1546" s="1"/>
      <c r="M1546" s="1"/>
      <c r="N1546" s="1"/>
      <c r="O1546" s="1"/>
      <c r="P1546" s="1"/>
      <c r="Q1546" s="1"/>
      <c r="R1546" s="1"/>
      <c r="S1546" s="1"/>
      <c r="T1546" s="1"/>
      <c r="U1546" s="1"/>
      <c r="AB1546" s="2">
        <v>0.75</v>
      </c>
    </row>
    <row r="1547" spans="1:28" ht="17.149999999999999" customHeight="1">
      <c r="A1547" s="1"/>
      <c r="B1547" s="1"/>
      <c r="C1547" s="1"/>
      <c r="D1547" s="1"/>
      <c r="E1547" s="1"/>
      <c r="F1547" s="1"/>
      <c r="G1547" s="1"/>
      <c r="H1547" s="1"/>
      <c r="I1547" s="1"/>
      <c r="J1547" s="1"/>
      <c r="K1547" s="1"/>
      <c r="L1547" s="1"/>
      <c r="M1547" s="1"/>
      <c r="N1547" s="1"/>
      <c r="O1547" s="1"/>
      <c r="P1547" s="1"/>
      <c r="Q1547" s="1"/>
      <c r="R1547" s="1"/>
      <c r="S1547" s="1"/>
      <c r="T1547" s="1"/>
      <c r="U1547" s="1"/>
      <c r="AA1547" s="97"/>
      <c r="AB1547" s="2">
        <v>1</v>
      </c>
    </row>
    <row r="1548" spans="1:28" ht="17.149999999999999" customHeight="1">
      <c r="A1548" s="1"/>
      <c r="B1548" s="1"/>
      <c r="C1548" s="1"/>
      <c r="D1548" s="1"/>
      <c r="E1548" s="1"/>
      <c r="F1548" s="1"/>
      <c r="G1548" s="1"/>
      <c r="H1548" s="1"/>
      <c r="I1548" s="1"/>
      <c r="J1548" s="1"/>
      <c r="K1548" s="1"/>
      <c r="L1548" s="1"/>
      <c r="M1548" s="1"/>
      <c r="N1548" s="1"/>
      <c r="O1548" s="1"/>
      <c r="P1548" s="1"/>
      <c r="Q1548" s="1"/>
      <c r="R1548" s="1"/>
      <c r="S1548" s="1"/>
      <c r="T1548" s="1"/>
      <c r="U1548" s="1"/>
      <c r="AB1548" s="2">
        <v>1.5</v>
      </c>
    </row>
    <row r="1549" spans="1:28" ht="17.149999999999999" customHeight="1">
      <c r="A1549" s="1"/>
      <c r="B1549" s="1"/>
      <c r="C1549" s="1"/>
      <c r="D1549" s="1"/>
      <c r="E1549" s="1"/>
      <c r="F1549" s="1"/>
      <c r="G1549" s="1"/>
      <c r="H1549" s="1"/>
      <c r="I1549" s="1"/>
      <c r="J1549" s="1"/>
      <c r="K1549" s="1"/>
      <c r="L1549" s="1"/>
      <c r="M1549" s="1"/>
      <c r="N1549" s="1"/>
      <c r="O1549" s="1"/>
      <c r="P1549" s="1"/>
      <c r="Q1549" s="1"/>
      <c r="R1549" s="1"/>
      <c r="S1549" s="1"/>
      <c r="T1549" s="1"/>
      <c r="U1549" s="1"/>
    </row>
    <row r="1550" spans="1:28" ht="17.149999999999999" customHeight="1">
      <c r="A1550" s="1"/>
      <c r="B1550" s="1"/>
      <c r="C1550" s="1"/>
      <c r="D1550" s="1"/>
      <c r="E1550" s="1"/>
      <c r="F1550" s="1"/>
      <c r="G1550" s="1"/>
      <c r="H1550" s="1"/>
      <c r="I1550" s="1"/>
      <c r="J1550" s="1"/>
      <c r="K1550" s="1"/>
      <c r="L1550" s="1"/>
      <c r="M1550" s="1"/>
      <c r="N1550" s="1"/>
      <c r="O1550" s="1"/>
      <c r="P1550" s="1"/>
      <c r="Q1550" s="1"/>
      <c r="R1550" s="1"/>
      <c r="S1550" s="1"/>
      <c r="T1550" s="1"/>
      <c r="U1550" s="1"/>
    </row>
    <row r="1551" spans="1:28" ht="17.149999999999999" customHeight="1">
      <c r="A1551" s="1"/>
      <c r="B1551" s="1"/>
      <c r="C1551" s="1"/>
      <c r="D1551" s="1"/>
      <c r="E1551" s="1"/>
      <c r="F1551" s="1"/>
      <c r="G1551" s="1"/>
      <c r="H1551" s="1"/>
      <c r="I1551" s="1"/>
      <c r="J1551" s="1"/>
      <c r="K1551" s="1"/>
      <c r="L1551" s="1"/>
      <c r="M1551" s="1"/>
      <c r="N1551" s="1"/>
      <c r="O1551" s="1"/>
      <c r="P1551" s="1"/>
      <c r="Q1551" s="1"/>
      <c r="R1551" s="1"/>
      <c r="S1551" s="1"/>
      <c r="T1551" s="1"/>
      <c r="U1551" s="1"/>
    </row>
    <row r="1552" spans="1:28" ht="17.149999999999999" customHeight="1">
      <c r="A1552" s="1"/>
      <c r="B1552" s="1"/>
      <c r="C1552" s="1"/>
      <c r="D1552" s="1"/>
      <c r="E1552" s="1"/>
      <c r="F1552" s="1"/>
      <c r="G1552" s="1"/>
      <c r="H1552" s="1"/>
      <c r="I1552" s="1"/>
      <c r="J1552" s="1"/>
      <c r="K1552" s="1"/>
      <c r="L1552" s="1"/>
      <c r="M1552" s="1"/>
      <c r="N1552" s="1"/>
      <c r="O1552" s="1"/>
      <c r="P1552" s="1"/>
      <c r="Q1552" s="1"/>
      <c r="R1552" s="1"/>
      <c r="S1552" s="1"/>
      <c r="T1552" s="1"/>
      <c r="U1552" s="1"/>
    </row>
    <row r="1553" spans="1:21" ht="17.149999999999999" customHeight="1">
      <c r="A1553" s="1"/>
      <c r="B1553" s="1"/>
      <c r="C1553" s="1"/>
      <c r="D1553" s="1"/>
      <c r="E1553" s="1"/>
      <c r="F1553" s="1"/>
      <c r="G1553" s="1"/>
      <c r="H1553" s="1"/>
      <c r="I1553" s="1"/>
      <c r="J1553" s="1"/>
      <c r="K1553" s="1"/>
      <c r="L1553" s="1"/>
      <c r="M1553" s="1"/>
      <c r="N1553" s="1"/>
      <c r="O1553" s="1"/>
      <c r="P1553" s="1"/>
      <c r="Q1553" s="1"/>
      <c r="R1553" s="1"/>
      <c r="S1553" s="1"/>
      <c r="T1553" s="1"/>
      <c r="U1553" s="1"/>
    </row>
    <row r="1554" spans="1:21" ht="17.149999999999999" customHeight="1">
      <c r="A1554" s="1"/>
      <c r="B1554" s="1"/>
      <c r="C1554" s="1"/>
      <c r="D1554" s="1"/>
      <c r="E1554" s="1"/>
      <c r="F1554" s="1"/>
      <c r="G1554" s="1"/>
      <c r="H1554" s="1"/>
      <c r="I1554" s="1"/>
      <c r="J1554" s="1"/>
      <c r="K1554" s="1"/>
      <c r="L1554" s="1"/>
      <c r="M1554" s="1"/>
      <c r="N1554" s="1"/>
      <c r="O1554" s="1"/>
      <c r="P1554" s="1"/>
      <c r="Q1554" s="1"/>
      <c r="R1554" s="1"/>
      <c r="S1554" s="1"/>
      <c r="T1554" s="1"/>
      <c r="U1554" s="1"/>
    </row>
    <row r="1555" spans="1:21" ht="17.149999999999999" customHeight="1">
      <c r="A1555" s="1"/>
      <c r="B1555" s="1"/>
      <c r="C1555" s="1"/>
      <c r="D1555" s="1"/>
      <c r="E1555" s="1"/>
      <c r="F1555" s="1"/>
      <c r="G1555" s="1"/>
      <c r="H1555" s="1"/>
      <c r="I1555" s="1"/>
      <c r="J1555" s="1"/>
      <c r="K1555" s="1"/>
      <c r="L1555" s="1"/>
      <c r="M1555" s="1"/>
      <c r="N1555" s="1"/>
      <c r="O1555" s="1"/>
      <c r="P1555" s="1"/>
      <c r="Q1555" s="1"/>
      <c r="R1555" s="1"/>
      <c r="S1555" s="1"/>
      <c r="T1555" s="1"/>
      <c r="U1555" s="1"/>
    </row>
    <row r="1556" spans="1:21" ht="17.149999999999999" customHeight="1">
      <c r="A1556" s="1"/>
      <c r="B1556" s="1"/>
      <c r="C1556" s="1"/>
      <c r="D1556" s="1"/>
      <c r="E1556" s="1"/>
      <c r="F1556" s="1"/>
      <c r="G1556" s="1"/>
      <c r="H1556" s="1"/>
      <c r="I1556" s="1"/>
      <c r="J1556" s="1"/>
      <c r="K1556" s="1"/>
      <c r="L1556" s="1"/>
      <c r="M1556" s="1"/>
      <c r="N1556" s="1"/>
      <c r="O1556" s="1"/>
      <c r="P1556" s="1"/>
      <c r="Q1556" s="1"/>
      <c r="R1556" s="1"/>
      <c r="S1556" s="1"/>
      <c r="T1556" s="1"/>
      <c r="U1556" s="1"/>
    </row>
    <row r="1557" spans="1:21" ht="17.149999999999999" customHeight="1">
      <c r="A1557" s="1"/>
      <c r="B1557" s="1"/>
      <c r="C1557" s="1"/>
      <c r="D1557" s="1"/>
      <c r="E1557" s="1"/>
      <c r="F1557" s="1"/>
      <c r="G1557" s="1"/>
      <c r="H1557" s="1"/>
      <c r="I1557" s="1"/>
      <c r="J1557" s="1"/>
      <c r="K1557" s="1"/>
      <c r="L1557" s="1"/>
      <c r="M1557" s="1"/>
      <c r="N1557" s="1"/>
      <c r="O1557" s="1"/>
      <c r="P1557" s="1"/>
      <c r="Q1557" s="1"/>
      <c r="R1557" s="1"/>
      <c r="S1557" s="1"/>
      <c r="T1557" s="1"/>
      <c r="U1557" s="1"/>
    </row>
    <row r="1558" spans="1:21" ht="17.149999999999999" customHeight="1">
      <c r="A1558" s="1"/>
      <c r="B1558" s="1"/>
      <c r="C1558" s="1"/>
      <c r="D1558" s="1"/>
      <c r="E1558" s="1"/>
      <c r="F1558" s="1"/>
      <c r="G1558" s="1"/>
      <c r="H1558" s="1"/>
      <c r="I1558" s="1"/>
      <c r="J1558" s="1"/>
      <c r="K1558" s="1"/>
      <c r="L1558" s="1"/>
      <c r="M1558" s="1"/>
      <c r="N1558" s="1"/>
      <c r="O1558" s="1"/>
      <c r="P1558" s="1"/>
      <c r="Q1558" s="1"/>
      <c r="R1558" s="1"/>
      <c r="S1558" s="1"/>
      <c r="T1558" s="1"/>
      <c r="U1558" s="1"/>
    </row>
    <row r="1559" spans="1:21" ht="17.149999999999999" customHeight="1">
      <c r="A1559" s="1"/>
      <c r="B1559" s="1"/>
      <c r="C1559" s="1"/>
      <c r="D1559" s="1"/>
      <c r="E1559" s="1"/>
      <c r="F1559" s="1"/>
      <c r="G1559" s="1"/>
      <c r="H1559" s="1"/>
      <c r="I1559" s="1"/>
      <c r="J1559" s="1"/>
      <c r="K1559" s="1"/>
      <c r="L1559" s="1"/>
      <c r="M1559" s="1"/>
      <c r="N1559" s="1"/>
      <c r="O1559" s="1"/>
      <c r="P1559" s="1"/>
      <c r="Q1559" s="1"/>
      <c r="R1559" s="1"/>
      <c r="S1559" s="1"/>
      <c r="T1559" s="1"/>
      <c r="U1559" s="1"/>
    </row>
    <row r="1560" spans="1:21" ht="17.149999999999999" customHeight="1">
      <c r="A1560" s="1"/>
      <c r="B1560" s="1"/>
      <c r="C1560" s="1"/>
      <c r="D1560" s="1"/>
      <c r="E1560" s="1"/>
      <c r="F1560" s="1"/>
      <c r="G1560" s="1"/>
      <c r="H1560" s="1"/>
      <c r="I1560" s="1"/>
      <c r="J1560" s="1"/>
      <c r="K1560" s="1"/>
      <c r="L1560" s="1"/>
      <c r="M1560" s="1"/>
      <c r="N1560" s="1"/>
      <c r="O1560" s="1"/>
      <c r="P1560" s="1"/>
      <c r="Q1560" s="1"/>
      <c r="R1560" s="1"/>
      <c r="S1560" s="1"/>
      <c r="T1560" s="1"/>
      <c r="U1560" s="1"/>
    </row>
    <row r="1561" spans="1:21" ht="17.149999999999999" customHeight="1">
      <c r="A1561" s="1"/>
      <c r="B1561" s="1"/>
      <c r="C1561" s="1"/>
      <c r="D1561" s="1"/>
      <c r="E1561" s="1"/>
      <c r="F1561" s="1"/>
      <c r="G1561" s="1"/>
      <c r="H1561" s="1"/>
      <c r="I1561" s="1"/>
      <c r="J1561" s="1"/>
      <c r="K1561" s="1"/>
      <c r="L1561" s="1"/>
      <c r="M1561" s="1"/>
      <c r="N1561" s="1"/>
      <c r="O1561" s="1"/>
      <c r="P1561" s="1"/>
      <c r="Q1561" s="1"/>
      <c r="R1561" s="1"/>
      <c r="S1561" s="1"/>
      <c r="T1561" s="1"/>
      <c r="U1561" s="1"/>
    </row>
    <row r="1562" spans="1:21" ht="17.149999999999999" customHeight="1">
      <c r="A1562" s="1"/>
      <c r="B1562" s="1"/>
      <c r="C1562" s="1"/>
      <c r="D1562" s="1"/>
      <c r="E1562" s="1"/>
      <c r="F1562" s="1"/>
      <c r="G1562" s="1"/>
      <c r="H1562" s="1"/>
      <c r="I1562" s="1"/>
      <c r="J1562" s="1"/>
      <c r="K1562" s="1"/>
      <c r="L1562" s="1"/>
      <c r="M1562" s="1"/>
      <c r="N1562" s="1"/>
      <c r="O1562" s="1"/>
      <c r="P1562" s="1"/>
      <c r="Q1562" s="1"/>
      <c r="R1562" s="1"/>
      <c r="S1562" s="1"/>
      <c r="T1562" s="1"/>
      <c r="U1562" s="1"/>
    </row>
    <row r="1563" spans="1:21" ht="17.149999999999999" customHeight="1">
      <c r="A1563" s="1"/>
      <c r="B1563" s="1"/>
      <c r="C1563" s="1"/>
      <c r="D1563" s="1"/>
      <c r="E1563" s="1"/>
      <c r="F1563" s="1"/>
      <c r="G1563" s="1"/>
      <c r="H1563" s="1"/>
      <c r="I1563" s="1"/>
      <c r="J1563" s="1"/>
      <c r="K1563" s="1"/>
      <c r="L1563" s="1"/>
      <c r="M1563" s="1"/>
      <c r="N1563" s="1"/>
      <c r="O1563" s="1"/>
      <c r="P1563" s="1"/>
      <c r="Q1563" s="1"/>
      <c r="R1563" s="1"/>
      <c r="S1563" s="1"/>
      <c r="T1563" s="1"/>
      <c r="U1563" s="1"/>
    </row>
    <row r="1564" spans="1:21" ht="17.149999999999999" customHeight="1">
      <c r="A1564" s="1"/>
      <c r="B1564" s="1"/>
      <c r="C1564" s="1"/>
      <c r="D1564" s="1"/>
      <c r="E1564" s="1"/>
      <c r="F1564" s="1"/>
      <c r="G1564" s="1"/>
      <c r="H1564" s="1"/>
      <c r="I1564" s="1"/>
      <c r="J1564" s="1"/>
      <c r="K1564" s="1"/>
      <c r="L1564" s="1"/>
      <c r="M1564" s="1"/>
      <c r="N1564" s="1"/>
      <c r="O1564" s="1"/>
      <c r="P1564" s="1"/>
      <c r="Q1564" s="1"/>
      <c r="R1564" s="1"/>
      <c r="S1564" s="1"/>
      <c r="T1564" s="1"/>
      <c r="U1564" s="1"/>
    </row>
    <row r="1565" spans="1:21" ht="17.149999999999999" customHeight="1">
      <c r="A1565" s="1"/>
      <c r="B1565" s="1"/>
      <c r="C1565" s="1"/>
      <c r="D1565" s="1"/>
      <c r="E1565" s="1"/>
      <c r="F1565" s="1"/>
      <c r="G1565" s="1"/>
      <c r="H1565" s="1"/>
      <c r="I1565" s="1"/>
      <c r="J1565" s="1"/>
      <c r="K1565" s="1"/>
      <c r="L1565" s="1"/>
      <c r="M1565" s="1"/>
      <c r="N1565" s="1"/>
      <c r="O1565" s="1"/>
      <c r="P1565" s="1"/>
      <c r="Q1565" s="1"/>
      <c r="R1565" s="1"/>
      <c r="S1565" s="1"/>
      <c r="T1565" s="1"/>
      <c r="U1565" s="1"/>
    </row>
    <row r="1566" spans="1:21" ht="17.149999999999999" customHeight="1">
      <c r="A1566" s="1"/>
      <c r="B1566" s="1"/>
      <c r="C1566" s="1"/>
      <c r="D1566" s="1"/>
      <c r="E1566" s="1"/>
      <c r="F1566" s="1"/>
      <c r="G1566" s="1"/>
      <c r="H1566" s="1"/>
      <c r="I1566" s="1"/>
      <c r="J1566" s="1"/>
      <c r="K1566" s="1"/>
      <c r="L1566" s="1"/>
      <c r="M1566" s="1"/>
      <c r="N1566" s="1"/>
      <c r="O1566" s="1"/>
      <c r="P1566" s="1"/>
      <c r="Q1566" s="1"/>
      <c r="R1566" s="1"/>
      <c r="S1566" s="1"/>
      <c r="T1566" s="1"/>
      <c r="U1566" s="1"/>
    </row>
    <row r="1567" spans="1:21" ht="17.149999999999999" customHeight="1">
      <c r="A1567" s="1"/>
      <c r="B1567" s="1"/>
      <c r="C1567" s="1"/>
      <c r="D1567" s="1"/>
      <c r="E1567" s="1"/>
      <c r="F1567" s="1"/>
      <c r="G1567" s="1"/>
      <c r="H1567" s="1"/>
      <c r="I1567" s="1"/>
      <c r="J1567" s="1"/>
      <c r="K1567" s="1"/>
      <c r="L1567" s="1"/>
      <c r="M1567" s="1"/>
      <c r="N1567" s="1"/>
      <c r="O1567" s="1"/>
      <c r="P1567" s="1"/>
      <c r="Q1567" s="1"/>
      <c r="R1567" s="1"/>
      <c r="S1567" s="1"/>
      <c r="T1567" s="1"/>
      <c r="U1567" s="1"/>
    </row>
    <row r="1568" spans="1:21" ht="17.149999999999999" customHeight="1">
      <c r="A1568" s="1"/>
      <c r="B1568" s="1"/>
      <c r="C1568" s="1"/>
      <c r="D1568" s="1"/>
      <c r="E1568" s="1"/>
      <c r="F1568" s="1"/>
      <c r="G1568" s="1"/>
      <c r="H1568" s="1"/>
      <c r="I1568" s="1"/>
      <c r="J1568" s="1"/>
      <c r="K1568" s="1"/>
      <c r="L1568" s="1"/>
      <c r="M1568" s="1"/>
      <c r="N1568" s="1"/>
      <c r="O1568" s="1"/>
      <c r="P1568" s="1"/>
      <c r="Q1568" s="1"/>
      <c r="R1568" s="1"/>
      <c r="S1568" s="1"/>
      <c r="T1568" s="1"/>
      <c r="U1568" s="1"/>
    </row>
    <row r="1569" spans="1:21" ht="17.149999999999999" customHeight="1">
      <c r="A1569" s="1"/>
      <c r="B1569" s="1"/>
      <c r="C1569" s="1"/>
      <c r="D1569" s="1"/>
      <c r="E1569" s="1"/>
      <c r="F1569" s="1"/>
      <c r="G1569" s="1"/>
      <c r="H1569" s="1"/>
      <c r="I1569" s="1"/>
      <c r="J1569" s="1"/>
      <c r="K1569" s="1"/>
      <c r="L1569" s="1"/>
      <c r="M1569" s="1"/>
      <c r="N1569" s="1"/>
      <c r="O1569" s="1"/>
      <c r="P1569" s="1"/>
      <c r="Q1569" s="1"/>
      <c r="R1569" s="1"/>
      <c r="S1569" s="1"/>
      <c r="T1569" s="1"/>
      <c r="U1569" s="1"/>
    </row>
    <row r="1570" spans="1:21" ht="17.149999999999999" customHeight="1">
      <c r="A1570" s="1"/>
      <c r="B1570" s="1"/>
      <c r="C1570" s="1"/>
      <c r="D1570" s="1"/>
      <c r="E1570" s="1"/>
      <c r="F1570" s="1"/>
      <c r="G1570" s="1"/>
      <c r="H1570" s="1"/>
      <c r="I1570" s="1"/>
      <c r="J1570" s="1"/>
      <c r="K1570" s="1"/>
      <c r="L1570" s="1"/>
      <c r="M1570" s="1"/>
      <c r="N1570" s="1"/>
      <c r="O1570" s="1"/>
      <c r="P1570" s="1"/>
      <c r="Q1570" s="1"/>
      <c r="R1570" s="1"/>
      <c r="S1570" s="1"/>
      <c r="T1570" s="1"/>
      <c r="U1570" s="1"/>
    </row>
    <row r="1571" spans="1:21" ht="17.149999999999999" customHeight="1">
      <c r="A1571" s="1"/>
      <c r="B1571" s="1"/>
      <c r="C1571" s="1"/>
      <c r="D1571" s="1"/>
      <c r="E1571" s="1"/>
      <c r="F1571" s="1"/>
      <c r="G1571" s="1"/>
      <c r="H1571" s="1"/>
      <c r="I1571" s="1"/>
      <c r="J1571" s="1"/>
      <c r="K1571" s="1"/>
      <c r="L1571" s="1"/>
      <c r="M1571" s="1"/>
      <c r="N1571" s="1"/>
      <c r="O1571" s="1"/>
      <c r="P1571" s="1"/>
      <c r="Q1571" s="1"/>
      <c r="R1571" s="1"/>
      <c r="S1571" s="1"/>
      <c r="T1571" s="1"/>
      <c r="U1571" s="1"/>
    </row>
    <row r="1572" spans="1:21" ht="17.149999999999999" customHeight="1">
      <c r="A1572" s="1"/>
      <c r="B1572" s="1"/>
      <c r="C1572" s="1"/>
      <c r="D1572" s="1"/>
      <c r="E1572" s="1"/>
      <c r="F1572" s="1"/>
      <c r="G1572" s="1"/>
      <c r="H1572" s="1"/>
      <c r="I1572" s="1"/>
      <c r="J1572" s="1"/>
      <c r="K1572" s="1"/>
      <c r="L1572" s="1"/>
      <c r="M1572" s="1"/>
      <c r="N1572" s="1"/>
      <c r="O1572" s="1"/>
      <c r="P1572" s="1"/>
      <c r="Q1572" s="1"/>
      <c r="R1572" s="1"/>
      <c r="S1572" s="1"/>
      <c r="T1572" s="1"/>
      <c r="U1572" s="1"/>
    </row>
    <row r="1573" spans="1:21" ht="17.149999999999999" customHeight="1">
      <c r="A1573" s="1"/>
      <c r="B1573" s="1"/>
      <c r="C1573" s="1"/>
      <c r="D1573" s="1"/>
      <c r="E1573" s="1"/>
      <c r="F1573" s="1"/>
      <c r="G1573" s="1"/>
      <c r="H1573" s="1"/>
      <c r="I1573" s="1"/>
      <c r="J1573" s="1"/>
      <c r="K1573" s="1"/>
      <c r="L1573" s="1"/>
      <c r="M1573" s="1"/>
      <c r="N1573" s="1"/>
      <c r="O1573" s="1"/>
      <c r="P1573" s="1"/>
      <c r="Q1573" s="1"/>
      <c r="R1573" s="1"/>
      <c r="S1573" s="1"/>
      <c r="T1573" s="1"/>
      <c r="U1573" s="1"/>
    </row>
    <row r="1574" spans="1:21" ht="17.149999999999999" customHeight="1">
      <c r="A1574" s="1"/>
      <c r="B1574" s="1"/>
      <c r="C1574" s="1"/>
      <c r="D1574" s="1"/>
      <c r="E1574" s="1"/>
      <c r="F1574" s="1"/>
      <c r="G1574" s="1"/>
      <c r="H1574" s="1"/>
      <c r="I1574" s="1"/>
      <c r="J1574" s="1"/>
      <c r="K1574" s="1"/>
      <c r="L1574" s="1"/>
      <c r="M1574" s="1"/>
      <c r="N1574" s="1"/>
      <c r="O1574" s="1"/>
      <c r="P1574" s="1"/>
      <c r="Q1574" s="1"/>
      <c r="R1574" s="1"/>
      <c r="S1574" s="1"/>
      <c r="T1574" s="1"/>
      <c r="U1574" s="1"/>
    </row>
    <row r="1575" spans="1:21" ht="17.149999999999999" customHeight="1">
      <c r="A1575" s="1"/>
      <c r="B1575" s="1"/>
      <c r="C1575" s="1"/>
      <c r="D1575" s="1"/>
      <c r="E1575" s="1"/>
      <c r="F1575" s="1"/>
      <c r="G1575" s="1"/>
      <c r="H1575" s="1"/>
      <c r="I1575" s="1"/>
      <c r="J1575" s="1"/>
      <c r="K1575" s="1"/>
      <c r="L1575" s="1"/>
      <c r="M1575" s="1"/>
      <c r="N1575" s="1"/>
      <c r="O1575" s="1"/>
      <c r="P1575" s="1"/>
      <c r="Q1575" s="1"/>
      <c r="R1575" s="1"/>
      <c r="S1575" s="1"/>
      <c r="T1575" s="1"/>
      <c r="U1575" s="1"/>
    </row>
    <row r="1576" spans="1:21" ht="17.149999999999999" customHeight="1">
      <c r="A1576" s="1"/>
      <c r="B1576" s="1"/>
      <c r="C1576" s="1"/>
      <c r="D1576" s="1"/>
      <c r="E1576" s="1"/>
      <c r="F1576" s="1"/>
      <c r="G1576" s="1"/>
      <c r="H1576" s="1"/>
      <c r="I1576" s="1"/>
      <c r="J1576" s="1"/>
      <c r="K1576" s="1"/>
      <c r="L1576" s="1"/>
      <c r="M1576" s="1"/>
      <c r="N1576" s="1"/>
      <c r="O1576" s="1"/>
      <c r="P1576" s="1"/>
      <c r="Q1576" s="1"/>
      <c r="R1576" s="1"/>
      <c r="S1576" s="1"/>
      <c r="T1576" s="1"/>
      <c r="U1576" s="1"/>
    </row>
    <row r="1577" spans="1:21" ht="17.149999999999999" customHeight="1">
      <c r="A1577" s="1"/>
      <c r="B1577" s="1"/>
      <c r="C1577" s="1"/>
      <c r="D1577" s="1"/>
      <c r="E1577" s="1"/>
      <c r="F1577" s="1"/>
      <c r="G1577" s="1"/>
      <c r="H1577" s="1"/>
      <c r="I1577" s="1"/>
      <c r="J1577" s="1"/>
      <c r="K1577" s="1"/>
      <c r="L1577" s="1"/>
      <c r="M1577" s="1"/>
      <c r="N1577" s="1"/>
      <c r="O1577" s="1"/>
      <c r="P1577" s="1"/>
      <c r="Q1577" s="1"/>
      <c r="R1577" s="1"/>
      <c r="S1577" s="1"/>
      <c r="T1577" s="1"/>
      <c r="U1577" s="1"/>
    </row>
    <row r="1578" spans="1:21" ht="17.149999999999999" customHeight="1">
      <c r="A1578" s="1"/>
      <c r="B1578" s="1"/>
      <c r="C1578" s="1"/>
      <c r="D1578" s="1"/>
      <c r="E1578" s="1"/>
      <c r="F1578" s="1"/>
      <c r="G1578" s="1"/>
      <c r="H1578" s="1"/>
      <c r="I1578" s="1"/>
      <c r="J1578" s="1"/>
      <c r="K1578" s="1"/>
      <c r="L1578" s="1"/>
      <c r="M1578" s="1"/>
      <c r="N1578" s="1"/>
      <c r="O1578" s="1"/>
      <c r="P1578" s="1"/>
      <c r="Q1578" s="1"/>
      <c r="R1578" s="1"/>
      <c r="S1578" s="1"/>
      <c r="T1578" s="1"/>
      <c r="U1578" s="1"/>
    </row>
    <row r="1579" spans="1:21" ht="17.149999999999999" customHeight="1">
      <c r="A1579" s="1"/>
      <c r="B1579" s="1"/>
      <c r="C1579" s="1"/>
      <c r="D1579" s="1"/>
      <c r="E1579" s="1"/>
      <c r="F1579" s="1"/>
      <c r="G1579" s="1"/>
      <c r="H1579" s="1"/>
      <c r="I1579" s="1"/>
      <c r="J1579" s="1"/>
      <c r="K1579" s="1"/>
      <c r="L1579" s="1"/>
      <c r="M1579" s="1"/>
      <c r="N1579" s="1"/>
      <c r="O1579" s="1"/>
      <c r="P1579" s="1"/>
      <c r="Q1579" s="1"/>
      <c r="R1579" s="1"/>
      <c r="S1579" s="1"/>
      <c r="T1579" s="1"/>
      <c r="U1579" s="1"/>
    </row>
    <row r="1580" spans="1:21" ht="17.149999999999999" customHeight="1">
      <c r="A1580" s="1"/>
      <c r="B1580" s="1"/>
      <c r="C1580" s="1"/>
      <c r="D1580" s="1"/>
      <c r="E1580" s="1"/>
      <c r="F1580" s="1"/>
      <c r="G1580" s="1"/>
      <c r="H1580" s="1"/>
      <c r="I1580" s="1"/>
      <c r="J1580" s="1"/>
      <c r="K1580" s="1"/>
      <c r="L1580" s="1"/>
      <c r="M1580" s="1"/>
      <c r="N1580" s="1"/>
      <c r="O1580" s="1"/>
      <c r="P1580" s="1"/>
      <c r="Q1580" s="1"/>
      <c r="R1580" s="1"/>
      <c r="S1580" s="1"/>
      <c r="T1580" s="1"/>
      <c r="U1580" s="1"/>
    </row>
    <row r="1581" spans="1:21" ht="17.149999999999999" customHeight="1">
      <c r="A1581" s="1"/>
      <c r="B1581" s="1"/>
      <c r="C1581" s="1"/>
      <c r="D1581" s="1"/>
      <c r="E1581" s="1"/>
      <c r="F1581" s="1"/>
      <c r="G1581" s="1"/>
      <c r="H1581" s="1"/>
      <c r="I1581" s="1"/>
      <c r="J1581" s="1"/>
      <c r="K1581" s="1"/>
      <c r="L1581" s="1"/>
      <c r="M1581" s="1"/>
      <c r="N1581" s="1"/>
      <c r="O1581" s="1"/>
      <c r="P1581" s="1"/>
      <c r="Q1581" s="1"/>
      <c r="R1581" s="1"/>
      <c r="S1581" s="1"/>
      <c r="T1581" s="1"/>
      <c r="U1581" s="1"/>
    </row>
    <row r="1582" spans="1:21" ht="17.149999999999999" customHeight="1">
      <c r="A1582" s="1"/>
      <c r="B1582" s="1"/>
      <c r="C1582" s="1"/>
      <c r="D1582" s="1"/>
      <c r="E1582" s="1"/>
      <c r="F1582" s="1"/>
      <c r="G1582" s="1"/>
      <c r="H1582" s="1"/>
      <c r="I1582" s="1"/>
      <c r="J1582" s="1"/>
      <c r="K1582" s="1"/>
      <c r="L1582" s="1"/>
      <c r="M1582" s="1"/>
      <c r="N1582" s="1"/>
      <c r="O1582" s="1"/>
      <c r="P1582" s="1"/>
      <c r="Q1582" s="1"/>
      <c r="R1582" s="1"/>
      <c r="S1582" s="1"/>
      <c r="T1582" s="1"/>
      <c r="U1582" s="1"/>
    </row>
    <row r="1583" spans="1:21" ht="17.149999999999999" customHeight="1">
      <c r="A1583" s="1"/>
      <c r="B1583" s="1"/>
      <c r="C1583" s="1"/>
      <c r="D1583" s="1"/>
      <c r="E1583" s="1"/>
      <c r="F1583" s="1"/>
      <c r="G1583" s="1"/>
      <c r="H1583" s="1"/>
      <c r="I1583" s="1"/>
      <c r="J1583" s="1"/>
      <c r="K1583" s="1"/>
      <c r="L1583" s="1"/>
      <c r="M1583" s="1"/>
      <c r="N1583" s="1"/>
      <c r="O1583" s="1"/>
      <c r="P1583" s="1"/>
      <c r="Q1583" s="1"/>
      <c r="R1583" s="1"/>
      <c r="S1583" s="1"/>
      <c r="T1583" s="1"/>
      <c r="U1583" s="1"/>
    </row>
    <row r="1584" spans="1:21" ht="17.149999999999999" customHeight="1">
      <c r="A1584" s="1"/>
      <c r="B1584" s="1"/>
      <c r="C1584" s="1"/>
      <c r="D1584" s="1"/>
      <c r="E1584" s="1"/>
      <c r="F1584" s="1"/>
      <c r="G1584" s="1"/>
      <c r="H1584" s="1"/>
      <c r="I1584" s="1"/>
      <c r="J1584" s="1"/>
      <c r="K1584" s="1"/>
      <c r="L1584" s="1"/>
      <c r="M1584" s="1"/>
      <c r="N1584" s="1"/>
      <c r="O1584" s="1"/>
      <c r="P1584" s="1"/>
      <c r="Q1584" s="1"/>
      <c r="R1584" s="1"/>
      <c r="S1584" s="1"/>
      <c r="T1584" s="1"/>
      <c r="U1584" s="1"/>
    </row>
    <row r="1585" spans="1:21" ht="17.149999999999999" customHeight="1">
      <c r="A1585" s="1"/>
      <c r="B1585" s="1"/>
      <c r="C1585" s="1"/>
      <c r="D1585" s="1"/>
      <c r="E1585" s="1"/>
      <c r="F1585" s="1"/>
      <c r="G1585" s="1"/>
      <c r="H1585" s="1"/>
      <c r="I1585" s="1"/>
      <c r="J1585" s="1"/>
      <c r="K1585" s="1"/>
      <c r="L1585" s="1"/>
      <c r="M1585" s="1"/>
      <c r="N1585" s="1"/>
      <c r="O1585" s="1"/>
      <c r="P1585" s="1"/>
      <c r="Q1585" s="1"/>
      <c r="R1585" s="1"/>
      <c r="S1585" s="1"/>
      <c r="T1585" s="1"/>
      <c r="U1585" s="1"/>
    </row>
    <row r="1586" spans="1:21" ht="17.149999999999999" customHeight="1">
      <c r="A1586" s="1"/>
      <c r="B1586" s="1"/>
      <c r="C1586" s="1"/>
      <c r="D1586" s="1"/>
      <c r="E1586" s="1"/>
      <c r="F1586" s="1"/>
      <c r="G1586" s="1"/>
      <c r="H1586" s="1"/>
      <c r="I1586" s="1"/>
      <c r="J1586" s="1"/>
      <c r="K1586" s="1"/>
      <c r="L1586" s="1"/>
      <c r="M1586" s="1"/>
      <c r="N1586" s="1"/>
      <c r="O1586" s="1"/>
      <c r="P1586" s="1"/>
      <c r="Q1586" s="1"/>
      <c r="R1586" s="1"/>
      <c r="S1586" s="1"/>
      <c r="T1586" s="1"/>
      <c r="U1586" s="1"/>
    </row>
    <row r="1587" spans="1:21" ht="17.149999999999999" customHeight="1">
      <c r="A1587" s="1"/>
      <c r="B1587" s="1"/>
      <c r="C1587" s="1"/>
      <c r="D1587" s="1"/>
      <c r="E1587" s="1"/>
      <c r="F1587" s="1"/>
      <c r="G1587" s="1"/>
      <c r="H1587" s="1"/>
      <c r="I1587" s="1"/>
      <c r="J1587" s="1"/>
      <c r="K1587" s="1"/>
      <c r="L1587" s="1"/>
      <c r="M1587" s="1"/>
      <c r="N1587" s="1"/>
      <c r="O1587" s="1"/>
      <c r="P1587" s="1"/>
      <c r="Q1587" s="1"/>
      <c r="R1587" s="1"/>
      <c r="S1587" s="1"/>
      <c r="T1587" s="1"/>
      <c r="U1587" s="1"/>
    </row>
    <row r="1588" spans="1:21" ht="17.149999999999999" customHeight="1">
      <c r="A1588" s="1"/>
      <c r="B1588" s="1"/>
      <c r="C1588" s="1"/>
      <c r="D1588" s="1"/>
      <c r="E1588" s="1"/>
      <c r="F1588" s="1"/>
      <c r="G1588" s="1"/>
      <c r="H1588" s="1"/>
      <c r="I1588" s="1"/>
      <c r="J1588" s="1"/>
      <c r="K1588" s="1"/>
      <c r="L1588" s="1"/>
      <c r="M1588" s="1"/>
      <c r="N1588" s="1"/>
      <c r="O1588" s="1"/>
      <c r="P1588" s="1"/>
      <c r="Q1588" s="1"/>
      <c r="R1588" s="1"/>
      <c r="S1588" s="1"/>
      <c r="T1588" s="1"/>
      <c r="U1588" s="1"/>
    </row>
    <row r="1589" spans="1:21" ht="17.149999999999999" customHeight="1">
      <c r="A1589" s="1"/>
      <c r="B1589" s="1"/>
      <c r="C1589" s="1"/>
      <c r="D1589" s="1"/>
      <c r="E1589" s="1"/>
      <c r="F1589" s="1"/>
      <c r="G1589" s="1"/>
      <c r="H1589" s="1"/>
      <c r="I1589" s="1"/>
      <c r="J1589" s="1"/>
      <c r="K1589" s="1"/>
      <c r="L1589" s="1"/>
      <c r="M1589" s="1"/>
      <c r="N1589" s="1"/>
      <c r="O1589" s="1"/>
      <c r="P1589" s="1"/>
      <c r="Q1589" s="1"/>
      <c r="R1589" s="1"/>
      <c r="S1589" s="1"/>
      <c r="T1589" s="1"/>
      <c r="U1589" s="1"/>
    </row>
    <row r="1590" spans="1:21" ht="17.149999999999999" customHeight="1">
      <c r="A1590" s="1"/>
      <c r="B1590" s="1"/>
      <c r="C1590" s="1"/>
      <c r="D1590" s="1"/>
      <c r="E1590" s="1"/>
      <c r="F1590" s="1"/>
      <c r="G1590" s="1"/>
      <c r="H1590" s="1"/>
      <c r="I1590" s="1"/>
      <c r="J1590" s="1"/>
      <c r="K1590" s="1"/>
      <c r="L1590" s="1"/>
      <c r="M1590" s="1"/>
      <c r="N1590" s="1"/>
      <c r="O1590" s="1"/>
      <c r="P1590" s="1"/>
      <c r="Q1590" s="1"/>
      <c r="R1590" s="1"/>
      <c r="S1590" s="1"/>
      <c r="T1590" s="1"/>
      <c r="U1590" s="1"/>
    </row>
    <row r="1591" spans="1:21" ht="17.149999999999999" customHeight="1">
      <c r="A1591" s="1"/>
      <c r="B1591" s="1"/>
      <c r="C1591" s="1"/>
      <c r="D1591" s="1"/>
      <c r="E1591" s="1"/>
      <c r="F1591" s="1"/>
      <c r="G1591" s="1"/>
      <c r="H1591" s="1"/>
      <c r="I1591" s="1"/>
      <c r="J1591" s="1"/>
      <c r="K1591" s="1"/>
      <c r="L1591" s="1"/>
      <c r="M1591" s="1"/>
      <c r="N1591" s="1"/>
      <c r="O1591" s="1"/>
      <c r="P1591" s="1"/>
      <c r="Q1591" s="1"/>
      <c r="R1591" s="1"/>
      <c r="S1591" s="1"/>
      <c r="T1591" s="1"/>
      <c r="U1591" s="1"/>
    </row>
    <row r="1592" spans="1:21" ht="17.149999999999999" customHeight="1">
      <c r="A1592" s="1"/>
      <c r="B1592" s="1"/>
      <c r="C1592" s="1"/>
      <c r="D1592" s="1"/>
      <c r="E1592" s="1"/>
      <c r="F1592" s="1"/>
      <c r="G1592" s="1"/>
      <c r="H1592" s="1"/>
      <c r="I1592" s="1"/>
      <c r="J1592" s="1"/>
      <c r="K1592" s="1"/>
      <c r="L1592" s="1"/>
      <c r="M1592" s="1"/>
      <c r="N1592" s="1"/>
      <c r="O1592" s="1"/>
      <c r="P1592" s="1"/>
      <c r="Q1592" s="1"/>
      <c r="R1592" s="1"/>
      <c r="S1592" s="1"/>
      <c r="T1592" s="1"/>
      <c r="U1592" s="1"/>
    </row>
    <row r="1593" spans="1:21" ht="17.149999999999999" customHeight="1">
      <c r="A1593" s="1"/>
      <c r="B1593" s="1"/>
      <c r="C1593" s="1"/>
      <c r="D1593" s="1"/>
      <c r="E1593" s="1"/>
      <c r="F1593" s="1"/>
      <c r="G1593" s="1"/>
      <c r="H1593" s="1"/>
      <c r="I1593" s="1"/>
      <c r="J1593" s="1"/>
      <c r="K1593" s="1"/>
      <c r="L1593" s="1"/>
      <c r="M1593" s="1"/>
      <c r="N1593" s="1"/>
      <c r="O1593" s="1"/>
      <c r="P1593" s="1"/>
      <c r="Q1593" s="1"/>
      <c r="R1593" s="1"/>
      <c r="S1593" s="1"/>
      <c r="T1593" s="1"/>
      <c r="U1593" s="1"/>
    </row>
    <row r="1594" spans="1:21" ht="17.149999999999999" customHeight="1">
      <c r="A1594" s="1"/>
      <c r="B1594" s="1"/>
      <c r="C1594" s="1"/>
      <c r="D1594" s="1"/>
      <c r="E1594" s="1"/>
      <c r="F1594" s="1"/>
      <c r="G1594" s="1"/>
      <c r="H1594" s="1"/>
      <c r="I1594" s="1"/>
      <c r="J1594" s="1"/>
      <c r="K1594" s="1"/>
      <c r="L1594" s="1"/>
      <c r="M1594" s="1"/>
      <c r="N1594" s="1"/>
      <c r="O1594" s="1"/>
      <c r="P1594" s="1"/>
      <c r="Q1594" s="1"/>
      <c r="R1594" s="1"/>
      <c r="S1594" s="1"/>
      <c r="T1594" s="1"/>
      <c r="U1594" s="1"/>
    </row>
    <row r="1595" spans="1:21" ht="17.149999999999999" customHeight="1">
      <c r="A1595" s="1"/>
      <c r="B1595" s="1"/>
      <c r="C1595" s="1"/>
      <c r="D1595" s="1"/>
      <c r="E1595" s="1"/>
      <c r="F1595" s="1"/>
      <c r="G1595" s="1"/>
      <c r="H1595" s="1"/>
      <c r="I1595" s="1"/>
      <c r="J1595" s="1"/>
      <c r="K1595" s="1"/>
      <c r="L1595" s="1"/>
      <c r="M1595" s="1"/>
      <c r="N1595" s="1"/>
      <c r="O1595" s="1"/>
      <c r="P1595" s="1"/>
      <c r="Q1595" s="1"/>
      <c r="R1595" s="1"/>
      <c r="S1595" s="1"/>
      <c r="T1595" s="1"/>
      <c r="U1595" s="1"/>
    </row>
    <row r="1596" spans="1:21" ht="17.149999999999999" customHeight="1">
      <c r="A1596" s="1"/>
      <c r="B1596" s="1"/>
      <c r="C1596" s="1"/>
      <c r="D1596" s="1"/>
      <c r="E1596" s="1"/>
      <c r="F1596" s="1"/>
      <c r="G1596" s="1"/>
      <c r="H1596" s="1"/>
      <c r="I1596" s="1"/>
      <c r="J1596" s="1"/>
      <c r="K1596" s="1"/>
      <c r="L1596" s="1"/>
      <c r="M1596" s="1"/>
      <c r="N1596" s="1"/>
      <c r="O1596" s="1"/>
      <c r="P1596" s="1"/>
      <c r="Q1596" s="1"/>
      <c r="R1596" s="1"/>
      <c r="S1596" s="1"/>
      <c r="T1596" s="1"/>
      <c r="U1596" s="1"/>
    </row>
    <row r="1597" spans="1:21" ht="17.149999999999999" customHeight="1">
      <c r="A1597" s="1"/>
      <c r="B1597" s="1"/>
      <c r="C1597" s="1"/>
      <c r="D1597" s="1"/>
      <c r="E1597" s="1"/>
      <c r="F1597" s="1"/>
      <c r="G1597" s="1"/>
      <c r="H1597" s="1"/>
      <c r="I1597" s="1"/>
      <c r="J1597" s="1"/>
      <c r="K1597" s="1"/>
      <c r="L1597" s="1"/>
      <c r="M1597" s="1"/>
      <c r="N1597" s="1"/>
      <c r="O1597" s="1"/>
      <c r="P1597" s="1"/>
      <c r="Q1597" s="1"/>
      <c r="R1597" s="1"/>
      <c r="S1597" s="1"/>
      <c r="T1597" s="1"/>
      <c r="U1597" s="1"/>
    </row>
    <row r="1598" spans="1:21" ht="17.149999999999999" customHeight="1">
      <c r="A1598" s="1"/>
      <c r="B1598" s="1"/>
      <c r="C1598" s="1"/>
      <c r="D1598" s="1"/>
      <c r="E1598" s="1"/>
      <c r="F1598" s="1"/>
      <c r="G1598" s="1"/>
      <c r="H1598" s="1"/>
      <c r="I1598" s="1"/>
      <c r="J1598" s="1"/>
      <c r="K1598" s="1"/>
      <c r="L1598" s="1"/>
      <c r="M1598" s="1"/>
      <c r="N1598" s="1"/>
      <c r="O1598" s="1"/>
      <c r="P1598" s="1"/>
      <c r="Q1598" s="1"/>
      <c r="R1598" s="1"/>
      <c r="S1598" s="1"/>
      <c r="T1598" s="1"/>
      <c r="U1598" s="1"/>
    </row>
    <row r="1599" spans="1:21" ht="17.149999999999999" customHeight="1">
      <c r="A1599" s="1"/>
      <c r="B1599" s="1"/>
      <c r="C1599" s="1"/>
      <c r="D1599" s="1"/>
      <c r="E1599" s="1"/>
      <c r="F1599" s="1"/>
      <c r="G1599" s="1"/>
      <c r="H1599" s="1"/>
      <c r="I1599" s="1"/>
      <c r="J1599" s="1"/>
      <c r="K1599" s="1"/>
      <c r="L1599" s="1"/>
      <c r="M1599" s="1"/>
      <c r="N1599" s="1"/>
      <c r="O1599" s="1"/>
      <c r="P1599" s="1"/>
      <c r="Q1599" s="1"/>
      <c r="R1599" s="1"/>
      <c r="S1599" s="1"/>
      <c r="T1599" s="1"/>
      <c r="U1599" s="1"/>
    </row>
    <row r="1600" spans="1:21" ht="17.149999999999999" customHeight="1">
      <c r="A1600" s="1"/>
      <c r="B1600" s="1"/>
      <c r="C1600" s="1"/>
      <c r="D1600" s="1"/>
      <c r="E1600" s="1"/>
      <c r="F1600" s="1"/>
      <c r="G1600" s="1"/>
      <c r="H1600" s="1"/>
      <c r="I1600" s="1"/>
      <c r="J1600" s="1"/>
      <c r="K1600" s="1"/>
      <c r="L1600" s="1"/>
      <c r="M1600" s="1"/>
      <c r="N1600" s="1"/>
      <c r="O1600" s="1"/>
      <c r="P1600" s="1"/>
      <c r="Q1600" s="1"/>
      <c r="R1600" s="1"/>
      <c r="S1600" s="1"/>
      <c r="T1600" s="1"/>
      <c r="U1600" s="1"/>
    </row>
    <row r="1601" spans="1:21" ht="17.149999999999999" customHeight="1">
      <c r="A1601" s="1"/>
      <c r="B1601" s="1"/>
      <c r="C1601" s="1"/>
      <c r="D1601" s="1"/>
      <c r="E1601" s="1"/>
      <c r="F1601" s="1"/>
      <c r="G1601" s="1"/>
      <c r="H1601" s="1"/>
      <c r="I1601" s="1"/>
      <c r="J1601" s="1"/>
      <c r="K1601" s="1"/>
      <c r="L1601" s="1"/>
      <c r="M1601" s="1"/>
      <c r="N1601" s="1"/>
      <c r="O1601" s="1"/>
      <c r="P1601" s="1"/>
      <c r="Q1601" s="1"/>
      <c r="R1601" s="1"/>
      <c r="S1601" s="1"/>
      <c r="T1601" s="1"/>
      <c r="U1601" s="1"/>
    </row>
    <row r="1602" spans="1:21" ht="17.149999999999999" customHeight="1">
      <c r="A1602" s="1"/>
      <c r="B1602" s="1"/>
      <c r="C1602" s="1"/>
      <c r="D1602" s="1"/>
      <c r="E1602" s="1"/>
      <c r="F1602" s="1"/>
      <c r="G1602" s="1"/>
      <c r="H1602" s="1"/>
      <c r="I1602" s="1"/>
      <c r="J1602" s="1"/>
      <c r="K1602" s="1"/>
      <c r="L1602" s="1"/>
      <c r="M1602" s="1"/>
      <c r="N1602" s="1"/>
      <c r="O1602" s="1"/>
      <c r="P1602" s="1"/>
      <c r="Q1602" s="1"/>
      <c r="R1602" s="1"/>
      <c r="S1602" s="1"/>
      <c r="T1602" s="1"/>
      <c r="U1602" s="1"/>
    </row>
    <row r="1603" spans="1:21" ht="17.149999999999999" customHeight="1">
      <c r="A1603" s="1"/>
      <c r="B1603" s="1"/>
      <c r="C1603" s="1"/>
      <c r="D1603" s="1"/>
      <c r="E1603" s="1"/>
      <c r="F1603" s="1"/>
      <c r="G1603" s="1"/>
      <c r="H1603" s="1"/>
      <c r="I1603" s="1"/>
      <c r="J1603" s="1"/>
      <c r="K1603" s="1"/>
      <c r="L1603" s="1"/>
      <c r="M1603" s="1"/>
      <c r="N1603" s="1"/>
      <c r="O1603" s="1"/>
      <c r="P1603" s="1"/>
      <c r="Q1603" s="1"/>
      <c r="R1603" s="1"/>
      <c r="S1603" s="1"/>
      <c r="T1603" s="1"/>
      <c r="U1603" s="1"/>
    </row>
    <row r="1604" spans="1:21" ht="17.149999999999999" customHeight="1">
      <c r="A1604" s="1"/>
      <c r="B1604" s="1"/>
      <c r="C1604" s="1"/>
      <c r="D1604" s="1"/>
      <c r="E1604" s="1"/>
      <c r="F1604" s="1"/>
      <c r="G1604" s="1"/>
      <c r="H1604" s="1"/>
      <c r="I1604" s="1"/>
      <c r="J1604" s="1"/>
      <c r="K1604" s="1"/>
      <c r="L1604" s="1"/>
      <c r="M1604" s="1"/>
      <c r="N1604" s="1"/>
      <c r="O1604" s="1"/>
      <c r="P1604" s="1"/>
      <c r="Q1604" s="1"/>
      <c r="R1604" s="1"/>
      <c r="S1604" s="1"/>
      <c r="T1604" s="1"/>
      <c r="U1604" s="1"/>
    </row>
    <row r="1605" spans="1:21" ht="17.149999999999999" customHeight="1">
      <c r="A1605" s="1"/>
      <c r="B1605" s="1"/>
      <c r="C1605" s="1"/>
      <c r="D1605" s="1"/>
      <c r="E1605" s="1"/>
      <c r="F1605" s="1"/>
      <c r="G1605" s="1"/>
      <c r="H1605" s="1"/>
      <c r="I1605" s="1"/>
      <c r="J1605" s="1"/>
      <c r="K1605" s="1"/>
      <c r="L1605" s="1"/>
      <c r="M1605" s="1"/>
      <c r="N1605" s="1"/>
      <c r="O1605" s="1"/>
      <c r="P1605" s="1"/>
      <c r="Q1605" s="1"/>
      <c r="R1605" s="1"/>
      <c r="S1605" s="1"/>
      <c r="T1605" s="1"/>
      <c r="U1605" s="1"/>
    </row>
    <row r="1606" spans="1:21" ht="17.149999999999999" customHeight="1">
      <c r="A1606" s="1"/>
      <c r="B1606" s="1"/>
      <c r="C1606" s="1"/>
      <c r="D1606" s="1"/>
      <c r="E1606" s="1"/>
      <c r="F1606" s="1"/>
      <c r="G1606" s="1"/>
      <c r="H1606" s="1"/>
      <c r="I1606" s="1"/>
      <c r="J1606" s="1"/>
      <c r="K1606" s="1"/>
      <c r="L1606" s="1"/>
      <c r="M1606" s="1"/>
      <c r="N1606" s="1"/>
      <c r="O1606" s="1"/>
      <c r="P1606" s="1"/>
      <c r="Q1606" s="1"/>
      <c r="R1606" s="1"/>
      <c r="S1606" s="1"/>
      <c r="T1606" s="1"/>
      <c r="U1606" s="1"/>
    </row>
    <row r="1607" spans="1:21" ht="17.149999999999999" customHeight="1">
      <c r="A1607" s="1"/>
      <c r="B1607" s="1"/>
      <c r="C1607" s="1"/>
      <c r="D1607" s="1"/>
      <c r="E1607" s="1"/>
      <c r="F1607" s="1"/>
      <c r="G1607" s="1"/>
      <c r="H1607" s="1"/>
      <c r="I1607" s="1"/>
      <c r="J1607" s="1"/>
      <c r="K1607" s="1"/>
      <c r="L1607" s="1"/>
      <c r="M1607" s="1"/>
      <c r="N1607" s="1"/>
      <c r="O1607" s="1"/>
      <c r="P1607" s="1"/>
      <c r="Q1607" s="1"/>
      <c r="R1607" s="1"/>
      <c r="S1607" s="1"/>
      <c r="T1607" s="1"/>
      <c r="U1607" s="1"/>
    </row>
    <row r="1608" spans="1:21" ht="17.149999999999999" customHeight="1">
      <c r="A1608" s="1"/>
      <c r="B1608" s="1"/>
      <c r="C1608" s="1"/>
      <c r="D1608" s="1"/>
      <c r="E1608" s="1"/>
      <c r="F1608" s="1"/>
      <c r="G1608" s="1"/>
      <c r="H1608" s="1"/>
      <c r="I1608" s="1"/>
      <c r="J1608" s="1"/>
      <c r="K1608" s="1"/>
      <c r="L1608" s="1"/>
      <c r="M1608" s="1"/>
      <c r="N1608" s="1"/>
      <c r="O1608" s="1"/>
      <c r="P1608" s="1"/>
      <c r="Q1608" s="1"/>
      <c r="R1608" s="1"/>
      <c r="S1608" s="1"/>
      <c r="T1608" s="1"/>
      <c r="U1608" s="1"/>
    </row>
    <row r="1609" spans="1:21" ht="17.149999999999999" customHeight="1">
      <c r="A1609" s="1"/>
      <c r="B1609" s="1"/>
      <c r="C1609" s="1"/>
      <c r="D1609" s="1"/>
      <c r="E1609" s="1"/>
      <c r="F1609" s="1"/>
      <c r="G1609" s="1"/>
      <c r="H1609" s="1"/>
      <c r="I1609" s="1"/>
      <c r="J1609" s="1"/>
      <c r="K1609" s="1"/>
      <c r="L1609" s="1"/>
      <c r="M1609" s="1"/>
      <c r="N1609" s="1"/>
      <c r="O1609" s="1"/>
      <c r="P1609" s="1"/>
      <c r="Q1609" s="1"/>
      <c r="R1609" s="1"/>
      <c r="S1609" s="1"/>
      <c r="T1609" s="1"/>
      <c r="U1609" s="1"/>
    </row>
    <row r="1610" spans="1:21" ht="17.149999999999999" customHeight="1">
      <c r="A1610" s="1"/>
      <c r="B1610" s="1"/>
      <c r="C1610" s="1"/>
      <c r="D1610" s="1"/>
      <c r="E1610" s="1"/>
      <c r="F1610" s="1"/>
      <c r="G1610" s="1"/>
      <c r="H1610" s="1"/>
      <c r="I1610" s="1"/>
      <c r="J1610" s="1"/>
      <c r="K1610" s="1"/>
      <c r="L1610" s="1"/>
      <c r="M1610" s="1"/>
      <c r="N1610" s="1"/>
      <c r="O1610" s="1"/>
      <c r="P1610" s="1"/>
      <c r="Q1610" s="1"/>
      <c r="R1610" s="1"/>
      <c r="S1610" s="1"/>
      <c r="T1610" s="1"/>
      <c r="U1610" s="1"/>
    </row>
    <row r="1611" spans="1:21" ht="17.149999999999999" customHeight="1">
      <c r="A1611" s="1"/>
      <c r="B1611" s="1"/>
      <c r="C1611" s="1"/>
      <c r="D1611" s="1"/>
      <c r="E1611" s="1"/>
      <c r="F1611" s="1"/>
      <c r="G1611" s="1"/>
      <c r="H1611" s="1"/>
      <c r="I1611" s="1"/>
      <c r="J1611" s="1"/>
      <c r="K1611" s="1"/>
      <c r="L1611" s="1"/>
      <c r="M1611" s="1"/>
      <c r="N1611" s="1"/>
      <c r="O1611" s="1"/>
      <c r="P1611" s="1"/>
      <c r="Q1611" s="1"/>
      <c r="R1611" s="1"/>
      <c r="S1611" s="1"/>
      <c r="T1611" s="1"/>
      <c r="U1611" s="1"/>
    </row>
    <row r="1612" spans="1:21" ht="17.149999999999999" customHeight="1">
      <c r="A1612" s="1"/>
      <c r="B1612" s="1"/>
      <c r="C1612" s="1"/>
      <c r="D1612" s="1"/>
      <c r="E1612" s="1"/>
      <c r="F1612" s="1"/>
      <c r="G1612" s="1"/>
      <c r="H1612" s="1"/>
      <c r="I1612" s="1"/>
      <c r="J1612" s="1"/>
      <c r="K1612" s="1"/>
      <c r="L1612" s="1"/>
      <c r="M1612" s="1"/>
      <c r="N1612" s="1"/>
      <c r="O1612" s="1"/>
      <c r="P1612" s="1"/>
      <c r="Q1612" s="1"/>
      <c r="R1612" s="1"/>
      <c r="S1612" s="1"/>
      <c r="T1612" s="1"/>
      <c r="U1612" s="1"/>
    </row>
    <row r="1613" spans="1:21" ht="17.149999999999999" customHeight="1">
      <c r="A1613" s="1"/>
      <c r="B1613" s="1"/>
      <c r="C1613" s="1"/>
      <c r="D1613" s="1"/>
      <c r="E1613" s="1"/>
      <c r="F1613" s="1"/>
      <c r="G1613" s="1"/>
      <c r="H1613" s="1"/>
      <c r="I1613" s="1"/>
      <c r="J1613" s="1"/>
      <c r="K1613" s="1"/>
      <c r="L1613" s="1"/>
      <c r="M1613" s="1"/>
      <c r="N1613" s="1"/>
      <c r="O1613" s="1"/>
      <c r="P1613" s="1"/>
      <c r="Q1613" s="1"/>
      <c r="R1613" s="1"/>
      <c r="S1613" s="1"/>
      <c r="T1613" s="1"/>
      <c r="U1613" s="1"/>
    </row>
    <row r="1614" spans="1:21" ht="17.149999999999999" customHeight="1">
      <c r="A1614" s="1"/>
      <c r="B1614" s="1"/>
      <c r="C1614" s="1"/>
      <c r="D1614" s="1"/>
      <c r="E1614" s="1"/>
      <c r="F1614" s="1"/>
      <c r="G1614" s="1"/>
      <c r="H1614" s="1"/>
      <c r="I1614" s="1"/>
      <c r="J1614" s="1"/>
      <c r="K1614" s="1"/>
      <c r="L1614" s="1"/>
      <c r="M1614" s="1"/>
      <c r="N1614" s="1"/>
      <c r="O1614" s="1"/>
      <c r="P1614" s="1"/>
      <c r="Q1614" s="1"/>
      <c r="R1614" s="1"/>
      <c r="S1614" s="1"/>
      <c r="T1614" s="1"/>
      <c r="U1614" s="1"/>
    </row>
    <row r="1615" spans="1:21" ht="17.149999999999999" customHeight="1">
      <c r="A1615" s="1"/>
      <c r="B1615" s="1"/>
      <c r="C1615" s="1"/>
      <c r="D1615" s="1"/>
      <c r="E1615" s="1"/>
      <c r="F1615" s="1"/>
      <c r="G1615" s="1"/>
      <c r="H1615" s="1"/>
      <c r="I1615" s="1"/>
      <c r="J1615" s="1"/>
      <c r="K1615" s="1"/>
      <c r="L1615" s="1"/>
      <c r="M1615" s="1"/>
      <c r="N1615" s="1"/>
      <c r="O1615" s="1"/>
      <c r="P1615" s="1"/>
      <c r="Q1615" s="1"/>
      <c r="R1615" s="1"/>
      <c r="S1615" s="1"/>
      <c r="T1615" s="1"/>
      <c r="U1615" s="1"/>
    </row>
    <row r="1616" spans="1:21" ht="17.149999999999999" customHeight="1">
      <c r="A1616" s="1"/>
      <c r="B1616" s="1"/>
      <c r="C1616" s="1"/>
      <c r="D1616" s="1"/>
      <c r="E1616" s="1"/>
      <c r="F1616" s="1"/>
      <c r="G1616" s="1"/>
      <c r="H1616" s="1"/>
      <c r="I1616" s="1"/>
      <c r="J1616" s="1"/>
      <c r="K1616" s="1"/>
      <c r="L1616" s="1"/>
      <c r="M1616" s="1"/>
      <c r="N1616" s="1"/>
      <c r="O1616" s="1"/>
      <c r="P1616" s="1"/>
      <c r="Q1616" s="1"/>
      <c r="R1616" s="1"/>
      <c r="S1616" s="1"/>
      <c r="T1616" s="1"/>
      <c r="U1616" s="1"/>
    </row>
    <row r="1617" spans="1:21" ht="17.149999999999999" customHeight="1">
      <c r="A1617" s="1"/>
      <c r="B1617" s="1"/>
      <c r="C1617" s="1"/>
      <c r="D1617" s="1"/>
      <c r="E1617" s="1"/>
      <c r="F1617" s="1"/>
      <c r="G1617" s="1"/>
      <c r="H1617" s="1"/>
      <c r="I1617" s="1"/>
      <c r="J1617" s="1"/>
      <c r="K1617" s="1"/>
      <c r="L1617" s="1"/>
      <c r="M1617" s="1"/>
      <c r="N1617" s="1"/>
      <c r="O1617" s="1"/>
      <c r="P1617" s="1"/>
      <c r="Q1617" s="1"/>
      <c r="R1617" s="1"/>
      <c r="S1617" s="1"/>
      <c r="T1617" s="1"/>
      <c r="U1617" s="1"/>
    </row>
    <row r="1618" spans="1:21" ht="17.149999999999999" customHeight="1">
      <c r="A1618" s="1"/>
      <c r="B1618" s="1"/>
      <c r="C1618" s="1"/>
      <c r="D1618" s="1"/>
      <c r="E1618" s="1"/>
      <c r="F1618" s="1"/>
      <c r="G1618" s="1"/>
      <c r="H1618" s="1"/>
      <c r="I1618" s="1"/>
      <c r="J1618" s="1"/>
      <c r="K1618" s="1"/>
      <c r="L1618" s="1"/>
      <c r="M1618" s="1"/>
      <c r="N1618" s="1"/>
      <c r="O1618" s="1"/>
      <c r="P1618" s="1"/>
      <c r="Q1618" s="1"/>
      <c r="R1618" s="1"/>
      <c r="S1618" s="1"/>
      <c r="T1618" s="1"/>
      <c r="U1618" s="1"/>
    </row>
    <row r="1619" spans="1:21" ht="17.149999999999999" customHeight="1">
      <c r="A1619" s="1"/>
      <c r="B1619" s="1"/>
      <c r="C1619" s="1"/>
      <c r="D1619" s="1"/>
      <c r="E1619" s="1"/>
      <c r="F1619" s="1"/>
      <c r="G1619" s="1"/>
      <c r="H1619" s="1"/>
      <c r="I1619" s="1"/>
      <c r="J1619" s="1"/>
      <c r="K1619" s="1"/>
      <c r="L1619" s="1"/>
      <c r="M1619" s="1"/>
      <c r="N1619" s="1"/>
      <c r="O1619" s="1"/>
      <c r="P1619" s="1"/>
      <c r="Q1619" s="1"/>
      <c r="R1619" s="1"/>
      <c r="S1619" s="1"/>
      <c r="T1619" s="1"/>
      <c r="U1619" s="1"/>
    </row>
    <row r="1620" spans="1:21" ht="17.149999999999999" customHeight="1">
      <c r="A1620" s="1"/>
      <c r="B1620" s="1"/>
      <c r="C1620" s="1"/>
      <c r="D1620" s="1"/>
      <c r="E1620" s="1"/>
      <c r="F1620" s="1"/>
      <c r="G1620" s="1"/>
      <c r="H1620" s="1"/>
      <c r="I1620" s="1"/>
      <c r="J1620" s="1"/>
      <c r="K1620" s="1"/>
      <c r="L1620" s="1"/>
      <c r="M1620" s="1"/>
      <c r="N1620" s="1"/>
      <c r="O1620" s="1"/>
      <c r="P1620" s="1"/>
      <c r="Q1620" s="1"/>
      <c r="R1620" s="1"/>
      <c r="S1620" s="1"/>
      <c r="T1620" s="1"/>
      <c r="U1620" s="1"/>
    </row>
    <row r="1621" spans="1:21" ht="17.149999999999999" customHeight="1">
      <c r="A1621" s="1"/>
      <c r="B1621" s="1"/>
      <c r="C1621" s="1"/>
      <c r="D1621" s="1"/>
      <c r="E1621" s="1"/>
      <c r="F1621" s="1"/>
      <c r="G1621" s="1"/>
      <c r="H1621" s="1"/>
      <c r="I1621" s="1"/>
      <c r="J1621" s="1"/>
      <c r="K1621" s="1"/>
      <c r="L1621" s="1"/>
      <c r="M1621" s="1"/>
      <c r="N1621" s="1"/>
      <c r="O1621" s="1"/>
      <c r="P1621" s="1"/>
      <c r="Q1621" s="1"/>
      <c r="R1621" s="1"/>
      <c r="S1621" s="1"/>
      <c r="T1621" s="1"/>
      <c r="U1621" s="1"/>
    </row>
    <row r="1622" spans="1:21" ht="17.149999999999999" customHeight="1">
      <c r="A1622" s="1"/>
      <c r="B1622" s="1"/>
      <c r="C1622" s="1"/>
      <c r="D1622" s="1"/>
      <c r="E1622" s="1"/>
      <c r="F1622" s="1"/>
      <c r="G1622" s="1"/>
      <c r="H1622" s="1"/>
      <c r="I1622" s="1"/>
      <c r="J1622" s="1"/>
      <c r="K1622" s="1"/>
      <c r="L1622" s="1"/>
      <c r="M1622" s="1"/>
      <c r="N1622" s="1"/>
      <c r="O1622" s="1"/>
      <c r="P1622" s="1"/>
      <c r="Q1622" s="1"/>
      <c r="R1622" s="1"/>
      <c r="S1622" s="1"/>
      <c r="T1622" s="1"/>
      <c r="U1622" s="1"/>
    </row>
    <row r="1623" spans="1:21" ht="17.149999999999999" customHeight="1">
      <c r="A1623" s="1"/>
      <c r="B1623" s="1"/>
      <c r="C1623" s="1"/>
      <c r="D1623" s="1"/>
      <c r="E1623" s="1"/>
      <c r="F1623" s="1"/>
      <c r="G1623" s="1"/>
      <c r="H1623" s="1"/>
      <c r="I1623" s="1"/>
      <c r="J1623" s="1"/>
      <c r="K1623" s="1"/>
      <c r="L1623" s="1"/>
      <c r="M1623" s="1"/>
      <c r="N1623" s="1"/>
      <c r="O1623" s="1"/>
      <c r="P1623" s="1"/>
      <c r="Q1623" s="1"/>
      <c r="R1623" s="1"/>
      <c r="S1623" s="1"/>
      <c r="T1623" s="1"/>
      <c r="U1623" s="1"/>
    </row>
    <row r="1624" spans="1:21" ht="17.149999999999999" customHeight="1">
      <c r="A1624" s="1"/>
      <c r="B1624" s="1"/>
      <c r="C1624" s="1"/>
      <c r="D1624" s="1"/>
      <c r="E1624" s="1"/>
      <c r="F1624" s="1"/>
      <c r="G1624" s="1"/>
      <c r="H1624" s="1"/>
      <c r="I1624" s="1"/>
      <c r="J1624" s="1"/>
      <c r="K1624" s="1"/>
      <c r="L1624" s="1"/>
      <c r="M1624" s="1"/>
      <c r="N1624" s="1"/>
      <c r="O1624" s="1"/>
      <c r="P1624" s="1"/>
      <c r="Q1624" s="1"/>
      <c r="R1624" s="1"/>
      <c r="S1624" s="1"/>
      <c r="T1624" s="1"/>
      <c r="U1624" s="1"/>
    </row>
    <row r="1625" spans="1:21" ht="17.149999999999999" customHeight="1">
      <c r="A1625" s="1"/>
      <c r="B1625" s="1"/>
      <c r="C1625" s="1"/>
      <c r="D1625" s="1"/>
      <c r="E1625" s="1"/>
      <c r="F1625" s="1"/>
      <c r="G1625" s="1"/>
      <c r="H1625" s="1"/>
      <c r="I1625" s="1"/>
      <c r="J1625" s="1"/>
      <c r="K1625" s="1"/>
      <c r="L1625" s="1"/>
      <c r="M1625" s="1"/>
      <c r="N1625" s="1"/>
      <c r="O1625" s="1"/>
      <c r="P1625" s="1"/>
      <c r="Q1625" s="1"/>
      <c r="R1625" s="1"/>
      <c r="S1625" s="1"/>
      <c r="T1625" s="1"/>
      <c r="U1625" s="1"/>
    </row>
    <row r="1626" spans="1:21" ht="17.149999999999999" customHeight="1">
      <c r="A1626" s="1"/>
      <c r="B1626" s="1"/>
      <c r="C1626" s="1"/>
      <c r="D1626" s="1"/>
      <c r="E1626" s="1"/>
      <c r="F1626" s="1"/>
      <c r="G1626" s="1"/>
      <c r="H1626" s="1"/>
      <c r="I1626" s="1"/>
      <c r="J1626" s="1"/>
      <c r="K1626" s="1"/>
      <c r="L1626" s="1"/>
      <c r="M1626" s="1"/>
      <c r="N1626" s="1"/>
      <c r="O1626" s="1"/>
      <c r="P1626" s="1"/>
      <c r="Q1626" s="1"/>
      <c r="R1626" s="1"/>
      <c r="S1626" s="1"/>
      <c r="T1626" s="1"/>
      <c r="U1626" s="1"/>
    </row>
    <row r="1627" spans="1:21" ht="17.149999999999999" customHeight="1">
      <c r="A1627" s="1"/>
      <c r="B1627" s="1"/>
      <c r="C1627" s="1"/>
      <c r="D1627" s="1"/>
      <c r="E1627" s="1"/>
      <c r="F1627" s="1"/>
      <c r="G1627" s="1"/>
      <c r="H1627" s="1"/>
      <c r="I1627" s="1"/>
      <c r="J1627" s="1"/>
      <c r="K1627" s="1"/>
      <c r="L1627" s="1"/>
      <c r="M1627" s="1"/>
      <c r="N1627" s="1"/>
      <c r="O1627" s="1"/>
      <c r="P1627" s="1"/>
      <c r="Q1627" s="1"/>
      <c r="R1627" s="1"/>
      <c r="S1627" s="1"/>
      <c r="T1627" s="1"/>
      <c r="U1627" s="1"/>
    </row>
    <row r="1628" spans="1:21" ht="17.149999999999999" customHeight="1">
      <c r="A1628" s="1"/>
      <c r="B1628" s="1"/>
      <c r="C1628" s="1"/>
      <c r="D1628" s="1"/>
      <c r="E1628" s="1"/>
      <c r="F1628" s="1"/>
      <c r="G1628" s="1"/>
      <c r="H1628" s="1"/>
      <c r="I1628" s="1"/>
      <c r="J1628" s="1"/>
      <c r="K1628" s="1"/>
      <c r="L1628" s="1"/>
      <c r="M1628" s="1"/>
      <c r="N1628" s="1"/>
      <c r="O1628" s="1"/>
      <c r="P1628" s="1"/>
      <c r="Q1628" s="1"/>
      <c r="R1628" s="1"/>
      <c r="S1628" s="1"/>
      <c r="T1628" s="1"/>
      <c r="U1628" s="1"/>
    </row>
    <row r="1629" spans="1:21" ht="17.149999999999999" customHeight="1">
      <c r="A1629" s="1"/>
      <c r="B1629" s="1"/>
      <c r="C1629" s="1"/>
      <c r="D1629" s="1"/>
      <c r="E1629" s="1"/>
      <c r="F1629" s="1"/>
      <c r="G1629" s="1"/>
      <c r="H1629" s="1"/>
      <c r="I1629" s="1"/>
      <c r="J1629" s="1"/>
      <c r="K1629" s="1"/>
      <c r="L1629" s="1"/>
      <c r="M1629" s="1"/>
      <c r="N1629" s="1"/>
      <c r="O1629" s="1"/>
      <c r="P1629" s="1"/>
      <c r="Q1629" s="1"/>
      <c r="R1629" s="1"/>
      <c r="S1629" s="1"/>
      <c r="T1629" s="1"/>
      <c r="U1629" s="1"/>
    </row>
    <row r="1630" spans="1:21" ht="17.149999999999999" customHeight="1">
      <c r="A1630" s="1"/>
      <c r="B1630" s="1"/>
      <c r="C1630" s="1"/>
      <c r="D1630" s="1"/>
      <c r="E1630" s="1"/>
      <c r="F1630" s="1"/>
      <c r="G1630" s="1"/>
      <c r="H1630" s="1"/>
      <c r="I1630" s="1"/>
      <c r="J1630" s="1"/>
      <c r="K1630" s="1"/>
      <c r="L1630" s="1"/>
      <c r="M1630" s="1"/>
      <c r="N1630" s="1"/>
      <c r="O1630" s="1"/>
      <c r="P1630" s="1"/>
      <c r="Q1630" s="1"/>
      <c r="R1630" s="1"/>
      <c r="S1630" s="1"/>
      <c r="T1630" s="1"/>
      <c r="U1630" s="1"/>
    </row>
    <row r="1631" spans="1:21" ht="17.149999999999999" customHeight="1">
      <c r="A1631" s="1"/>
      <c r="B1631" s="1"/>
      <c r="C1631" s="1"/>
      <c r="D1631" s="1"/>
      <c r="E1631" s="1"/>
      <c r="F1631" s="1"/>
      <c r="G1631" s="1"/>
      <c r="H1631" s="1"/>
      <c r="I1631" s="1"/>
      <c r="J1631" s="1"/>
      <c r="K1631" s="1"/>
      <c r="L1631" s="1"/>
      <c r="M1631" s="1"/>
      <c r="N1631" s="1"/>
      <c r="O1631" s="1"/>
      <c r="P1631" s="1"/>
      <c r="Q1631" s="1"/>
      <c r="R1631" s="1"/>
      <c r="S1631" s="1"/>
      <c r="T1631" s="1"/>
      <c r="U1631" s="1"/>
    </row>
    <row r="1632" spans="1:21" ht="17.149999999999999" customHeight="1">
      <c r="A1632" s="1"/>
      <c r="B1632" s="1"/>
      <c r="C1632" s="1"/>
      <c r="D1632" s="1"/>
      <c r="E1632" s="1"/>
      <c r="F1632" s="1"/>
      <c r="G1632" s="1"/>
      <c r="H1632" s="1"/>
      <c r="I1632" s="1"/>
      <c r="J1632" s="1"/>
      <c r="K1632" s="1"/>
      <c r="L1632" s="1"/>
      <c r="M1632" s="1"/>
      <c r="N1632" s="1"/>
      <c r="O1632" s="1"/>
      <c r="P1632" s="1"/>
      <c r="Q1632" s="1"/>
      <c r="R1632" s="1"/>
      <c r="S1632" s="1"/>
      <c r="T1632" s="1"/>
      <c r="U1632" s="1"/>
    </row>
    <row r="1633" spans="1:21" ht="17.149999999999999" customHeight="1">
      <c r="A1633" s="1"/>
      <c r="B1633" s="1"/>
      <c r="C1633" s="1"/>
      <c r="D1633" s="1"/>
      <c r="E1633" s="1"/>
      <c r="F1633" s="1"/>
      <c r="G1633" s="1"/>
      <c r="H1633" s="1"/>
      <c r="I1633" s="1"/>
      <c r="J1633" s="1"/>
      <c r="K1633" s="1"/>
      <c r="L1633" s="1"/>
      <c r="M1633" s="1"/>
      <c r="N1633" s="1"/>
      <c r="O1633" s="1"/>
      <c r="P1633" s="1"/>
      <c r="Q1633" s="1"/>
      <c r="R1633" s="1"/>
      <c r="S1633" s="1"/>
      <c r="T1633" s="1"/>
      <c r="U1633" s="1"/>
    </row>
    <row r="1634" spans="1:21" ht="17.149999999999999" customHeight="1">
      <c r="A1634" s="1"/>
      <c r="B1634" s="1"/>
      <c r="C1634" s="1"/>
      <c r="D1634" s="1"/>
      <c r="E1634" s="1"/>
      <c r="F1634" s="1"/>
      <c r="G1634" s="1"/>
      <c r="H1634" s="1"/>
      <c r="I1634" s="1"/>
      <c r="J1634" s="1"/>
      <c r="K1634" s="1"/>
      <c r="L1634" s="1"/>
      <c r="M1634" s="1"/>
      <c r="N1634" s="1"/>
      <c r="O1634" s="1"/>
      <c r="P1634" s="1"/>
      <c r="Q1634" s="1"/>
      <c r="R1634" s="1"/>
      <c r="S1634" s="1"/>
      <c r="T1634" s="1"/>
      <c r="U1634" s="1"/>
    </row>
    <row r="1635" spans="1:21" ht="17.149999999999999" customHeight="1">
      <c r="A1635" s="1"/>
      <c r="B1635" s="1"/>
      <c r="C1635" s="1"/>
      <c r="D1635" s="1"/>
      <c r="E1635" s="1"/>
      <c r="F1635" s="1"/>
      <c r="G1635" s="1"/>
      <c r="H1635" s="1"/>
      <c r="I1635" s="1"/>
      <c r="J1635" s="1"/>
      <c r="K1635" s="1"/>
      <c r="L1635" s="1"/>
      <c r="M1635" s="1"/>
      <c r="N1635" s="1"/>
      <c r="O1635" s="1"/>
      <c r="P1635" s="1"/>
      <c r="Q1635" s="1"/>
      <c r="R1635" s="1"/>
      <c r="S1635" s="1"/>
      <c r="T1635" s="1"/>
      <c r="U1635" s="1"/>
    </row>
    <row r="1636" spans="1:21" ht="17.149999999999999" customHeight="1">
      <c r="A1636" s="1"/>
      <c r="B1636" s="1"/>
      <c r="C1636" s="1"/>
      <c r="D1636" s="1"/>
      <c r="E1636" s="1"/>
      <c r="F1636" s="1"/>
      <c r="G1636" s="1"/>
      <c r="H1636" s="1"/>
      <c r="I1636" s="1"/>
      <c r="J1636" s="1"/>
      <c r="K1636" s="1"/>
      <c r="L1636" s="1"/>
      <c r="M1636" s="1"/>
      <c r="N1636" s="1"/>
      <c r="O1636" s="1"/>
      <c r="P1636" s="1"/>
      <c r="Q1636" s="1"/>
      <c r="R1636" s="1"/>
      <c r="S1636" s="1"/>
      <c r="T1636" s="1"/>
      <c r="U1636" s="1"/>
    </row>
    <row r="1637" spans="1:21" ht="17.149999999999999" customHeight="1">
      <c r="A1637" s="1"/>
      <c r="B1637" s="1"/>
      <c r="C1637" s="1"/>
      <c r="D1637" s="1"/>
      <c r="E1637" s="1"/>
      <c r="F1637" s="1"/>
      <c r="G1637" s="1"/>
      <c r="H1637" s="1"/>
      <c r="I1637" s="1"/>
      <c r="J1637" s="1"/>
      <c r="K1637" s="1"/>
      <c r="L1637" s="1"/>
      <c r="M1637" s="1"/>
      <c r="N1637" s="1"/>
      <c r="O1637" s="1"/>
      <c r="P1637" s="1"/>
      <c r="Q1637" s="1"/>
      <c r="R1637" s="1"/>
      <c r="S1637" s="1"/>
      <c r="T1637" s="1"/>
      <c r="U1637" s="1"/>
    </row>
    <row r="1638" spans="1:21" ht="17.149999999999999" customHeight="1">
      <c r="A1638" s="1"/>
      <c r="B1638" s="1"/>
      <c r="C1638" s="1"/>
      <c r="D1638" s="1"/>
      <c r="E1638" s="1"/>
      <c r="F1638" s="1"/>
      <c r="G1638" s="1"/>
      <c r="H1638" s="1"/>
      <c r="I1638" s="1"/>
      <c r="J1638" s="1"/>
      <c r="K1638" s="1"/>
      <c r="L1638" s="1"/>
      <c r="M1638" s="1"/>
      <c r="N1638" s="1"/>
      <c r="O1638" s="1"/>
      <c r="P1638" s="1"/>
      <c r="Q1638" s="1"/>
      <c r="R1638" s="1"/>
      <c r="S1638" s="1"/>
      <c r="T1638" s="1"/>
      <c r="U1638" s="1"/>
    </row>
    <row r="1639" spans="1:21" ht="17.149999999999999" customHeight="1">
      <c r="A1639" s="1"/>
      <c r="B1639" s="1"/>
      <c r="C1639" s="1"/>
      <c r="D1639" s="1"/>
      <c r="E1639" s="1"/>
      <c r="F1639" s="1"/>
      <c r="G1639" s="1"/>
      <c r="H1639" s="1"/>
      <c r="I1639" s="1"/>
      <c r="J1639" s="1"/>
      <c r="K1639" s="1"/>
      <c r="L1639" s="1"/>
      <c r="M1639" s="1"/>
      <c r="N1639" s="1"/>
      <c r="O1639" s="1"/>
      <c r="P1639" s="1"/>
      <c r="Q1639" s="1"/>
      <c r="R1639" s="1"/>
      <c r="S1639" s="1"/>
      <c r="T1639" s="1"/>
      <c r="U1639" s="1"/>
    </row>
    <row r="1640" spans="1:21" ht="17.149999999999999" customHeight="1">
      <c r="A1640" s="1"/>
      <c r="B1640" s="1"/>
      <c r="C1640" s="1"/>
      <c r="D1640" s="1"/>
      <c r="E1640" s="1"/>
      <c r="F1640" s="1"/>
      <c r="G1640" s="1"/>
      <c r="H1640" s="1"/>
      <c r="I1640" s="1"/>
      <c r="J1640" s="1"/>
      <c r="K1640" s="1"/>
      <c r="L1640" s="1"/>
      <c r="M1640" s="1"/>
      <c r="N1640" s="1"/>
      <c r="O1640" s="1"/>
      <c r="P1640" s="1"/>
      <c r="Q1640" s="1"/>
      <c r="R1640" s="1"/>
      <c r="S1640" s="1"/>
      <c r="T1640" s="1"/>
      <c r="U1640" s="1"/>
    </row>
    <row r="1641" spans="1:21" ht="17.149999999999999" customHeight="1">
      <c r="A1641" s="1"/>
      <c r="B1641" s="1"/>
      <c r="C1641" s="1"/>
      <c r="D1641" s="1"/>
      <c r="E1641" s="1"/>
      <c r="F1641" s="1"/>
      <c r="G1641" s="1"/>
      <c r="H1641" s="1"/>
      <c r="I1641" s="1"/>
      <c r="J1641" s="1"/>
      <c r="K1641" s="1"/>
      <c r="L1641" s="1"/>
      <c r="M1641" s="1"/>
      <c r="N1641" s="1"/>
      <c r="O1641" s="1"/>
      <c r="P1641" s="1"/>
      <c r="Q1641" s="1"/>
      <c r="R1641" s="1"/>
      <c r="S1641" s="1"/>
      <c r="T1641" s="1"/>
      <c r="U1641" s="1"/>
    </row>
    <row r="1642" spans="1:21" ht="17.149999999999999" customHeight="1">
      <c r="A1642" s="1"/>
      <c r="B1642" s="1"/>
      <c r="C1642" s="1"/>
      <c r="D1642" s="1"/>
      <c r="E1642" s="1"/>
      <c r="F1642" s="1"/>
      <c r="G1642" s="1"/>
      <c r="H1642" s="1"/>
      <c r="I1642" s="1"/>
      <c r="J1642" s="1"/>
      <c r="K1642" s="1"/>
      <c r="L1642" s="1"/>
      <c r="M1642" s="1"/>
      <c r="N1642" s="1"/>
      <c r="O1642" s="1"/>
      <c r="P1642" s="1"/>
      <c r="Q1642" s="1"/>
      <c r="R1642" s="1"/>
      <c r="S1642" s="1"/>
      <c r="T1642" s="1"/>
      <c r="U1642" s="1"/>
    </row>
    <row r="1643" spans="1:21" ht="17.149999999999999" customHeight="1">
      <c r="A1643" s="1"/>
      <c r="B1643" s="1"/>
      <c r="C1643" s="1"/>
      <c r="D1643" s="1"/>
      <c r="E1643" s="1"/>
      <c r="F1643" s="1"/>
      <c r="G1643" s="1"/>
      <c r="H1643" s="1"/>
      <c r="I1643" s="1"/>
      <c r="J1643" s="1"/>
      <c r="K1643" s="1"/>
      <c r="L1643" s="1"/>
      <c r="M1643" s="1"/>
      <c r="N1643" s="1"/>
      <c r="O1643" s="1"/>
      <c r="P1643" s="1"/>
      <c r="Q1643" s="1"/>
      <c r="R1643" s="1"/>
      <c r="S1643" s="1"/>
      <c r="T1643" s="1"/>
      <c r="U1643" s="1"/>
    </row>
    <row r="1644" spans="1:21" ht="17.149999999999999" customHeight="1">
      <c r="A1644" s="1"/>
      <c r="B1644" s="1"/>
      <c r="C1644" s="1"/>
      <c r="D1644" s="1"/>
      <c r="E1644" s="1"/>
      <c r="F1644" s="1"/>
      <c r="G1644" s="1"/>
      <c r="H1644" s="1"/>
      <c r="I1644" s="1"/>
      <c r="J1644" s="1"/>
      <c r="K1644" s="1"/>
      <c r="L1644" s="1"/>
      <c r="M1644" s="1"/>
      <c r="N1644" s="1"/>
      <c r="O1644" s="1"/>
      <c r="P1644" s="1"/>
      <c r="Q1644" s="1"/>
      <c r="R1644" s="1"/>
      <c r="S1644" s="1"/>
      <c r="T1644" s="1"/>
      <c r="U1644" s="1"/>
    </row>
    <row r="1645" spans="1:21" ht="17.149999999999999" customHeight="1">
      <c r="A1645" s="1"/>
      <c r="B1645" s="1"/>
      <c r="C1645" s="1"/>
      <c r="D1645" s="1"/>
      <c r="E1645" s="1"/>
      <c r="F1645" s="1"/>
      <c r="G1645" s="1"/>
      <c r="H1645" s="1"/>
      <c r="I1645" s="1"/>
      <c r="J1645" s="1"/>
      <c r="K1645" s="1"/>
      <c r="L1645" s="1"/>
      <c r="M1645" s="1"/>
      <c r="N1645" s="1"/>
      <c r="O1645" s="1"/>
      <c r="P1645" s="1"/>
      <c r="Q1645" s="1"/>
      <c r="R1645" s="1"/>
      <c r="S1645" s="1"/>
      <c r="T1645" s="1"/>
      <c r="U1645" s="1"/>
    </row>
    <row r="1646" spans="1:21" ht="17.149999999999999" customHeight="1">
      <c r="A1646" s="1"/>
      <c r="B1646" s="1"/>
      <c r="C1646" s="1"/>
      <c r="D1646" s="1"/>
      <c r="E1646" s="1"/>
      <c r="F1646" s="1"/>
      <c r="G1646" s="1"/>
      <c r="H1646" s="1"/>
      <c r="I1646" s="1"/>
      <c r="J1646" s="1"/>
      <c r="K1646" s="1"/>
      <c r="L1646" s="1"/>
      <c r="M1646" s="1"/>
      <c r="N1646" s="1"/>
      <c r="O1646" s="1"/>
      <c r="P1646" s="1"/>
      <c r="Q1646" s="1"/>
      <c r="R1646" s="1"/>
      <c r="S1646" s="1"/>
      <c r="T1646" s="1"/>
      <c r="U1646" s="1"/>
    </row>
    <row r="1647" spans="1:21" ht="17.149999999999999" customHeight="1">
      <c r="A1647" s="1"/>
      <c r="B1647" s="1"/>
      <c r="C1647" s="1"/>
      <c r="D1647" s="1"/>
      <c r="E1647" s="1"/>
      <c r="F1647" s="1"/>
      <c r="G1647" s="1"/>
      <c r="H1647" s="1"/>
      <c r="I1647" s="1"/>
      <c r="J1647" s="1"/>
      <c r="K1647" s="1"/>
      <c r="L1647" s="1"/>
      <c r="M1647" s="1"/>
      <c r="N1647" s="1"/>
      <c r="O1647" s="1"/>
      <c r="P1647" s="1"/>
      <c r="Q1647" s="1"/>
      <c r="R1647" s="1"/>
      <c r="S1647" s="1"/>
      <c r="T1647" s="1"/>
      <c r="U1647" s="1"/>
    </row>
    <row r="1648" spans="1:21" ht="17.149999999999999" customHeight="1">
      <c r="A1648" s="1"/>
      <c r="B1648" s="1"/>
      <c r="C1648" s="1"/>
      <c r="D1648" s="1"/>
      <c r="E1648" s="1"/>
      <c r="F1648" s="1"/>
      <c r="G1648" s="1"/>
      <c r="H1648" s="1"/>
      <c r="I1648" s="1"/>
      <c r="J1648" s="1"/>
      <c r="K1648" s="1"/>
      <c r="L1648" s="1"/>
      <c r="M1648" s="1"/>
      <c r="N1648" s="1"/>
      <c r="O1648" s="1"/>
      <c r="P1648" s="1"/>
      <c r="Q1648" s="1"/>
      <c r="R1648" s="1"/>
      <c r="S1648" s="1"/>
      <c r="T1648" s="1"/>
      <c r="U1648" s="1"/>
    </row>
    <row r="1649" spans="1:21" ht="17.149999999999999" customHeight="1">
      <c r="A1649" s="1"/>
      <c r="B1649" s="1"/>
      <c r="C1649" s="1"/>
      <c r="D1649" s="1"/>
      <c r="E1649" s="1"/>
      <c r="F1649" s="1"/>
      <c r="G1649" s="1"/>
      <c r="H1649" s="1"/>
      <c r="I1649" s="1"/>
      <c r="J1649" s="1"/>
      <c r="K1649" s="1"/>
      <c r="L1649" s="1"/>
      <c r="M1649" s="1"/>
      <c r="N1649" s="1"/>
      <c r="O1649" s="1"/>
      <c r="P1649" s="1"/>
      <c r="Q1649" s="1"/>
      <c r="R1649" s="1"/>
      <c r="S1649" s="1"/>
      <c r="T1649" s="1"/>
      <c r="U1649" s="1"/>
    </row>
    <row r="1650" spans="1:21" ht="17.149999999999999" customHeight="1">
      <c r="A1650" s="1"/>
      <c r="B1650" s="1"/>
      <c r="C1650" s="1"/>
      <c r="D1650" s="1"/>
      <c r="E1650" s="1"/>
      <c r="F1650" s="1"/>
      <c r="G1650" s="1"/>
      <c r="H1650" s="1"/>
      <c r="I1650" s="1"/>
      <c r="J1650" s="1"/>
      <c r="K1650" s="1"/>
      <c r="L1650" s="1"/>
      <c r="M1650" s="1"/>
      <c r="N1650" s="1"/>
      <c r="O1650" s="1"/>
      <c r="P1650" s="1"/>
      <c r="Q1650" s="1"/>
      <c r="R1650" s="1"/>
      <c r="S1650" s="1"/>
      <c r="T1650" s="1"/>
      <c r="U1650" s="1"/>
    </row>
    <row r="1651" spans="1:21" ht="17.149999999999999" customHeight="1">
      <c r="A1651" s="1"/>
      <c r="B1651" s="1"/>
      <c r="C1651" s="1"/>
      <c r="D1651" s="1"/>
      <c r="E1651" s="1"/>
      <c r="F1651" s="1"/>
      <c r="G1651" s="1"/>
      <c r="H1651" s="1"/>
      <c r="I1651" s="1"/>
      <c r="J1651" s="1"/>
      <c r="K1651" s="1"/>
      <c r="L1651" s="1"/>
      <c r="M1651" s="1"/>
      <c r="N1651" s="1"/>
      <c r="O1651" s="1"/>
      <c r="P1651" s="1"/>
      <c r="Q1651" s="1"/>
      <c r="R1651" s="1"/>
      <c r="S1651" s="1"/>
      <c r="T1651" s="1"/>
      <c r="U1651" s="1"/>
    </row>
    <row r="1652" spans="1:21" ht="17.149999999999999" customHeight="1">
      <c r="A1652" s="1"/>
      <c r="B1652" s="1"/>
      <c r="C1652" s="1"/>
      <c r="D1652" s="1"/>
      <c r="E1652" s="1"/>
      <c r="F1652" s="1"/>
      <c r="G1652" s="1"/>
      <c r="H1652" s="1"/>
      <c r="I1652" s="1"/>
      <c r="J1652" s="1"/>
      <c r="K1652" s="1"/>
      <c r="L1652" s="1"/>
      <c r="M1652" s="1"/>
      <c r="N1652" s="1"/>
      <c r="O1652" s="1"/>
      <c r="P1652" s="1"/>
      <c r="Q1652" s="1"/>
      <c r="R1652" s="1"/>
      <c r="S1652" s="1"/>
      <c r="T1652" s="1"/>
      <c r="U1652" s="1"/>
    </row>
    <row r="1653" spans="1:21" ht="17.149999999999999" customHeight="1">
      <c r="A1653" s="1"/>
      <c r="B1653" s="1"/>
      <c r="C1653" s="1"/>
      <c r="D1653" s="1"/>
      <c r="E1653" s="1"/>
      <c r="F1653" s="1"/>
      <c r="G1653" s="1"/>
      <c r="H1653" s="1"/>
      <c r="I1653" s="1"/>
      <c r="J1653" s="1"/>
      <c r="K1653" s="1"/>
      <c r="L1653" s="1"/>
      <c r="M1653" s="1"/>
      <c r="N1653" s="1"/>
      <c r="O1653" s="1"/>
      <c r="P1653" s="1"/>
      <c r="Q1653" s="1"/>
      <c r="R1653" s="1"/>
      <c r="S1653" s="1"/>
      <c r="T1653" s="1"/>
      <c r="U1653" s="1"/>
    </row>
    <row r="1654" spans="1:21" ht="17.149999999999999" customHeight="1">
      <c r="A1654" s="1"/>
      <c r="B1654" s="1"/>
      <c r="C1654" s="1"/>
      <c r="D1654" s="1"/>
      <c r="E1654" s="1"/>
      <c r="F1654" s="1"/>
      <c r="G1654" s="1"/>
      <c r="H1654" s="1"/>
      <c r="I1654" s="1"/>
      <c r="J1654" s="1"/>
      <c r="K1654" s="1"/>
      <c r="L1654" s="1"/>
      <c r="M1654" s="1"/>
      <c r="N1654" s="1"/>
      <c r="O1654" s="1"/>
      <c r="P1654" s="1"/>
      <c r="Q1654" s="1"/>
      <c r="R1654" s="1"/>
      <c r="S1654" s="1"/>
      <c r="T1654" s="1"/>
      <c r="U1654" s="1"/>
    </row>
    <row r="1655" spans="1:21" ht="17.149999999999999" customHeight="1">
      <c r="A1655" s="1"/>
      <c r="B1655" s="1"/>
      <c r="C1655" s="1"/>
      <c r="D1655" s="1"/>
      <c r="E1655" s="1"/>
      <c r="F1655" s="1"/>
      <c r="G1655" s="1"/>
      <c r="H1655" s="1"/>
      <c r="I1655" s="1"/>
      <c r="J1655" s="1"/>
      <c r="K1655" s="1"/>
      <c r="L1655" s="1"/>
      <c r="M1655" s="1"/>
      <c r="N1655" s="1"/>
      <c r="O1655" s="1"/>
      <c r="P1655" s="1"/>
      <c r="Q1655" s="1"/>
      <c r="R1655" s="1"/>
      <c r="S1655" s="1"/>
      <c r="T1655" s="1"/>
      <c r="U1655" s="1"/>
    </row>
    <row r="1656" spans="1:21" ht="17.149999999999999" customHeight="1">
      <c r="A1656" s="1"/>
      <c r="B1656" s="1"/>
      <c r="C1656" s="1"/>
      <c r="D1656" s="1"/>
      <c r="E1656" s="1"/>
      <c r="F1656" s="1"/>
      <c r="G1656" s="1"/>
      <c r="H1656" s="1"/>
      <c r="I1656" s="1"/>
      <c r="J1656" s="1"/>
      <c r="K1656" s="1"/>
      <c r="L1656" s="1"/>
      <c r="M1656" s="1"/>
      <c r="N1656" s="1"/>
      <c r="O1656" s="1"/>
      <c r="P1656" s="1"/>
      <c r="Q1656" s="1"/>
      <c r="R1656" s="1"/>
      <c r="S1656" s="1"/>
      <c r="T1656" s="1"/>
      <c r="U1656" s="1"/>
    </row>
    <row r="1657" spans="1:21" ht="17.149999999999999" customHeight="1">
      <c r="A1657" s="1"/>
      <c r="B1657" s="1"/>
      <c r="C1657" s="1"/>
      <c r="D1657" s="1"/>
      <c r="E1657" s="1"/>
      <c r="F1657" s="1"/>
      <c r="G1657" s="1"/>
      <c r="H1657" s="1"/>
      <c r="I1657" s="1"/>
      <c r="J1657" s="1"/>
      <c r="K1657" s="1"/>
      <c r="L1657" s="1"/>
      <c r="M1657" s="1"/>
      <c r="N1657" s="1"/>
      <c r="O1657" s="1"/>
      <c r="P1657" s="1"/>
      <c r="Q1657" s="1"/>
      <c r="R1657" s="1"/>
      <c r="S1657" s="1"/>
      <c r="T1657" s="1"/>
      <c r="U1657" s="1"/>
    </row>
    <row r="1658" spans="1:21" ht="17.149999999999999" customHeight="1">
      <c r="A1658" s="1"/>
      <c r="B1658" s="1"/>
      <c r="C1658" s="1"/>
      <c r="D1658" s="1"/>
      <c r="E1658" s="1"/>
      <c r="F1658" s="1"/>
      <c r="G1658" s="1"/>
      <c r="H1658" s="1"/>
      <c r="I1658" s="1"/>
      <c r="J1658" s="1"/>
      <c r="K1658" s="1"/>
      <c r="L1658" s="1"/>
      <c r="M1658" s="1"/>
      <c r="N1658" s="1"/>
      <c r="O1658" s="1"/>
      <c r="P1658" s="1"/>
      <c r="Q1658" s="1"/>
      <c r="R1658" s="1"/>
      <c r="S1658" s="1"/>
      <c r="T1658" s="1"/>
      <c r="U1658" s="1"/>
    </row>
    <row r="1659" spans="1:21" ht="17.149999999999999" customHeight="1">
      <c r="A1659" s="1"/>
      <c r="B1659" s="1"/>
      <c r="C1659" s="1"/>
      <c r="D1659" s="1"/>
      <c r="E1659" s="1"/>
      <c r="F1659" s="1"/>
      <c r="G1659" s="1"/>
      <c r="H1659" s="1"/>
      <c r="I1659" s="1"/>
      <c r="J1659" s="1"/>
      <c r="K1659" s="1"/>
      <c r="L1659" s="1"/>
      <c r="M1659" s="1"/>
      <c r="N1659" s="1"/>
      <c r="O1659" s="1"/>
      <c r="P1659" s="1"/>
      <c r="Q1659" s="1"/>
      <c r="R1659" s="1"/>
      <c r="S1659" s="1"/>
      <c r="T1659" s="1"/>
      <c r="U1659" s="1"/>
    </row>
    <row r="1660" spans="1:21" ht="17.149999999999999" customHeight="1">
      <c r="A1660" s="1"/>
      <c r="B1660" s="1"/>
      <c r="C1660" s="1"/>
      <c r="D1660" s="1"/>
      <c r="E1660" s="1"/>
      <c r="F1660" s="1"/>
      <c r="G1660" s="1"/>
      <c r="H1660" s="1"/>
      <c r="I1660" s="1"/>
      <c r="J1660" s="1"/>
      <c r="K1660" s="1"/>
      <c r="L1660" s="1"/>
      <c r="M1660" s="1"/>
      <c r="N1660" s="1"/>
      <c r="O1660" s="1"/>
      <c r="P1660" s="1"/>
      <c r="Q1660" s="1"/>
      <c r="R1660" s="1"/>
      <c r="S1660" s="1"/>
      <c r="T1660" s="1"/>
      <c r="U1660" s="1"/>
    </row>
    <row r="1661" spans="1:21" ht="17.149999999999999" customHeight="1">
      <c r="A1661" s="1"/>
      <c r="B1661" s="1"/>
      <c r="C1661" s="1"/>
      <c r="D1661" s="1"/>
      <c r="E1661" s="1"/>
      <c r="F1661" s="1"/>
      <c r="G1661" s="1"/>
      <c r="H1661" s="1"/>
      <c r="I1661" s="1"/>
      <c r="J1661" s="1"/>
      <c r="K1661" s="1"/>
      <c r="L1661" s="1"/>
      <c r="M1661" s="1"/>
      <c r="N1661" s="1"/>
      <c r="O1661" s="1"/>
      <c r="P1661" s="1"/>
      <c r="Q1661" s="1"/>
      <c r="R1661" s="1"/>
      <c r="S1661" s="1"/>
      <c r="T1661" s="1"/>
      <c r="U1661" s="1"/>
    </row>
    <row r="1662" spans="1:21" ht="17.149999999999999" customHeight="1">
      <c r="A1662" s="1"/>
      <c r="B1662" s="1"/>
      <c r="C1662" s="1"/>
      <c r="D1662" s="1"/>
      <c r="E1662" s="1"/>
      <c r="F1662" s="1"/>
      <c r="G1662" s="1"/>
      <c r="H1662" s="1"/>
      <c r="I1662" s="1"/>
      <c r="J1662" s="1"/>
      <c r="K1662" s="1"/>
      <c r="L1662" s="1"/>
      <c r="M1662" s="1"/>
      <c r="N1662" s="1"/>
      <c r="O1662" s="1"/>
      <c r="P1662" s="1"/>
      <c r="Q1662" s="1"/>
      <c r="R1662" s="1"/>
      <c r="S1662" s="1"/>
      <c r="T1662" s="1"/>
      <c r="U1662" s="1"/>
    </row>
    <row r="1663" spans="1:21" ht="17.149999999999999" customHeight="1">
      <c r="A1663" s="1"/>
      <c r="B1663" s="1"/>
      <c r="C1663" s="1"/>
      <c r="D1663" s="1"/>
      <c r="E1663" s="1"/>
      <c r="F1663" s="1"/>
      <c r="G1663" s="1"/>
      <c r="H1663" s="1"/>
      <c r="I1663" s="1"/>
      <c r="J1663" s="1"/>
      <c r="K1663" s="1"/>
      <c r="L1663" s="1"/>
      <c r="M1663" s="1"/>
      <c r="N1663" s="1"/>
      <c r="O1663" s="1"/>
      <c r="P1663" s="1"/>
      <c r="Q1663" s="1"/>
      <c r="R1663" s="1"/>
      <c r="S1663" s="1"/>
      <c r="T1663" s="1"/>
      <c r="U1663" s="1"/>
    </row>
    <row r="1664" spans="1:21" ht="17.149999999999999" customHeight="1">
      <c r="A1664" s="1"/>
      <c r="B1664" s="1"/>
      <c r="C1664" s="1"/>
      <c r="D1664" s="1"/>
      <c r="E1664" s="1"/>
      <c r="F1664" s="1"/>
      <c r="G1664" s="1"/>
      <c r="H1664" s="1"/>
      <c r="I1664" s="1"/>
      <c r="J1664" s="1"/>
      <c r="K1664" s="1"/>
      <c r="L1664" s="1"/>
      <c r="M1664" s="1"/>
      <c r="N1664" s="1"/>
      <c r="O1664" s="1"/>
      <c r="P1664" s="1"/>
      <c r="Q1664" s="1"/>
      <c r="R1664" s="1"/>
      <c r="S1664" s="1"/>
      <c r="T1664" s="1"/>
      <c r="U1664" s="1"/>
    </row>
    <row r="1665" spans="1:21" ht="17.149999999999999" customHeight="1">
      <c r="A1665" s="1"/>
      <c r="B1665" s="1"/>
      <c r="C1665" s="1"/>
      <c r="D1665" s="1"/>
      <c r="E1665" s="1"/>
      <c r="F1665" s="1"/>
      <c r="G1665" s="1"/>
      <c r="H1665" s="1"/>
      <c r="I1665" s="1"/>
      <c r="J1665" s="1"/>
      <c r="K1665" s="1"/>
      <c r="L1665" s="1"/>
      <c r="M1665" s="1"/>
      <c r="N1665" s="1"/>
      <c r="O1665" s="1"/>
      <c r="P1665" s="1"/>
      <c r="Q1665" s="1"/>
      <c r="R1665" s="1"/>
      <c r="S1665" s="1"/>
      <c r="T1665" s="1"/>
      <c r="U1665" s="1"/>
    </row>
    <row r="1666" spans="1:21" ht="17.149999999999999" customHeight="1">
      <c r="A1666" s="1"/>
      <c r="B1666" s="1"/>
      <c r="C1666" s="1"/>
      <c r="D1666" s="1"/>
      <c r="E1666" s="1"/>
      <c r="F1666" s="1"/>
      <c r="G1666" s="1"/>
      <c r="H1666" s="1"/>
      <c r="I1666" s="1"/>
      <c r="J1666" s="1"/>
      <c r="K1666" s="1"/>
      <c r="L1666" s="1"/>
      <c r="M1666" s="1"/>
      <c r="N1666" s="1"/>
      <c r="O1666" s="1"/>
      <c r="P1666" s="1"/>
      <c r="Q1666" s="1"/>
      <c r="R1666" s="1"/>
      <c r="S1666" s="1"/>
      <c r="T1666" s="1"/>
      <c r="U1666" s="1"/>
    </row>
    <row r="1667" spans="1:21" ht="17.149999999999999" customHeight="1">
      <c r="A1667" s="1"/>
      <c r="B1667" s="1"/>
      <c r="C1667" s="1"/>
      <c r="D1667" s="1"/>
      <c r="E1667" s="1"/>
      <c r="F1667" s="1"/>
      <c r="G1667" s="1"/>
      <c r="H1667" s="1"/>
      <c r="I1667" s="1"/>
      <c r="J1667" s="1"/>
      <c r="K1667" s="1"/>
      <c r="L1667" s="1"/>
      <c r="M1667" s="1"/>
      <c r="N1667" s="1"/>
      <c r="O1667" s="1"/>
      <c r="P1667" s="1"/>
      <c r="Q1667" s="1"/>
      <c r="R1667" s="1"/>
      <c r="S1667" s="1"/>
      <c r="T1667" s="1"/>
      <c r="U1667" s="1"/>
    </row>
    <row r="1668" spans="1:21" ht="17.149999999999999" customHeight="1">
      <c r="A1668" s="1"/>
      <c r="B1668" s="1"/>
      <c r="C1668" s="1"/>
      <c r="D1668" s="1"/>
      <c r="E1668" s="1"/>
      <c r="F1668" s="1"/>
      <c r="G1668" s="1"/>
      <c r="H1668" s="1"/>
      <c r="I1668" s="1"/>
      <c r="J1668" s="1"/>
      <c r="K1668" s="1"/>
      <c r="L1668" s="1"/>
      <c r="M1668" s="1"/>
      <c r="N1668" s="1"/>
      <c r="O1668" s="1"/>
      <c r="P1668" s="1"/>
      <c r="Q1668" s="1"/>
      <c r="R1668" s="1"/>
      <c r="S1668" s="1"/>
      <c r="T1668" s="1"/>
      <c r="U1668" s="1"/>
    </row>
    <row r="1669" spans="1:21" ht="17.149999999999999" customHeight="1">
      <c r="A1669" s="1"/>
      <c r="B1669" s="1"/>
      <c r="C1669" s="1"/>
      <c r="D1669" s="1"/>
      <c r="E1669" s="1"/>
      <c r="F1669" s="1"/>
      <c r="G1669" s="1"/>
      <c r="H1669" s="1"/>
      <c r="I1669" s="1"/>
      <c r="J1669" s="1"/>
      <c r="K1669" s="1"/>
      <c r="L1669" s="1"/>
      <c r="M1669" s="1"/>
      <c r="N1669" s="1"/>
      <c r="O1669" s="1"/>
      <c r="P1669" s="1"/>
      <c r="Q1669" s="1"/>
      <c r="R1669" s="1"/>
      <c r="S1669" s="1"/>
      <c r="T1669" s="1"/>
      <c r="U1669" s="1"/>
    </row>
    <row r="1670" spans="1:21" ht="17.149999999999999" customHeight="1">
      <c r="A1670" s="1"/>
      <c r="B1670" s="1"/>
      <c r="C1670" s="1"/>
      <c r="D1670" s="1"/>
      <c r="E1670" s="1"/>
      <c r="F1670" s="1"/>
      <c r="G1670" s="1"/>
      <c r="H1670" s="1"/>
      <c r="I1670" s="1"/>
      <c r="J1670" s="1"/>
      <c r="K1670" s="1"/>
      <c r="L1670" s="1"/>
      <c r="M1670" s="1"/>
      <c r="N1670" s="1"/>
      <c r="O1670" s="1"/>
      <c r="P1670" s="1"/>
      <c r="Q1670" s="1"/>
      <c r="R1670" s="1"/>
      <c r="S1670" s="1"/>
      <c r="T1670" s="1"/>
      <c r="U1670" s="1"/>
    </row>
    <row r="1671" spans="1:21" ht="17.149999999999999" customHeight="1">
      <c r="A1671" s="1"/>
      <c r="B1671" s="1"/>
      <c r="C1671" s="1"/>
      <c r="D1671" s="1"/>
      <c r="E1671" s="1"/>
      <c r="F1671" s="1"/>
      <c r="G1671" s="1"/>
      <c r="H1671" s="1"/>
      <c r="I1671" s="1"/>
      <c r="J1671" s="1"/>
      <c r="K1671" s="1"/>
      <c r="L1671" s="1"/>
      <c r="M1671" s="1"/>
      <c r="N1671" s="1"/>
      <c r="O1671" s="1"/>
      <c r="P1671" s="1"/>
      <c r="Q1671" s="1"/>
      <c r="R1671" s="1"/>
      <c r="S1671" s="1"/>
      <c r="T1671" s="1"/>
      <c r="U1671" s="1"/>
    </row>
    <row r="1672" spans="1:21" ht="17.149999999999999" customHeight="1">
      <c r="A1672" s="1"/>
      <c r="B1672" s="1"/>
      <c r="C1672" s="1"/>
      <c r="D1672" s="1"/>
      <c r="E1672" s="1"/>
      <c r="F1672" s="1"/>
      <c r="G1672" s="1"/>
      <c r="H1672" s="1"/>
      <c r="I1672" s="1"/>
      <c r="J1672" s="1"/>
      <c r="K1672" s="1"/>
      <c r="L1672" s="1"/>
      <c r="M1672" s="1"/>
      <c r="N1672" s="1"/>
      <c r="O1672" s="1"/>
      <c r="P1672" s="1"/>
      <c r="Q1672" s="1"/>
      <c r="R1672" s="1"/>
      <c r="S1672" s="1"/>
      <c r="T1672" s="1"/>
      <c r="U1672" s="1"/>
    </row>
    <row r="1673" spans="1:21" ht="17.149999999999999" customHeight="1">
      <c r="A1673" s="1"/>
      <c r="B1673" s="1"/>
      <c r="C1673" s="1"/>
      <c r="D1673" s="1"/>
      <c r="E1673" s="1"/>
      <c r="F1673" s="1"/>
      <c r="G1673" s="1"/>
      <c r="H1673" s="1"/>
      <c r="I1673" s="1"/>
      <c r="J1673" s="1"/>
      <c r="K1673" s="1"/>
      <c r="L1673" s="1"/>
      <c r="M1673" s="1"/>
      <c r="N1673" s="1"/>
      <c r="O1673" s="1"/>
      <c r="P1673" s="1"/>
      <c r="Q1673" s="1"/>
      <c r="R1673" s="1"/>
      <c r="S1673" s="1"/>
      <c r="T1673" s="1"/>
      <c r="U1673" s="1"/>
    </row>
    <row r="1674" spans="1:21" ht="17.149999999999999" customHeight="1">
      <c r="A1674" s="1"/>
      <c r="B1674" s="1"/>
      <c r="C1674" s="1"/>
      <c r="D1674" s="1"/>
      <c r="E1674" s="1"/>
      <c r="F1674" s="1"/>
      <c r="G1674" s="1"/>
      <c r="H1674" s="1"/>
      <c r="I1674" s="1"/>
      <c r="J1674" s="1"/>
      <c r="K1674" s="1"/>
      <c r="L1674" s="1"/>
      <c r="M1674" s="1"/>
      <c r="N1674" s="1"/>
      <c r="O1674" s="1"/>
      <c r="P1674" s="1"/>
      <c r="Q1674" s="1"/>
      <c r="R1674" s="1"/>
      <c r="S1674" s="1"/>
      <c r="T1674" s="1"/>
      <c r="U1674" s="1"/>
    </row>
    <row r="1675" spans="1:21" ht="17.149999999999999" customHeight="1">
      <c r="A1675" s="1"/>
      <c r="B1675" s="1"/>
      <c r="C1675" s="1"/>
      <c r="D1675" s="1"/>
      <c r="E1675" s="1"/>
      <c r="F1675" s="1"/>
      <c r="G1675" s="1"/>
      <c r="H1675" s="1"/>
      <c r="I1675" s="1"/>
      <c r="J1675" s="1"/>
      <c r="K1675" s="1"/>
      <c r="L1675" s="1"/>
      <c r="M1675" s="1"/>
      <c r="N1675" s="1"/>
      <c r="O1675" s="1"/>
      <c r="P1675" s="1"/>
      <c r="Q1675" s="1"/>
      <c r="R1675" s="1"/>
      <c r="S1675" s="1"/>
      <c r="T1675" s="1"/>
      <c r="U1675" s="1"/>
    </row>
    <row r="1676" spans="1:21" ht="17.149999999999999" customHeight="1">
      <c r="A1676" s="1"/>
      <c r="B1676" s="1"/>
      <c r="C1676" s="1"/>
      <c r="D1676" s="1"/>
      <c r="E1676" s="1"/>
      <c r="F1676" s="1"/>
      <c r="G1676" s="1"/>
      <c r="H1676" s="1"/>
      <c r="I1676" s="1"/>
      <c r="J1676" s="1"/>
      <c r="K1676" s="1"/>
      <c r="L1676" s="1"/>
      <c r="M1676" s="1"/>
      <c r="N1676" s="1"/>
      <c r="O1676" s="1"/>
      <c r="P1676" s="1"/>
      <c r="Q1676" s="1"/>
      <c r="R1676" s="1"/>
      <c r="S1676" s="1"/>
      <c r="T1676" s="1"/>
      <c r="U1676" s="1"/>
    </row>
    <row r="1677" spans="1:21" ht="17.149999999999999" customHeight="1">
      <c r="A1677" s="1"/>
      <c r="B1677" s="1"/>
      <c r="C1677" s="1"/>
      <c r="D1677" s="1"/>
      <c r="E1677" s="1"/>
      <c r="F1677" s="1"/>
      <c r="G1677" s="1"/>
      <c r="H1677" s="1"/>
      <c r="I1677" s="1"/>
      <c r="J1677" s="1"/>
      <c r="K1677" s="1"/>
      <c r="L1677" s="1"/>
      <c r="M1677" s="1"/>
      <c r="N1677" s="1"/>
      <c r="O1677" s="1"/>
      <c r="P1677" s="1"/>
      <c r="Q1677" s="1"/>
      <c r="R1677" s="1"/>
      <c r="S1677" s="1"/>
      <c r="T1677" s="1"/>
      <c r="U1677" s="1"/>
    </row>
    <row r="1678" spans="1:21" ht="17.149999999999999" customHeight="1">
      <c r="A1678" s="1"/>
      <c r="B1678" s="1"/>
      <c r="C1678" s="1"/>
      <c r="D1678" s="1"/>
      <c r="E1678" s="1"/>
      <c r="F1678" s="1"/>
      <c r="G1678" s="1"/>
      <c r="H1678" s="1"/>
      <c r="I1678" s="1"/>
      <c r="J1678" s="1"/>
      <c r="K1678" s="1"/>
      <c r="L1678" s="1"/>
      <c r="M1678" s="1"/>
      <c r="N1678" s="1"/>
      <c r="O1678" s="1"/>
      <c r="P1678" s="1"/>
      <c r="Q1678" s="1"/>
      <c r="R1678" s="1"/>
      <c r="S1678" s="1"/>
      <c r="T1678" s="1"/>
      <c r="U1678" s="1"/>
    </row>
    <row r="1679" spans="1:21" ht="17.149999999999999" customHeight="1">
      <c r="A1679" s="1"/>
      <c r="B1679" s="1"/>
      <c r="C1679" s="1"/>
      <c r="D1679" s="1"/>
      <c r="E1679" s="1"/>
      <c r="F1679" s="1"/>
      <c r="G1679" s="1"/>
      <c r="H1679" s="1"/>
      <c r="I1679" s="1"/>
      <c r="J1679" s="1"/>
      <c r="K1679" s="1"/>
      <c r="L1679" s="1"/>
      <c r="M1679" s="1"/>
      <c r="N1679" s="1"/>
      <c r="O1679" s="1"/>
      <c r="P1679" s="1"/>
      <c r="Q1679" s="1"/>
      <c r="R1679" s="1"/>
      <c r="S1679" s="1"/>
      <c r="T1679" s="1"/>
      <c r="U1679" s="1"/>
    </row>
    <row r="1680" spans="1:21" ht="17.149999999999999" customHeight="1">
      <c r="A1680" s="1"/>
      <c r="B1680" s="1"/>
      <c r="C1680" s="1"/>
      <c r="D1680" s="1"/>
      <c r="E1680" s="1"/>
      <c r="F1680" s="1"/>
      <c r="G1680" s="1"/>
      <c r="H1680" s="1"/>
      <c r="I1680" s="1"/>
      <c r="J1680" s="1"/>
      <c r="K1680" s="1"/>
      <c r="L1680" s="1"/>
      <c r="M1680" s="1"/>
      <c r="N1680" s="1"/>
      <c r="O1680" s="1"/>
      <c r="P1680" s="1"/>
      <c r="Q1680" s="1"/>
      <c r="R1680" s="1"/>
      <c r="S1680" s="1"/>
      <c r="T1680" s="1"/>
      <c r="U1680" s="1"/>
    </row>
    <row r="1681" spans="1:21" ht="17.149999999999999" customHeight="1">
      <c r="A1681" s="1"/>
      <c r="B1681" s="1"/>
      <c r="C1681" s="1"/>
      <c r="D1681" s="1"/>
      <c r="E1681" s="1"/>
      <c r="F1681" s="1"/>
      <c r="G1681" s="1"/>
      <c r="H1681" s="1"/>
      <c r="I1681" s="1"/>
      <c r="J1681" s="1"/>
      <c r="K1681" s="1"/>
      <c r="L1681" s="1"/>
      <c r="M1681" s="1"/>
      <c r="N1681" s="1"/>
      <c r="O1681" s="1"/>
      <c r="P1681" s="1"/>
      <c r="Q1681" s="1"/>
      <c r="R1681" s="1"/>
      <c r="S1681" s="1"/>
      <c r="T1681" s="1"/>
      <c r="U1681" s="1"/>
    </row>
    <row r="1682" spans="1:21" ht="17.149999999999999" customHeight="1">
      <c r="A1682" s="1"/>
      <c r="B1682" s="1"/>
      <c r="C1682" s="1"/>
      <c r="D1682" s="1"/>
      <c r="E1682" s="1"/>
      <c r="F1682" s="1"/>
      <c r="G1682" s="1"/>
      <c r="H1682" s="1"/>
      <c r="I1682" s="1"/>
      <c r="J1682" s="1"/>
      <c r="K1682" s="1"/>
      <c r="L1682" s="1"/>
      <c r="M1682" s="1"/>
      <c r="N1682" s="1"/>
      <c r="O1682" s="1"/>
      <c r="P1682" s="1"/>
      <c r="Q1682" s="1"/>
      <c r="R1682" s="1"/>
      <c r="S1682" s="1"/>
      <c r="T1682" s="1"/>
      <c r="U1682" s="1"/>
    </row>
    <row r="1683" spans="1:21" ht="17.149999999999999" customHeight="1">
      <c r="A1683" s="1"/>
      <c r="B1683" s="1"/>
      <c r="C1683" s="1"/>
      <c r="D1683" s="1"/>
      <c r="E1683" s="1"/>
      <c r="F1683" s="1"/>
      <c r="G1683" s="1"/>
      <c r="H1683" s="1"/>
      <c r="I1683" s="1"/>
      <c r="J1683" s="1"/>
      <c r="K1683" s="1"/>
      <c r="L1683" s="1"/>
      <c r="M1683" s="1"/>
      <c r="N1683" s="1"/>
      <c r="O1683" s="1"/>
      <c r="P1683" s="1"/>
      <c r="Q1683" s="1"/>
      <c r="R1683" s="1"/>
      <c r="S1683" s="1"/>
      <c r="T1683" s="1"/>
      <c r="U1683" s="1"/>
    </row>
    <row r="1684" spans="1:21" ht="17.149999999999999" customHeight="1">
      <c r="A1684" s="1"/>
      <c r="B1684" s="1"/>
      <c r="C1684" s="1"/>
      <c r="D1684" s="1"/>
      <c r="E1684" s="1"/>
      <c r="F1684" s="1"/>
      <c r="G1684" s="1"/>
      <c r="H1684" s="1"/>
      <c r="I1684" s="1"/>
      <c r="J1684" s="1"/>
      <c r="K1684" s="1"/>
      <c r="L1684" s="1"/>
      <c r="M1684" s="1"/>
      <c r="N1684" s="1"/>
      <c r="O1684" s="1"/>
      <c r="P1684" s="1"/>
      <c r="Q1684" s="1"/>
      <c r="R1684" s="1"/>
      <c r="S1684" s="1"/>
      <c r="T1684" s="1"/>
      <c r="U1684" s="1"/>
    </row>
    <row r="1685" spans="1:21" ht="17.149999999999999" customHeight="1">
      <c r="A1685" s="1"/>
      <c r="B1685" s="1"/>
      <c r="C1685" s="1"/>
      <c r="D1685" s="1"/>
      <c r="E1685" s="1"/>
      <c r="F1685" s="1"/>
      <c r="G1685" s="1"/>
      <c r="H1685" s="1"/>
      <c r="I1685" s="1"/>
      <c r="J1685" s="1"/>
      <c r="K1685" s="1"/>
      <c r="L1685" s="1"/>
      <c r="M1685" s="1"/>
      <c r="N1685" s="1"/>
      <c r="O1685" s="1"/>
      <c r="P1685" s="1"/>
      <c r="Q1685" s="1"/>
      <c r="R1685" s="1"/>
      <c r="S1685" s="1"/>
      <c r="T1685" s="1"/>
      <c r="U1685" s="1"/>
    </row>
    <row r="1686" spans="1:21" ht="17.149999999999999" customHeight="1">
      <c r="A1686" s="1"/>
      <c r="B1686" s="1"/>
      <c r="C1686" s="1"/>
      <c r="D1686" s="1"/>
      <c r="E1686" s="1"/>
      <c r="F1686" s="1"/>
      <c r="G1686" s="1"/>
      <c r="H1686" s="1"/>
      <c r="I1686" s="1"/>
      <c r="J1686" s="1"/>
      <c r="K1686" s="1"/>
      <c r="L1686" s="1"/>
      <c r="M1686" s="1"/>
      <c r="N1686" s="1"/>
      <c r="O1686" s="1"/>
      <c r="P1686" s="1"/>
      <c r="Q1686" s="1"/>
      <c r="R1686" s="1"/>
      <c r="S1686" s="1"/>
      <c r="T1686" s="1"/>
      <c r="U1686" s="1"/>
    </row>
    <row r="1687" spans="1:21" ht="17.149999999999999" customHeight="1">
      <c r="A1687" s="1"/>
      <c r="B1687" s="1"/>
      <c r="C1687" s="1"/>
      <c r="D1687" s="1"/>
      <c r="E1687" s="1"/>
      <c r="F1687" s="1"/>
      <c r="G1687" s="1"/>
      <c r="H1687" s="1"/>
      <c r="I1687" s="1"/>
      <c r="J1687" s="1"/>
      <c r="K1687" s="1"/>
      <c r="L1687" s="1"/>
      <c r="M1687" s="1"/>
      <c r="N1687" s="1"/>
      <c r="O1687" s="1"/>
      <c r="P1687" s="1"/>
      <c r="Q1687" s="1"/>
      <c r="R1687" s="1"/>
      <c r="S1687" s="1"/>
      <c r="T1687" s="1"/>
      <c r="U1687" s="1"/>
    </row>
    <row r="1688" spans="1:21" ht="17.149999999999999" customHeight="1">
      <c r="A1688" s="1"/>
      <c r="B1688" s="1"/>
      <c r="C1688" s="1"/>
      <c r="D1688" s="1"/>
      <c r="E1688" s="1"/>
      <c r="F1688" s="1"/>
      <c r="G1688" s="1"/>
      <c r="H1688" s="1"/>
      <c r="I1688" s="1"/>
      <c r="J1688" s="1"/>
      <c r="K1688" s="1"/>
      <c r="L1688" s="1"/>
      <c r="M1688" s="1"/>
      <c r="N1688" s="1"/>
      <c r="O1688" s="1"/>
      <c r="P1688" s="1"/>
      <c r="Q1688" s="1"/>
      <c r="R1688" s="1"/>
      <c r="S1688" s="1"/>
      <c r="T1688" s="1"/>
      <c r="U1688" s="1"/>
    </row>
    <row r="1689" spans="1:21" ht="17.149999999999999" customHeight="1">
      <c r="A1689" s="1"/>
      <c r="B1689" s="1"/>
      <c r="C1689" s="1"/>
      <c r="D1689" s="1"/>
      <c r="E1689" s="1"/>
      <c r="F1689" s="1"/>
      <c r="G1689" s="1"/>
      <c r="H1689" s="1"/>
      <c r="I1689" s="1"/>
      <c r="J1689" s="1"/>
      <c r="K1689" s="1"/>
      <c r="L1689" s="1"/>
      <c r="M1689" s="1"/>
      <c r="N1689" s="1"/>
      <c r="O1689" s="1"/>
      <c r="P1689" s="1"/>
      <c r="Q1689" s="1"/>
      <c r="R1689" s="1"/>
      <c r="S1689" s="1"/>
      <c r="T1689" s="1"/>
      <c r="U1689" s="1"/>
    </row>
    <row r="1690" spans="1:21" ht="17.149999999999999" customHeight="1">
      <c r="A1690" s="1"/>
      <c r="B1690" s="1"/>
      <c r="C1690" s="1"/>
      <c r="D1690" s="1"/>
      <c r="E1690" s="1"/>
      <c r="F1690" s="1"/>
      <c r="G1690" s="1"/>
      <c r="H1690" s="1"/>
      <c r="I1690" s="1"/>
      <c r="J1690" s="1"/>
      <c r="K1690" s="1"/>
      <c r="L1690" s="1"/>
      <c r="M1690" s="1"/>
      <c r="N1690" s="1"/>
      <c r="O1690" s="1"/>
      <c r="P1690" s="1"/>
      <c r="Q1690" s="1"/>
      <c r="R1690" s="1"/>
      <c r="S1690" s="1"/>
      <c r="T1690" s="1"/>
      <c r="U1690" s="1"/>
    </row>
    <row r="1691" spans="1:21" ht="17.149999999999999" customHeight="1">
      <c r="A1691" s="1"/>
      <c r="B1691" s="1"/>
      <c r="C1691" s="1"/>
      <c r="D1691" s="1"/>
      <c r="E1691" s="1"/>
      <c r="F1691" s="1"/>
      <c r="G1691" s="1"/>
      <c r="H1691" s="1"/>
      <c r="I1691" s="1"/>
      <c r="J1691" s="1"/>
      <c r="K1691" s="1"/>
      <c r="L1691" s="1"/>
      <c r="M1691" s="1"/>
      <c r="N1691" s="1"/>
      <c r="O1691" s="1"/>
      <c r="P1691" s="1"/>
      <c r="Q1691" s="1"/>
      <c r="R1691" s="1"/>
      <c r="S1691" s="1"/>
      <c r="T1691" s="1"/>
      <c r="U1691" s="1"/>
    </row>
    <row r="1692" spans="1:21" ht="17.149999999999999" customHeight="1">
      <c r="A1692" s="1"/>
      <c r="B1692" s="1"/>
      <c r="C1692" s="1"/>
      <c r="D1692" s="1"/>
      <c r="E1692" s="1"/>
      <c r="F1692" s="1"/>
      <c r="G1692" s="1"/>
      <c r="H1692" s="1"/>
      <c r="I1692" s="1"/>
      <c r="J1692" s="1"/>
      <c r="K1692" s="1"/>
      <c r="L1692" s="1"/>
      <c r="M1692" s="1"/>
      <c r="N1692" s="1"/>
      <c r="O1692" s="1"/>
      <c r="P1692" s="1"/>
      <c r="Q1692" s="1"/>
      <c r="R1692" s="1"/>
      <c r="S1692" s="1"/>
      <c r="T1692" s="1"/>
      <c r="U1692" s="1"/>
    </row>
    <row r="1693" spans="1:21" ht="17.149999999999999" customHeight="1">
      <c r="A1693" s="1"/>
      <c r="B1693" s="1"/>
      <c r="C1693" s="1"/>
      <c r="D1693" s="1"/>
      <c r="E1693" s="1"/>
      <c r="F1693" s="1"/>
      <c r="G1693" s="1"/>
      <c r="H1693" s="1"/>
      <c r="I1693" s="1"/>
      <c r="J1693" s="1"/>
      <c r="K1693" s="1"/>
      <c r="L1693" s="1"/>
      <c r="M1693" s="1"/>
      <c r="N1693" s="1"/>
      <c r="O1693" s="1"/>
      <c r="P1693" s="1"/>
      <c r="Q1693" s="1"/>
      <c r="R1693" s="1"/>
      <c r="S1693" s="1"/>
      <c r="T1693" s="1"/>
      <c r="U1693" s="1"/>
    </row>
    <row r="1694" spans="1:21" ht="17.149999999999999" customHeight="1">
      <c r="A1694" s="1"/>
      <c r="B1694" s="1"/>
      <c r="C1694" s="1"/>
      <c r="D1694" s="1"/>
      <c r="E1694" s="1"/>
      <c r="F1694" s="1"/>
      <c r="G1694" s="1"/>
      <c r="H1694" s="1"/>
      <c r="I1694" s="1"/>
      <c r="J1694" s="1"/>
      <c r="K1694" s="1"/>
      <c r="L1694" s="1"/>
      <c r="M1694" s="1"/>
      <c r="N1694" s="1"/>
      <c r="O1694" s="1"/>
      <c r="P1694" s="1"/>
      <c r="Q1694" s="1"/>
      <c r="R1694" s="1"/>
      <c r="S1694" s="1"/>
      <c r="T1694" s="1"/>
      <c r="U1694" s="1"/>
    </row>
    <row r="1695" spans="1:21" ht="17.149999999999999" customHeight="1">
      <c r="A1695" s="1"/>
      <c r="B1695" s="1"/>
      <c r="C1695" s="1"/>
      <c r="D1695" s="1"/>
      <c r="E1695" s="1"/>
      <c r="F1695" s="1"/>
      <c r="G1695" s="1"/>
      <c r="H1695" s="1"/>
      <c r="I1695" s="1"/>
      <c r="J1695" s="1"/>
      <c r="K1695" s="1"/>
      <c r="L1695" s="1"/>
      <c r="M1695" s="1"/>
      <c r="N1695" s="1"/>
      <c r="O1695" s="1"/>
      <c r="P1695" s="1"/>
      <c r="Q1695" s="1"/>
      <c r="R1695" s="1"/>
      <c r="S1695" s="1"/>
      <c r="T1695" s="1"/>
      <c r="U1695" s="1"/>
    </row>
    <row r="1696" spans="1:21" ht="17.149999999999999" customHeight="1">
      <c r="A1696" s="1"/>
      <c r="B1696" s="1"/>
      <c r="C1696" s="1"/>
      <c r="D1696" s="1"/>
      <c r="E1696" s="1"/>
      <c r="F1696" s="1"/>
      <c r="G1696" s="1"/>
      <c r="H1696" s="1"/>
      <c r="I1696" s="1"/>
      <c r="J1696" s="1"/>
      <c r="K1696" s="1"/>
      <c r="L1696" s="1"/>
      <c r="M1696" s="1"/>
      <c r="N1696" s="1"/>
      <c r="O1696" s="1"/>
      <c r="P1696" s="1"/>
      <c r="Q1696" s="1"/>
      <c r="R1696" s="1"/>
      <c r="S1696" s="1"/>
      <c r="T1696" s="1"/>
      <c r="U1696" s="1"/>
    </row>
    <row r="1697" spans="1:21" ht="17.149999999999999" customHeight="1">
      <c r="A1697" s="1"/>
      <c r="B1697" s="1"/>
      <c r="C1697" s="1"/>
      <c r="D1697" s="1"/>
      <c r="E1697" s="1"/>
      <c r="F1697" s="1"/>
      <c r="G1697" s="1"/>
      <c r="H1697" s="1"/>
      <c r="I1697" s="1"/>
      <c r="J1697" s="1"/>
      <c r="K1697" s="1"/>
      <c r="L1697" s="1"/>
      <c r="M1697" s="1"/>
      <c r="N1697" s="1"/>
      <c r="O1697" s="1"/>
      <c r="P1697" s="1"/>
      <c r="Q1697" s="1"/>
      <c r="R1697" s="1"/>
      <c r="S1697" s="1"/>
      <c r="T1697" s="1"/>
      <c r="U1697" s="1"/>
    </row>
    <row r="1698" spans="1:21" ht="17.149999999999999" customHeight="1">
      <c r="A1698" s="1"/>
      <c r="B1698" s="1"/>
      <c r="C1698" s="1"/>
      <c r="D1698" s="1"/>
      <c r="E1698" s="1"/>
      <c r="F1698" s="1"/>
      <c r="G1698" s="1"/>
      <c r="H1698" s="1"/>
      <c r="I1698" s="1"/>
      <c r="J1698" s="1"/>
      <c r="K1698" s="1"/>
      <c r="L1698" s="1"/>
      <c r="M1698" s="1"/>
      <c r="N1698" s="1"/>
      <c r="O1698" s="1"/>
      <c r="P1698" s="1"/>
      <c r="Q1698" s="1"/>
      <c r="R1698" s="1"/>
      <c r="S1698" s="1"/>
      <c r="T1698" s="1"/>
      <c r="U1698" s="1"/>
    </row>
    <row r="1699" spans="1:21" ht="17.149999999999999" customHeight="1">
      <c r="A1699" s="1"/>
      <c r="B1699" s="1"/>
      <c r="C1699" s="1"/>
      <c r="D1699" s="1"/>
      <c r="E1699" s="1"/>
      <c r="F1699" s="1"/>
      <c r="G1699" s="1"/>
      <c r="H1699" s="1"/>
      <c r="I1699" s="1"/>
      <c r="J1699" s="1"/>
      <c r="K1699" s="1"/>
      <c r="L1699" s="1"/>
      <c r="M1699" s="1"/>
      <c r="N1699" s="1"/>
      <c r="O1699" s="1"/>
      <c r="P1699" s="1"/>
      <c r="Q1699" s="1"/>
      <c r="R1699" s="1"/>
      <c r="S1699" s="1"/>
      <c r="T1699" s="1"/>
      <c r="U1699" s="1"/>
    </row>
    <row r="1700" spans="1:21" ht="17.149999999999999" customHeight="1">
      <c r="A1700" s="1"/>
      <c r="B1700" s="1"/>
      <c r="C1700" s="1"/>
      <c r="D1700" s="1"/>
      <c r="E1700" s="1"/>
      <c r="F1700" s="1"/>
      <c r="G1700" s="1"/>
      <c r="H1700" s="1"/>
      <c r="I1700" s="1"/>
      <c r="J1700" s="1"/>
      <c r="K1700" s="1"/>
      <c r="L1700" s="1"/>
      <c r="M1700" s="1"/>
      <c r="N1700" s="1"/>
      <c r="O1700" s="1"/>
      <c r="P1700" s="1"/>
      <c r="Q1700" s="1"/>
      <c r="R1700" s="1"/>
      <c r="S1700" s="1"/>
      <c r="T1700" s="1"/>
      <c r="U1700" s="1"/>
    </row>
    <row r="1701" spans="1:21" ht="17.149999999999999" customHeight="1">
      <c r="A1701" s="1"/>
      <c r="B1701" s="1"/>
      <c r="C1701" s="1"/>
      <c r="D1701" s="1"/>
      <c r="E1701" s="1"/>
      <c r="F1701" s="1"/>
      <c r="G1701" s="1"/>
      <c r="H1701" s="1"/>
      <c r="I1701" s="1"/>
      <c r="J1701" s="1"/>
      <c r="K1701" s="1"/>
      <c r="L1701" s="1"/>
      <c r="M1701" s="1"/>
      <c r="N1701" s="1"/>
      <c r="O1701" s="1"/>
      <c r="P1701" s="1"/>
      <c r="Q1701" s="1"/>
      <c r="R1701" s="1"/>
      <c r="S1701" s="1"/>
      <c r="T1701" s="1"/>
      <c r="U1701" s="1"/>
    </row>
    <row r="1702" spans="1:21" ht="17.149999999999999" customHeight="1">
      <c r="A1702" s="1"/>
      <c r="B1702" s="1"/>
      <c r="C1702" s="1"/>
      <c r="D1702" s="1"/>
      <c r="E1702" s="1"/>
      <c r="F1702" s="1"/>
      <c r="G1702" s="1"/>
      <c r="H1702" s="1"/>
      <c r="I1702" s="1"/>
      <c r="J1702" s="1"/>
      <c r="K1702" s="1"/>
      <c r="L1702" s="1"/>
      <c r="M1702" s="1"/>
      <c r="N1702" s="1"/>
      <c r="O1702" s="1"/>
      <c r="P1702" s="1"/>
      <c r="Q1702" s="1"/>
      <c r="R1702" s="1"/>
      <c r="S1702" s="1"/>
      <c r="T1702" s="1"/>
      <c r="U1702" s="1"/>
    </row>
    <row r="1703" spans="1:21" ht="17.149999999999999" customHeight="1">
      <c r="A1703" s="1"/>
      <c r="B1703" s="1"/>
      <c r="C1703" s="1"/>
      <c r="D1703" s="1"/>
      <c r="E1703" s="1"/>
      <c r="F1703" s="1"/>
      <c r="G1703" s="1"/>
      <c r="H1703" s="1"/>
      <c r="I1703" s="1"/>
      <c r="J1703" s="1"/>
      <c r="K1703" s="1"/>
      <c r="L1703" s="1"/>
      <c r="M1703" s="1"/>
      <c r="N1703" s="1"/>
      <c r="O1703" s="1"/>
      <c r="P1703" s="1"/>
      <c r="Q1703" s="1"/>
      <c r="R1703" s="1"/>
      <c r="S1703" s="1"/>
      <c r="T1703" s="1"/>
      <c r="U1703" s="1"/>
    </row>
    <row r="1704" spans="1:21" ht="17.149999999999999" customHeight="1">
      <c r="A1704" s="1"/>
      <c r="B1704" s="1"/>
      <c r="C1704" s="1"/>
      <c r="D1704" s="1"/>
      <c r="E1704" s="1"/>
      <c r="F1704" s="1"/>
      <c r="G1704" s="1"/>
      <c r="H1704" s="1"/>
      <c r="I1704" s="1"/>
      <c r="J1704" s="1"/>
      <c r="K1704" s="1"/>
      <c r="L1704" s="1"/>
      <c r="M1704" s="1"/>
      <c r="N1704" s="1"/>
      <c r="O1704" s="1"/>
      <c r="P1704" s="1"/>
      <c r="Q1704" s="1"/>
      <c r="R1704" s="1"/>
      <c r="S1704" s="1"/>
      <c r="T1704" s="1"/>
      <c r="U1704" s="1"/>
    </row>
    <row r="1705" spans="1:21" ht="17.149999999999999" customHeight="1">
      <c r="A1705" s="1"/>
      <c r="B1705" s="1"/>
      <c r="C1705" s="1"/>
      <c r="D1705" s="1"/>
      <c r="E1705" s="1"/>
      <c r="F1705" s="1"/>
      <c r="G1705" s="1"/>
      <c r="H1705" s="1"/>
      <c r="I1705" s="1"/>
      <c r="J1705" s="1"/>
      <c r="K1705" s="1"/>
      <c r="L1705" s="1"/>
      <c r="M1705" s="1"/>
      <c r="N1705" s="1"/>
      <c r="O1705" s="1"/>
      <c r="P1705" s="1"/>
      <c r="Q1705" s="1"/>
      <c r="R1705" s="1"/>
      <c r="S1705" s="1"/>
      <c r="T1705" s="1"/>
      <c r="U1705" s="1"/>
    </row>
    <row r="1706" spans="1:21" ht="17.149999999999999" customHeight="1">
      <c r="A1706" s="1"/>
      <c r="B1706" s="1"/>
      <c r="C1706" s="1"/>
      <c r="D1706" s="1"/>
      <c r="E1706" s="1"/>
      <c r="F1706" s="1"/>
      <c r="G1706" s="1"/>
      <c r="H1706" s="1"/>
      <c r="I1706" s="1"/>
      <c r="J1706" s="1"/>
      <c r="K1706" s="1"/>
      <c r="L1706" s="1"/>
      <c r="M1706" s="1"/>
      <c r="N1706" s="1"/>
      <c r="O1706" s="1"/>
      <c r="P1706" s="1"/>
      <c r="Q1706" s="1"/>
      <c r="R1706" s="1"/>
      <c r="S1706" s="1"/>
      <c r="T1706" s="1"/>
      <c r="U1706" s="1"/>
    </row>
    <row r="1707" spans="1:21" ht="17.149999999999999" customHeight="1">
      <c r="A1707" s="1"/>
      <c r="B1707" s="1"/>
      <c r="C1707" s="1"/>
      <c r="D1707" s="1"/>
      <c r="E1707" s="1"/>
      <c r="F1707" s="1"/>
      <c r="G1707" s="1"/>
      <c r="H1707" s="1"/>
      <c r="I1707" s="1"/>
      <c r="J1707" s="1"/>
      <c r="K1707" s="1"/>
      <c r="L1707" s="1"/>
      <c r="M1707" s="1"/>
      <c r="N1707" s="1"/>
      <c r="O1707" s="1"/>
      <c r="P1707" s="1"/>
      <c r="Q1707" s="1"/>
      <c r="R1707" s="1"/>
      <c r="S1707" s="1"/>
      <c r="T1707" s="1"/>
      <c r="U1707" s="1"/>
    </row>
    <row r="1708" spans="1:21" ht="17.149999999999999" customHeight="1">
      <c r="A1708" s="1"/>
      <c r="B1708" s="1"/>
      <c r="C1708" s="1"/>
      <c r="D1708" s="1"/>
      <c r="E1708" s="1"/>
      <c r="F1708" s="1"/>
      <c r="G1708" s="1"/>
      <c r="H1708" s="1"/>
      <c r="I1708" s="1"/>
      <c r="J1708" s="1"/>
      <c r="K1708" s="1"/>
      <c r="L1708" s="1"/>
      <c r="M1708" s="1"/>
      <c r="N1708" s="1"/>
      <c r="O1708" s="1"/>
      <c r="P1708" s="1"/>
      <c r="Q1708" s="1"/>
      <c r="R1708" s="1"/>
      <c r="S1708" s="1"/>
      <c r="T1708" s="1"/>
      <c r="U1708" s="1"/>
    </row>
    <row r="1709" spans="1:21" ht="17.149999999999999" customHeight="1">
      <c r="A1709" s="1"/>
      <c r="B1709" s="1"/>
      <c r="C1709" s="1"/>
      <c r="D1709" s="1"/>
      <c r="E1709" s="1"/>
      <c r="F1709" s="1"/>
      <c r="G1709" s="1"/>
      <c r="H1709" s="1"/>
      <c r="I1709" s="1"/>
      <c r="J1709" s="1"/>
      <c r="K1709" s="1"/>
      <c r="L1709" s="1"/>
      <c r="M1709" s="1"/>
      <c r="N1709" s="1"/>
      <c r="O1709" s="1"/>
      <c r="P1709" s="1"/>
      <c r="Q1709" s="1"/>
      <c r="R1709" s="1"/>
      <c r="S1709" s="1"/>
      <c r="T1709" s="1"/>
      <c r="U1709" s="1"/>
    </row>
    <row r="1710" spans="1:21" ht="17.149999999999999" customHeight="1">
      <c r="A1710" s="1"/>
      <c r="B1710" s="1"/>
      <c r="C1710" s="1"/>
      <c r="D1710" s="1"/>
      <c r="E1710" s="1"/>
      <c r="F1710" s="1"/>
      <c r="G1710" s="1"/>
      <c r="H1710" s="1"/>
      <c r="I1710" s="1"/>
      <c r="J1710" s="1"/>
      <c r="K1710" s="1"/>
      <c r="L1710" s="1"/>
      <c r="M1710" s="1"/>
      <c r="N1710" s="1"/>
      <c r="O1710" s="1"/>
      <c r="P1710" s="1"/>
      <c r="Q1710" s="1"/>
      <c r="R1710" s="1"/>
      <c r="S1710" s="1"/>
      <c r="T1710" s="1"/>
      <c r="U1710" s="1"/>
    </row>
    <row r="1711" spans="1:21" ht="17.149999999999999" customHeight="1">
      <c r="A1711" s="1"/>
      <c r="B1711" s="1"/>
      <c r="C1711" s="1"/>
      <c r="D1711" s="1"/>
      <c r="E1711" s="1"/>
      <c r="F1711" s="1"/>
      <c r="G1711" s="1"/>
      <c r="H1711" s="1"/>
      <c r="I1711" s="1"/>
      <c r="J1711" s="1"/>
      <c r="K1711" s="1"/>
      <c r="L1711" s="1"/>
      <c r="M1711" s="1"/>
      <c r="N1711" s="1"/>
      <c r="O1711" s="1"/>
      <c r="P1711" s="1"/>
      <c r="Q1711" s="1"/>
      <c r="R1711" s="1"/>
      <c r="S1711" s="1"/>
      <c r="T1711" s="1"/>
      <c r="U1711" s="1"/>
    </row>
    <row r="1712" spans="1:21" ht="17.149999999999999" customHeight="1">
      <c r="A1712" s="1"/>
      <c r="B1712" s="1"/>
      <c r="C1712" s="1"/>
      <c r="D1712" s="1"/>
      <c r="E1712" s="1"/>
      <c r="F1712" s="1"/>
      <c r="G1712" s="1"/>
      <c r="H1712" s="1"/>
      <c r="I1712" s="1"/>
      <c r="J1712" s="1"/>
      <c r="K1712" s="1"/>
      <c r="L1712" s="1"/>
      <c r="M1712" s="1"/>
      <c r="N1712" s="1"/>
      <c r="O1712" s="1"/>
      <c r="P1712" s="1"/>
      <c r="Q1712" s="1"/>
      <c r="R1712" s="1"/>
      <c r="S1712" s="1"/>
      <c r="T1712" s="1"/>
      <c r="U1712" s="1"/>
    </row>
    <row r="1713" spans="1:21" ht="17.149999999999999" customHeight="1">
      <c r="A1713" s="1"/>
      <c r="B1713" s="1"/>
      <c r="C1713" s="1"/>
      <c r="D1713" s="1"/>
      <c r="E1713" s="1"/>
      <c r="F1713" s="1"/>
      <c r="G1713" s="1"/>
      <c r="H1713" s="1"/>
      <c r="I1713" s="1"/>
      <c r="J1713" s="1"/>
      <c r="K1713" s="1"/>
      <c r="L1713" s="1"/>
      <c r="M1713" s="1"/>
      <c r="N1713" s="1"/>
      <c r="O1713" s="1"/>
      <c r="P1713" s="1"/>
      <c r="Q1713" s="1"/>
      <c r="R1713" s="1"/>
      <c r="S1713" s="1"/>
      <c r="T1713" s="1"/>
      <c r="U1713" s="1"/>
    </row>
    <row r="1714" spans="1:21" ht="17.149999999999999" customHeight="1">
      <c r="A1714" s="1"/>
      <c r="B1714" s="1"/>
      <c r="C1714" s="1"/>
      <c r="D1714" s="1"/>
      <c r="E1714" s="1"/>
      <c r="F1714" s="1"/>
      <c r="G1714" s="1"/>
      <c r="H1714" s="1"/>
      <c r="I1714" s="1"/>
      <c r="J1714" s="1"/>
      <c r="K1714" s="1"/>
      <c r="L1714" s="1"/>
      <c r="M1714" s="1"/>
      <c r="N1714" s="1"/>
      <c r="O1714" s="1"/>
      <c r="P1714" s="1"/>
      <c r="Q1714" s="1"/>
      <c r="R1714" s="1"/>
      <c r="S1714" s="1"/>
      <c r="T1714" s="1"/>
      <c r="U1714" s="1"/>
    </row>
    <row r="1715" spans="1:21" ht="17.149999999999999" customHeight="1">
      <c r="A1715" s="1"/>
      <c r="B1715" s="1"/>
      <c r="C1715" s="1"/>
      <c r="D1715" s="1"/>
      <c r="E1715" s="1"/>
      <c r="F1715" s="1"/>
      <c r="G1715" s="1"/>
      <c r="H1715" s="1"/>
      <c r="I1715" s="1"/>
      <c r="J1715" s="1"/>
      <c r="K1715" s="1"/>
      <c r="L1715" s="1"/>
      <c r="M1715" s="1"/>
      <c r="N1715" s="1"/>
      <c r="O1715" s="1"/>
      <c r="P1715" s="1"/>
      <c r="Q1715" s="1"/>
      <c r="R1715" s="1"/>
      <c r="S1715" s="1"/>
      <c r="T1715" s="1"/>
      <c r="U1715" s="1"/>
    </row>
    <row r="1716" spans="1:21" ht="17.149999999999999" customHeight="1">
      <c r="A1716" s="1"/>
      <c r="B1716" s="1"/>
      <c r="C1716" s="1"/>
      <c r="D1716" s="1"/>
      <c r="E1716" s="1"/>
      <c r="F1716" s="1"/>
      <c r="G1716" s="1"/>
      <c r="H1716" s="1"/>
      <c r="I1716" s="1"/>
      <c r="J1716" s="1"/>
      <c r="K1716" s="1"/>
      <c r="L1716" s="1"/>
      <c r="M1716" s="1"/>
      <c r="N1716" s="1"/>
      <c r="O1716" s="1"/>
      <c r="P1716" s="1"/>
      <c r="Q1716" s="1"/>
      <c r="R1716" s="1"/>
      <c r="S1716" s="1"/>
      <c r="T1716" s="1"/>
      <c r="U1716" s="1"/>
    </row>
    <row r="1717" spans="1:21" ht="17.149999999999999" customHeight="1">
      <c r="A1717" s="1"/>
      <c r="B1717" s="1"/>
      <c r="C1717" s="1"/>
      <c r="D1717" s="1"/>
      <c r="E1717" s="1"/>
      <c r="F1717" s="1"/>
      <c r="G1717" s="1"/>
      <c r="H1717" s="1"/>
      <c r="I1717" s="1"/>
      <c r="J1717" s="1"/>
      <c r="K1717" s="1"/>
      <c r="L1717" s="1"/>
      <c r="M1717" s="1"/>
      <c r="N1717" s="1"/>
      <c r="O1717" s="1"/>
      <c r="P1717" s="1"/>
      <c r="Q1717" s="1"/>
      <c r="R1717" s="1"/>
      <c r="S1717" s="1"/>
      <c r="T1717" s="1"/>
      <c r="U1717" s="1"/>
    </row>
    <row r="1718" spans="1:21" ht="17.149999999999999" customHeight="1">
      <c r="A1718" s="1"/>
      <c r="B1718" s="1"/>
      <c r="C1718" s="1"/>
      <c r="D1718" s="1"/>
      <c r="E1718" s="1"/>
      <c r="F1718" s="1"/>
      <c r="G1718" s="1"/>
      <c r="H1718" s="1"/>
      <c r="I1718" s="1"/>
      <c r="J1718" s="1"/>
      <c r="K1718" s="1"/>
      <c r="L1718" s="1"/>
      <c r="M1718" s="1"/>
      <c r="N1718" s="1"/>
      <c r="O1718" s="1"/>
      <c r="P1718" s="1"/>
      <c r="Q1718" s="1"/>
      <c r="R1718" s="1"/>
      <c r="S1718" s="1"/>
      <c r="T1718" s="1"/>
      <c r="U1718" s="1"/>
    </row>
    <row r="1719" spans="1:21" ht="17.149999999999999" customHeight="1">
      <c r="A1719" s="1"/>
      <c r="B1719" s="1"/>
      <c r="C1719" s="1"/>
      <c r="D1719" s="1"/>
      <c r="E1719" s="1"/>
      <c r="F1719" s="1"/>
      <c r="G1719" s="1"/>
      <c r="H1719" s="1"/>
      <c r="I1719" s="1"/>
      <c r="J1719" s="1"/>
      <c r="K1719" s="1"/>
      <c r="L1719" s="1"/>
      <c r="M1719" s="1"/>
      <c r="N1719" s="1"/>
      <c r="O1719" s="1"/>
      <c r="P1719" s="1"/>
      <c r="Q1719" s="1"/>
      <c r="R1719" s="1"/>
      <c r="S1719" s="1"/>
      <c r="T1719" s="1"/>
      <c r="U1719" s="1"/>
    </row>
    <row r="1720" spans="1:21" ht="17.149999999999999" customHeight="1">
      <c r="A1720" s="1"/>
      <c r="B1720" s="1"/>
      <c r="C1720" s="1"/>
      <c r="D1720" s="1"/>
      <c r="E1720" s="1"/>
      <c r="F1720" s="1"/>
      <c r="G1720" s="1"/>
      <c r="H1720" s="1"/>
      <c r="I1720" s="1"/>
      <c r="J1720" s="1"/>
      <c r="K1720" s="1"/>
      <c r="L1720" s="1"/>
      <c r="M1720" s="1"/>
      <c r="N1720" s="1"/>
      <c r="O1720" s="1"/>
      <c r="P1720" s="1"/>
      <c r="Q1720" s="1"/>
      <c r="R1720" s="1"/>
      <c r="S1720" s="1"/>
      <c r="T1720" s="1"/>
      <c r="U1720" s="1"/>
    </row>
    <row r="1721" spans="1:21" ht="17.149999999999999" customHeight="1">
      <c r="A1721" s="1"/>
      <c r="B1721" s="1"/>
      <c r="C1721" s="1"/>
      <c r="D1721" s="1"/>
      <c r="E1721" s="1"/>
      <c r="F1721" s="1"/>
      <c r="G1721" s="1"/>
      <c r="H1721" s="1"/>
      <c r="I1721" s="1"/>
      <c r="J1721" s="1"/>
      <c r="K1721" s="1"/>
      <c r="L1721" s="1"/>
      <c r="M1721" s="1"/>
      <c r="N1721" s="1"/>
      <c r="O1721" s="1"/>
      <c r="P1721" s="1"/>
      <c r="Q1721" s="1"/>
      <c r="R1721" s="1"/>
      <c r="S1721" s="1"/>
      <c r="T1721" s="1"/>
      <c r="U1721" s="1"/>
    </row>
    <row r="1722" spans="1:21" ht="17.149999999999999" customHeight="1">
      <c r="A1722" s="1"/>
      <c r="B1722" s="1"/>
      <c r="C1722" s="1"/>
      <c r="D1722" s="1"/>
      <c r="E1722" s="1"/>
      <c r="F1722" s="1"/>
      <c r="G1722" s="1"/>
      <c r="H1722" s="1"/>
      <c r="I1722" s="1"/>
      <c r="J1722" s="1"/>
      <c r="K1722" s="1"/>
      <c r="L1722" s="1"/>
      <c r="M1722" s="1"/>
      <c r="N1722" s="1"/>
      <c r="O1722" s="1"/>
      <c r="P1722" s="1"/>
      <c r="Q1722" s="1"/>
      <c r="R1722" s="1"/>
      <c r="S1722" s="1"/>
      <c r="T1722" s="1"/>
      <c r="U1722" s="1"/>
    </row>
    <row r="1723" spans="1:21" ht="17.149999999999999" customHeight="1">
      <c r="A1723" s="1"/>
      <c r="B1723" s="1"/>
      <c r="C1723" s="1"/>
      <c r="D1723" s="1"/>
      <c r="E1723" s="1"/>
      <c r="F1723" s="1"/>
      <c r="G1723" s="1"/>
      <c r="H1723" s="1"/>
      <c r="I1723" s="1"/>
      <c r="J1723" s="1"/>
      <c r="K1723" s="1"/>
      <c r="L1723" s="1"/>
      <c r="M1723" s="1"/>
      <c r="N1723" s="1"/>
      <c r="O1723" s="1"/>
      <c r="P1723" s="1"/>
      <c r="Q1723" s="1"/>
      <c r="R1723" s="1"/>
      <c r="S1723" s="1"/>
      <c r="T1723" s="1"/>
      <c r="U1723" s="1"/>
    </row>
    <row r="1724" spans="1:21" ht="17.149999999999999" customHeight="1">
      <c r="A1724" s="1"/>
      <c r="B1724" s="1"/>
      <c r="C1724" s="1"/>
      <c r="D1724" s="1"/>
      <c r="E1724" s="1"/>
      <c r="F1724" s="1"/>
      <c r="G1724" s="1"/>
      <c r="H1724" s="1"/>
      <c r="I1724" s="1"/>
      <c r="J1724" s="1"/>
      <c r="K1724" s="1"/>
      <c r="L1724" s="1"/>
      <c r="M1724" s="1"/>
      <c r="N1724" s="1"/>
      <c r="O1724" s="1"/>
      <c r="P1724" s="1"/>
      <c r="Q1724" s="1"/>
      <c r="R1724" s="1"/>
      <c r="S1724" s="1"/>
      <c r="T1724" s="1"/>
      <c r="U1724" s="1"/>
    </row>
    <row r="1725" spans="1:21" ht="17.149999999999999" customHeight="1">
      <c r="A1725" s="1"/>
      <c r="B1725" s="1"/>
      <c r="C1725" s="1"/>
      <c r="D1725" s="1"/>
      <c r="E1725" s="1"/>
      <c r="F1725" s="1"/>
      <c r="G1725" s="1"/>
      <c r="H1725" s="1"/>
      <c r="I1725" s="1"/>
      <c r="J1725" s="1"/>
      <c r="K1725" s="1"/>
      <c r="L1725" s="1"/>
      <c r="M1725" s="1"/>
      <c r="N1725" s="1"/>
      <c r="O1725" s="1"/>
      <c r="P1725" s="1"/>
      <c r="Q1725" s="1"/>
      <c r="R1725" s="1"/>
      <c r="S1725" s="1"/>
      <c r="T1725" s="1"/>
      <c r="U1725" s="1"/>
    </row>
    <row r="1726" spans="1:21" ht="17.149999999999999" customHeight="1">
      <c r="A1726" s="1"/>
      <c r="B1726" s="1"/>
      <c r="C1726" s="1"/>
      <c r="D1726" s="1"/>
      <c r="E1726" s="1"/>
      <c r="F1726" s="1"/>
      <c r="G1726" s="1"/>
      <c r="H1726" s="1"/>
      <c r="I1726" s="1"/>
      <c r="J1726" s="1"/>
      <c r="K1726" s="1"/>
      <c r="L1726" s="1"/>
      <c r="M1726" s="1"/>
      <c r="N1726" s="1"/>
      <c r="O1726" s="1"/>
      <c r="P1726" s="1"/>
      <c r="Q1726" s="1"/>
      <c r="R1726" s="1"/>
      <c r="S1726" s="1"/>
      <c r="T1726" s="1"/>
      <c r="U1726" s="1"/>
    </row>
    <row r="1727" spans="1:21" ht="17.149999999999999" customHeight="1">
      <c r="A1727" s="1"/>
      <c r="B1727" s="1"/>
      <c r="C1727" s="1"/>
      <c r="D1727" s="1"/>
      <c r="E1727" s="1"/>
      <c r="F1727" s="1"/>
      <c r="G1727" s="1"/>
      <c r="H1727" s="1"/>
      <c r="I1727" s="1"/>
      <c r="J1727" s="1"/>
      <c r="K1727" s="1"/>
      <c r="L1727" s="1"/>
      <c r="M1727" s="1"/>
      <c r="N1727" s="1"/>
      <c r="O1727" s="1"/>
      <c r="P1727" s="1"/>
      <c r="Q1727" s="1"/>
      <c r="R1727" s="1"/>
      <c r="S1727" s="1"/>
      <c r="T1727" s="1"/>
      <c r="U1727" s="1"/>
    </row>
    <row r="1728" spans="1:21" ht="17.149999999999999" customHeight="1">
      <c r="A1728" s="1"/>
      <c r="B1728" s="1"/>
      <c r="C1728" s="1"/>
      <c r="D1728" s="1"/>
      <c r="E1728" s="1"/>
      <c r="F1728" s="1"/>
      <c r="G1728" s="1"/>
      <c r="H1728" s="1"/>
      <c r="I1728" s="1"/>
      <c r="J1728" s="1"/>
      <c r="K1728" s="1"/>
      <c r="L1728" s="1"/>
      <c r="M1728" s="1"/>
      <c r="N1728" s="1"/>
      <c r="O1728" s="1"/>
      <c r="P1728" s="1"/>
      <c r="Q1728" s="1"/>
      <c r="R1728" s="1"/>
      <c r="S1728" s="1"/>
      <c r="T1728" s="1"/>
      <c r="U1728" s="1"/>
    </row>
    <row r="1729" spans="1:21" ht="17.149999999999999" customHeight="1">
      <c r="A1729" s="1"/>
      <c r="B1729" s="1"/>
      <c r="C1729" s="1"/>
      <c r="D1729" s="1"/>
      <c r="E1729" s="1"/>
      <c r="F1729" s="1"/>
      <c r="G1729" s="1"/>
      <c r="H1729" s="1"/>
      <c r="I1729" s="1"/>
      <c r="J1729" s="1"/>
      <c r="K1729" s="1"/>
      <c r="L1729" s="1"/>
      <c r="M1729" s="1"/>
      <c r="N1729" s="1"/>
      <c r="O1729" s="1"/>
      <c r="P1729" s="1"/>
      <c r="Q1729" s="1"/>
      <c r="R1729" s="1"/>
      <c r="S1729" s="1"/>
      <c r="T1729" s="1"/>
      <c r="U1729" s="1"/>
    </row>
    <row r="1730" spans="1:21" ht="17.149999999999999" customHeight="1">
      <c r="A1730" s="1"/>
      <c r="B1730" s="1"/>
      <c r="C1730" s="1"/>
      <c r="D1730" s="1"/>
      <c r="E1730" s="1"/>
      <c r="F1730" s="1"/>
      <c r="G1730" s="1"/>
      <c r="H1730" s="1"/>
      <c r="I1730" s="1"/>
      <c r="J1730" s="1"/>
      <c r="K1730" s="1"/>
      <c r="L1730" s="1"/>
      <c r="M1730" s="1"/>
      <c r="N1730" s="1"/>
      <c r="O1730" s="1"/>
      <c r="P1730" s="1"/>
      <c r="Q1730" s="1"/>
      <c r="R1730" s="1"/>
      <c r="S1730" s="1"/>
      <c r="T1730" s="1"/>
      <c r="U1730" s="1"/>
    </row>
    <row r="1731" spans="1:21" ht="17.149999999999999" customHeight="1">
      <c r="A1731" s="1"/>
      <c r="B1731" s="1"/>
      <c r="C1731" s="1"/>
      <c r="D1731" s="1"/>
      <c r="E1731" s="1"/>
      <c r="F1731" s="1"/>
      <c r="G1731" s="1"/>
      <c r="H1731" s="1"/>
      <c r="I1731" s="1"/>
      <c r="J1731" s="1"/>
      <c r="K1731" s="1"/>
      <c r="L1731" s="1"/>
      <c r="M1731" s="1"/>
      <c r="N1731" s="1"/>
      <c r="O1731" s="1"/>
      <c r="P1731" s="1"/>
      <c r="Q1731" s="1"/>
      <c r="R1731" s="1"/>
      <c r="S1731" s="1"/>
      <c r="T1731" s="1"/>
      <c r="U1731" s="1"/>
    </row>
    <row r="1732" spans="1:21" ht="17.149999999999999" customHeight="1">
      <c r="A1732" s="1"/>
      <c r="B1732" s="1"/>
      <c r="C1732" s="1"/>
      <c r="D1732" s="1"/>
      <c r="E1732" s="1"/>
      <c r="F1732" s="1"/>
      <c r="G1732" s="1"/>
      <c r="H1732" s="1"/>
      <c r="I1732" s="1"/>
      <c r="J1732" s="1"/>
      <c r="K1732" s="1"/>
      <c r="L1732" s="1"/>
      <c r="M1732" s="1"/>
      <c r="N1732" s="1"/>
      <c r="O1732" s="1"/>
      <c r="P1732" s="1"/>
      <c r="Q1732" s="1"/>
      <c r="R1732" s="1"/>
      <c r="S1732" s="1"/>
      <c r="T1732" s="1"/>
      <c r="U1732" s="1"/>
    </row>
    <row r="1733" spans="1:21" ht="17.149999999999999" customHeight="1">
      <c r="A1733" s="1"/>
      <c r="B1733" s="1"/>
      <c r="C1733" s="1"/>
      <c r="D1733" s="1"/>
      <c r="E1733" s="1"/>
      <c r="F1733" s="1"/>
      <c r="G1733" s="1"/>
      <c r="H1733" s="1"/>
      <c r="I1733" s="1"/>
      <c r="J1733" s="1"/>
      <c r="K1733" s="1"/>
      <c r="L1733" s="1"/>
      <c r="M1733" s="1"/>
      <c r="N1733" s="1"/>
      <c r="O1733" s="1"/>
      <c r="P1733" s="1"/>
      <c r="Q1733" s="1"/>
      <c r="R1733" s="1"/>
      <c r="S1733" s="1"/>
      <c r="T1733" s="1"/>
      <c r="U1733" s="1"/>
    </row>
    <row r="1734" spans="1:21" ht="17.149999999999999" customHeight="1">
      <c r="A1734" s="1"/>
      <c r="B1734" s="1"/>
      <c r="C1734" s="1"/>
      <c r="D1734" s="1"/>
      <c r="E1734" s="1"/>
      <c r="F1734" s="1"/>
      <c r="G1734" s="1"/>
      <c r="H1734" s="1"/>
      <c r="I1734" s="1"/>
      <c r="J1734" s="1"/>
      <c r="K1734" s="1"/>
      <c r="L1734" s="1"/>
      <c r="M1734" s="1"/>
      <c r="N1734" s="1"/>
      <c r="O1734" s="1"/>
      <c r="P1734" s="1"/>
      <c r="Q1734" s="1"/>
      <c r="R1734" s="1"/>
      <c r="S1734" s="1"/>
      <c r="T1734" s="1"/>
      <c r="U1734" s="1"/>
    </row>
    <row r="1735" spans="1:21" ht="17.149999999999999" customHeight="1">
      <c r="A1735" s="1"/>
      <c r="B1735" s="1"/>
      <c r="C1735" s="1"/>
      <c r="D1735" s="1"/>
      <c r="E1735" s="1"/>
      <c r="F1735" s="1"/>
      <c r="G1735" s="1"/>
      <c r="H1735" s="1"/>
      <c r="I1735" s="1"/>
      <c r="J1735" s="1"/>
      <c r="K1735" s="1"/>
      <c r="L1735" s="1"/>
      <c r="M1735" s="1"/>
      <c r="N1735" s="1"/>
      <c r="O1735" s="1"/>
      <c r="P1735" s="1"/>
      <c r="Q1735" s="1"/>
      <c r="R1735" s="1"/>
      <c r="S1735" s="1"/>
      <c r="T1735" s="1"/>
      <c r="U1735" s="1"/>
    </row>
    <row r="1736" spans="1:21" ht="17.149999999999999" customHeight="1">
      <c r="A1736" s="1"/>
      <c r="B1736" s="1"/>
      <c r="C1736" s="1"/>
      <c r="D1736" s="1"/>
      <c r="E1736" s="1"/>
      <c r="F1736" s="1"/>
      <c r="G1736" s="1"/>
      <c r="H1736" s="1"/>
      <c r="I1736" s="1"/>
      <c r="J1736" s="1"/>
      <c r="K1736" s="1"/>
      <c r="L1736" s="1"/>
      <c r="M1736" s="1"/>
      <c r="N1736" s="1"/>
      <c r="O1736" s="1"/>
      <c r="P1736" s="1"/>
      <c r="Q1736" s="1"/>
      <c r="R1736" s="1"/>
      <c r="S1736" s="1"/>
      <c r="T1736" s="1"/>
      <c r="U1736" s="1"/>
    </row>
    <row r="1737" spans="1:21" ht="17.149999999999999" customHeight="1">
      <c r="A1737" s="1"/>
      <c r="B1737" s="1"/>
      <c r="C1737" s="1"/>
      <c r="D1737" s="1"/>
      <c r="E1737" s="1"/>
      <c r="F1737" s="1"/>
      <c r="G1737" s="1"/>
      <c r="H1737" s="1"/>
      <c r="I1737" s="1"/>
      <c r="J1737" s="1"/>
      <c r="K1737" s="1"/>
      <c r="L1737" s="1"/>
      <c r="M1737" s="1"/>
      <c r="N1737" s="1"/>
      <c r="O1737" s="1"/>
      <c r="P1737" s="1"/>
      <c r="Q1737" s="1"/>
      <c r="R1737" s="1"/>
      <c r="S1737" s="1"/>
      <c r="T1737" s="1"/>
      <c r="U1737" s="1"/>
    </row>
    <row r="1738" spans="1:21" ht="17.149999999999999" customHeight="1">
      <c r="A1738" s="1"/>
      <c r="B1738" s="1"/>
      <c r="C1738" s="1"/>
      <c r="D1738" s="1"/>
      <c r="E1738" s="1"/>
      <c r="F1738" s="1"/>
      <c r="G1738" s="1"/>
      <c r="H1738" s="1"/>
      <c r="I1738" s="1"/>
      <c r="J1738" s="1"/>
      <c r="K1738" s="1"/>
      <c r="L1738" s="1"/>
      <c r="M1738" s="1"/>
      <c r="N1738" s="1"/>
      <c r="O1738" s="1"/>
      <c r="P1738" s="1"/>
      <c r="Q1738" s="1"/>
      <c r="R1738" s="1"/>
      <c r="S1738" s="1"/>
      <c r="T1738" s="1"/>
      <c r="U1738" s="1"/>
    </row>
    <row r="1739" spans="1:21" ht="17.149999999999999" customHeight="1">
      <c r="A1739" s="1"/>
      <c r="B1739" s="1"/>
      <c r="C1739" s="1"/>
      <c r="D1739" s="1"/>
      <c r="E1739" s="1"/>
      <c r="F1739" s="1"/>
      <c r="G1739" s="1"/>
      <c r="H1739" s="1"/>
      <c r="I1739" s="1"/>
      <c r="J1739" s="1"/>
      <c r="K1739" s="1"/>
      <c r="L1739" s="1"/>
      <c r="M1739" s="1"/>
      <c r="N1739" s="1"/>
      <c r="O1739" s="1"/>
      <c r="P1739" s="1"/>
      <c r="Q1739" s="1"/>
      <c r="R1739" s="1"/>
      <c r="S1739" s="1"/>
      <c r="T1739" s="1"/>
      <c r="U1739" s="1"/>
    </row>
    <row r="1740" spans="1:21" ht="17.149999999999999" customHeight="1">
      <c r="A1740" s="1"/>
      <c r="B1740" s="1"/>
      <c r="C1740" s="1"/>
      <c r="D1740" s="1"/>
      <c r="E1740" s="1"/>
      <c r="F1740" s="1"/>
      <c r="G1740" s="1"/>
      <c r="H1740" s="1"/>
      <c r="I1740" s="1"/>
      <c r="J1740" s="1"/>
      <c r="K1740" s="1"/>
      <c r="L1740" s="1"/>
      <c r="M1740" s="1"/>
      <c r="N1740" s="1"/>
      <c r="O1740" s="1"/>
      <c r="P1740" s="1"/>
      <c r="Q1740" s="1"/>
      <c r="R1740" s="1"/>
      <c r="S1740" s="1"/>
      <c r="T1740" s="1"/>
      <c r="U1740" s="1"/>
    </row>
    <row r="1741" spans="1:21" ht="17.149999999999999" customHeight="1">
      <c r="A1741" s="1"/>
      <c r="B1741" s="1"/>
      <c r="C1741" s="1"/>
      <c r="D1741" s="1"/>
      <c r="E1741" s="1"/>
      <c r="F1741" s="1"/>
      <c r="G1741" s="1"/>
      <c r="H1741" s="1"/>
      <c r="I1741" s="1"/>
      <c r="J1741" s="1"/>
      <c r="K1741" s="1"/>
      <c r="L1741" s="1"/>
      <c r="M1741" s="1"/>
      <c r="N1741" s="1"/>
      <c r="O1741" s="1"/>
      <c r="P1741" s="1"/>
      <c r="Q1741" s="1"/>
      <c r="R1741" s="1"/>
      <c r="S1741" s="1"/>
      <c r="T1741" s="1"/>
      <c r="U1741" s="1"/>
    </row>
    <row r="1742" spans="1:21" ht="17.149999999999999" customHeight="1">
      <c r="A1742" s="1"/>
      <c r="B1742" s="1"/>
      <c r="C1742" s="1"/>
      <c r="D1742" s="1"/>
      <c r="E1742" s="1"/>
      <c r="F1742" s="1"/>
      <c r="G1742" s="1"/>
      <c r="H1742" s="1"/>
      <c r="I1742" s="1"/>
      <c r="J1742" s="1"/>
      <c r="K1742" s="1"/>
      <c r="L1742" s="1"/>
      <c r="M1742" s="1"/>
      <c r="N1742" s="1"/>
      <c r="O1742" s="1"/>
      <c r="P1742" s="1"/>
      <c r="Q1742" s="1"/>
      <c r="R1742" s="1"/>
      <c r="S1742" s="1"/>
      <c r="T1742" s="1"/>
      <c r="U1742" s="1"/>
    </row>
    <row r="1743" spans="1:21" ht="17.149999999999999" customHeight="1">
      <c r="A1743" s="1"/>
      <c r="B1743" s="1"/>
      <c r="C1743" s="1"/>
      <c r="D1743" s="1"/>
      <c r="E1743" s="1"/>
      <c r="F1743" s="1"/>
      <c r="G1743" s="1"/>
      <c r="H1743" s="1"/>
      <c r="I1743" s="1"/>
      <c r="J1743" s="1"/>
      <c r="K1743" s="1"/>
      <c r="L1743" s="1"/>
      <c r="M1743" s="1"/>
      <c r="N1743" s="1"/>
      <c r="O1743" s="1"/>
      <c r="P1743" s="1"/>
      <c r="Q1743" s="1"/>
      <c r="R1743" s="1"/>
      <c r="S1743" s="1"/>
      <c r="T1743" s="1"/>
      <c r="U1743" s="1"/>
    </row>
    <row r="1744" spans="1:21" ht="17.149999999999999" customHeight="1">
      <c r="A1744" s="1"/>
      <c r="B1744" s="1"/>
      <c r="C1744" s="1"/>
      <c r="D1744" s="1"/>
      <c r="E1744" s="1"/>
      <c r="F1744" s="1"/>
      <c r="G1744" s="1"/>
      <c r="H1744" s="1"/>
      <c r="I1744" s="1"/>
      <c r="J1744" s="1"/>
      <c r="K1744" s="1"/>
      <c r="L1744" s="1"/>
      <c r="M1744" s="1"/>
      <c r="N1744" s="1"/>
      <c r="O1744" s="1"/>
      <c r="P1744" s="1"/>
      <c r="Q1744" s="1"/>
      <c r="R1744" s="1"/>
      <c r="S1744" s="1"/>
      <c r="T1744" s="1"/>
      <c r="U1744" s="1"/>
    </row>
    <row r="1745" spans="1:29" ht="17.149999999999999" customHeight="1">
      <c r="A1745" s="1"/>
      <c r="B1745" s="1"/>
      <c r="C1745" s="1"/>
      <c r="D1745" s="1"/>
      <c r="E1745" s="1"/>
      <c r="F1745" s="1"/>
      <c r="G1745" s="1"/>
      <c r="H1745" s="1"/>
      <c r="I1745" s="1"/>
      <c r="J1745" s="1"/>
      <c r="K1745" s="1"/>
      <c r="L1745" s="1"/>
      <c r="M1745" s="1"/>
      <c r="N1745" s="1"/>
      <c r="O1745" s="1"/>
      <c r="P1745" s="1"/>
      <c r="Q1745" s="1"/>
      <c r="R1745" s="1"/>
      <c r="S1745" s="1"/>
      <c r="T1745" s="1"/>
      <c r="U1745" s="1"/>
    </row>
    <row r="1746" spans="1:29" ht="17.149999999999999" customHeight="1">
      <c r="A1746" s="1"/>
      <c r="B1746" s="1"/>
      <c r="C1746" s="1"/>
      <c r="D1746" s="1"/>
      <c r="E1746" s="1"/>
      <c r="F1746" s="1"/>
      <c r="G1746" s="1"/>
      <c r="H1746" s="1"/>
      <c r="I1746" s="1"/>
      <c r="J1746" s="1"/>
      <c r="K1746" s="1"/>
      <c r="L1746" s="1"/>
      <c r="M1746" s="1"/>
      <c r="N1746" s="1"/>
      <c r="O1746" s="1"/>
      <c r="P1746" s="1"/>
      <c r="Q1746" s="1"/>
      <c r="R1746" s="1"/>
      <c r="S1746" s="1"/>
      <c r="T1746" s="1"/>
      <c r="U1746" s="1"/>
    </row>
    <row r="1747" spans="1:29" ht="17.149999999999999" customHeight="1">
      <c r="A1747" s="1"/>
      <c r="B1747" s="1"/>
      <c r="C1747" s="1"/>
      <c r="D1747" s="1"/>
      <c r="E1747" s="1"/>
      <c r="F1747" s="1"/>
      <c r="G1747" s="1"/>
      <c r="H1747" s="1"/>
      <c r="I1747" s="1"/>
      <c r="J1747" s="1"/>
      <c r="K1747" s="1"/>
      <c r="L1747" s="1"/>
      <c r="M1747" s="1"/>
      <c r="N1747" s="1"/>
      <c r="O1747" s="1"/>
      <c r="P1747" s="1"/>
      <c r="Q1747" s="1"/>
      <c r="R1747" s="1"/>
      <c r="S1747" s="1"/>
      <c r="T1747" s="1"/>
      <c r="U1747" s="1"/>
    </row>
    <row r="1748" spans="1:29" ht="17.149999999999999" customHeight="1">
      <c r="A1748" s="1"/>
      <c r="B1748" s="1"/>
      <c r="C1748" s="1"/>
      <c r="D1748" s="1"/>
      <c r="E1748" s="1"/>
      <c r="F1748" s="1"/>
      <c r="G1748" s="1"/>
      <c r="H1748" s="1"/>
      <c r="I1748" s="1"/>
      <c r="J1748" s="1"/>
      <c r="K1748" s="1"/>
      <c r="L1748" s="1"/>
      <c r="M1748" s="1"/>
      <c r="N1748" s="1"/>
      <c r="O1748" s="1"/>
      <c r="P1748" s="1"/>
      <c r="Q1748" s="1"/>
      <c r="R1748" s="1"/>
      <c r="S1748" s="1"/>
      <c r="T1748" s="1"/>
      <c r="U1748" s="1"/>
      <c r="AC1748" s="98"/>
    </row>
    <row r="1749" spans="1:29" ht="17.149999999999999" customHeight="1">
      <c r="A1749" s="1"/>
      <c r="B1749" s="1"/>
      <c r="C1749" s="1"/>
      <c r="D1749" s="1"/>
      <c r="E1749" s="1"/>
      <c r="F1749" s="1"/>
      <c r="G1749" s="1"/>
      <c r="H1749" s="1"/>
      <c r="I1749" s="1"/>
      <c r="J1749" s="1"/>
      <c r="K1749" s="1"/>
      <c r="L1749" s="1"/>
      <c r="M1749" s="1"/>
      <c r="N1749" s="1"/>
      <c r="O1749" s="1"/>
      <c r="P1749" s="1"/>
      <c r="Q1749" s="1"/>
      <c r="R1749" s="1"/>
      <c r="S1749" s="1"/>
      <c r="T1749" s="1"/>
      <c r="U1749" s="1"/>
      <c r="AC1749" s="98"/>
    </row>
    <row r="1750" spans="1:29" ht="17.149999999999999" customHeight="1">
      <c r="A1750" s="1"/>
      <c r="B1750" s="1"/>
      <c r="C1750" s="1"/>
      <c r="D1750" s="1"/>
      <c r="E1750" s="1"/>
      <c r="F1750" s="1"/>
      <c r="G1750" s="1"/>
      <c r="H1750" s="1"/>
      <c r="I1750" s="1"/>
      <c r="J1750" s="1"/>
      <c r="K1750" s="1"/>
      <c r="L1750" s="1"/>
      <c r="M1750" s="1"/>
      <c r="N1750" s="1"/>
      <c r="O1750" s="1"/>
      <c r="P1750" s="1"/>
      <c r="Q1750" s="1"/>
      <c r="R1750" s="1"/>
      <c r="S1750" s="1"/>
      <c r="T1750" s="1"/>
      <c r="U1750" s="1"/>
    </row>
    <row r="1751" spans="1:29" ht="17.149999999999999" customHeight="1">
      <c r="A1751" s="1"/>
      <c r="B1751" s="1"/>
      <c r="C1751" s="1"/>
      <c r="D1751" s="1"/>
      <c r="E1751" s="1"/>
      <c r="F1751" s="1"/>
      <c r="G1751" s="1"/>
      <c r="H1751" s="1"/>
      <c r="I1751" s="1"/>
      <c r="J1751" s="1"/>
      <c r="K1751" s="1"/>
      <c r="L1751" s="1"/>
      <c r="M1751" s="1"/>
      <c r="N1751" s="1"/>
      <c r="O1751" s="1"/>
      <c r="P1751" s="1"/>
      <c r="Q1751" s="1"/>
      <c r="R1751" s="1"/>
      <c r="S1751" s="1"/>
      <c r="T1751" s="1"/>
      <c r="U1751" s="1"/>
    </row>
    <row r="1752" spans="1:29" ht="17.149999999999999" customHeight="1">
      <c r="A1752" s="1"/>
      <c r="B1752" s="1"/>
      <c r="C1752" s="1"/>
      <c r="D1752" s="1"/>
      <c r="E1752" s="1"/>
      <c r="F1752" s="1"/>
      <c r="G1752" s="1"/>
      <c r="H1752" s="1"/>
      <c r="I1752" s="1"/>
      <c r="J1752" s="1"/>
      <c r="K1752" s="1"/>
      <c r="L1752" s="1"/>
      <c r="M1752" s="1"/>
      <c r="N1752" s="1"/>
      <c r="O1752" s="1"/>
      <c r="P1752" s="1"/>
      <c r="Q1752" s="1"/>
      <c r="R1752" s="1"/>
      <c r="S1752" s="1"/>
      <c r="T1752" s="1"/>
      <c r="U1752" s="1"/>
    </row>
    <row r="1753" spans="1:29" ht="17.149999999999999" customHeight="1">
      <c r="A1753" s="1"/>
      <c r="B1753" s="1"/>
      <c r="C1753" s="1"/>
      <c r="D1753" s="1"/>
      <c r="E1753" s="1"/>
      <c r="F1753" s="1"/>
      <c r="G1753" s="1"/>
      <c r="H1753" s="1"/>
      <c r="I1753" s="1"/>
      <c r="J1753" s="1"/>
      <c r="K1753" s="1"/>
      <c r="L1753" s="1"/>
      <c r="M1753" s="1"/>
      <c r="N1753" s="1"/>
      <c r="O1753" s="1"/>
      <c r="P1753" s="1"/>
      <c r="Q1753" s="1"/>
      <c r="R1753" s="1"/>
      <c r="S1753" s="1"/>
      <c r="T1753" s="1"/>
      <c r="U1753" s="1"/>
    </row>
    <row r="1754" spans="1:29" ht="17.149999999999999" customHeight="1">
      <c r="A1754" s="1"/>
      <c r="B1754" s="1"/>
      <c r="C1754" s="1"/>
      <c r="D1754" s="1"/>
      <c r="E1754" s="1"/>
      <c r="F1754" s="1"/>
      <c r="G1754" s="1"/>
      <c r="H1754" s="1"/>
      <c r="I1754" s="1"/>
      <c r="J1754" s="1"/>
      <c r="K1754" s="1"/>
      <c r="L1754" s="1"/>
      <c r="M1754" s="1"/>
      <c r="N1754" s="1"/>
      <c r="O1754" s="1"/>
      <c r="P1754" s="1"/>
      <c r="Q1754" s="1"/>
      <c r="R1754" s="1"/>
      <c r="S1754" s="1"/>
      <c r="T1754" s="1"/>
      <c r="U1754" s="1"/>
    </row>
    <row r="1755" spans="1:29" ht="17.149999999999999" customHeight="1">
      <c r="A1755" s="1"/>
      <c r="B1755" s="1"/>
      <c r="C1755" s="1"/>
      <c r="D1755" s="1"/>
      <c r="E1755" s="1"/>
      <c r="F1755" s="1"/>
      <c r="G1755" s="1"/>
      <c r="H1755" s="1"/>
      <c r="I1755" s="1"/>
      <c r="J1755" s="1"/>
      <c r="K1755" s="1"/>
      <c r="L1755" s="1"/>
      <c r="M1755" s="1"/>
      <c r="N1755" s="1"/>
      <c r="O1755" s="1"/>
      <c r="P1755" s="1"/>
      <c r="Q1755" s="1"/>
      <c r="R1755" s="1"/>
      <c r="S1755" s="1"/>
      <c r="T1755" s="1"/>
      <c r="U1755" s="1"/>
    </row>
    <row r="1756" spans="1:29" ht="17.149999999999999" customHeight="1">
      <c r="A1756" s="1"/>
      <c r="B1756" s="1"/>
      <c r="C1756" s="1"/>
      <c r="D1756" s="1"/>
      <c r="E1756" s="1"/>
      <c r="F1756" s="1"/>
      <c r="G1756" s="1"/>
      <c r="H1756" s="1"/>
      <c r="I1756" s="1"/>
      <c r="J1756" s="1"/>
      <c r="K1756" s="1"/>
      <c r="L1756" s="1"/>
      <c r="M1756" s="1"/>
      <c r="N1756" s="1"/>
      <c r="O1756" s="1"/>
      <c r="P1756" s="1"/>
      <c r="Q1756" s="1"/>
      <c r="R1756" s="1"/>
      <c r="S1756" s="1"/>
      <c r="T1756" s="1"/>
      <c r="U1756" s="1"/>
    </row>
    <row r="1757" spans="1:29" ht="17.149999999999999" customHeight="1">
      <c r="A1757" s="1"/>
      <c r="B1757" s="1"/>
      <c r="C1757" s="1"/>
      <c r="D1757" s="1"/>
      <c r="E1757" s="1"/>
      <c r="F1757" s="1"/>
      <c r="G1757" s="1"/>
      <c r="H1757" s="1"/>
      <c r="I1757" s="1"/>
      <c r="J1757" s="1"/>
      <c r="K1757" s="1"/>
      <c r="L1757" s="1"/>
      <c r="M1757" s="1"/>
      <c r="N1757" s="1"/>
      <c r="O1757" s="1"/>
      <c r="P1757" s="1"/>
      <c r="Q1757" s="1"/>
      <c r="R1757" s="1"/>
      <c r="S1757" s="1"/>
      <c r="T1757" s="1"/>
      <c r="U1757" s="1"/>
    </row>
    <row r="1758" spans="1:29" ht="17.149999999999999" customHeight="1">
      <c r="A1758" s="1"/>
      <c r="B1758" s="1"/>
      <c r="C1758" s="1"/>
      <c r="D1758" s="1"/>
      <c r="E1758" s="1"/>
      <c r="F1758" s="1"/>
      <c r="G1758" s="1"/>
      <c r="H1758" s="1"/>
      <c r="I1758" s="1"/>
      <c r="J1758" s="1"/>
      <c r="K1758" s="1"/>
      <c r="L1758" s="1"/>
      <c r="M1758" s="1"/>
      <c r="N1758" s="1"/>
      <c r="O1758" s="1"/>
      <c r="P1758" s="1"/>
      <c r="Q1758" s="1"/>
      <c r="R1758" s="1"/>
      <c r="S1758" s="1"/>
      <c r="T1758" s="1"/>
      <c r="U1758" s="1"/>
    </row>
    <row r="1759" spans="1:29" ht="17.149999999999999" customHeight="1">
      <c r="A1759" s="1"/>
      <c r="B1759" s="1"/>
      <c r="C1759" s="1"/>
      <c r="D1759" s="1"/>
      <c r="E1759" s="1"/>
      <c r="F1759" s="1"/>
      <c r="G1759" s="1"/>
      <c r="H1759" s="1"/>
      <c r="I1759" s="1"/>
      <c r="J1759" s="1"/>
      <c r="K1759" s="1"/>
      <c r="L1759" s="1"/>
      <c r="M1759" s="1"/>
      <c r="N1759" s="1"/>
      <c r="O1759" s="1"/>
      <c r="P1759" s="1"/>
      <c r="Q1759" s="1"/>
      <c r="R1759" s="1"/>
      <c r="S1759" s="1"/>
      <c r="T1759" s="1"/>
      <c r="U1759" s="1"/>
    </row>
    <row r="1760" spans="1:29" ht="17.149999999999999" customHeight="1">
      <c r="A1760" s="1"/>
      <c r="B1760" s="1"/>
      <c r="C1760" s="1"/>
      <c r="D1760" s="1"/>
      <c r="E1760" s="1"/>
      <c r="F1760" s="1"/>
      <c r="G1760" s="1"/>
      <c r="H1760" s="1"/>
      <c r="I1760" s="1"/>
      <c r="J1760" s="1"/>
      <c r="K1760" s="1"/>
      <c r="L1760" s="1"/>
      <c r="M1760" s="1"/>
      <c r="N1760" s="1"/>
      <c r="O1760" s="1"/>
      <c r="P1760" s="1"/>
      <c r="Q1760" s="1"/>
      <c r="R1760" s="1"/>
      <c r="S1760" s="1"/>
      <c r="T1760" s="1"/>
      <c r="U1760" s="1"/>
    </row>
    <row r="1761" spans="1:29" ht="17.149999999999999" customHeight="1">
      <c r="A1761" s="1"/>
      <c r="B1761" s="1"/>
      <c r="C1761" s="1"/>
      <c r="D1761" s="1"/>
      <c r="E1761" s="1"/>
      <c r="F1761" s="1"/>
      <c r="G1761" s="1"/>
      <c r="H1761" s="1"/>
      <c r="I1761" s="1"/>
      <c r="J1761" s="1"/>
      <c r="K1761" s="1"/>
      <c r="L1761" s="1"/>
      <c r="M1761" s="1"/>
      <c r="N1761" s="1"/>
      <c r="O1761" s="1"/>
      <c r="P1761" s="1"/>
      <c r="Q1761" s="1"/>
      <c r="R1761" s="1"/>
      <c r="S1761" s="1"/>
      <c r="T1761" s="1"/>
      <c r="U1761" s="1"/>
    </row>
    <row r="1762" spans="1:29" ht="17.149999999999999" customHeight="1">
      <c r="A1762" s="1"/>
      <c r="B1762" s="1"/>
      <c r="C1762" s="1"/>
      <c r="D1762" s="1"/>
      <c r="E1762" s="1"/>
      <c r="F1762" s="1"/>
      <c r="G1762" s="1"/>
      <c r="H1762" s="1"/>
      <c r="I1762" s="1"/>
      <c r="J1762" s="1"/>
      <c r="K1762" s="1"/>
      <c r="L1762" s="1"/>
      <c r="M1762" s="1"/>
      <c r="N1762" s="1"/>
      <c r="O1762" s="1"/>
      <c r="P1762" s="1"/>
      <c r="Q1762" s="1"/>
      <c r="R1762" s="1"/>
      <c r="S1762" s="1"/>
      <c r="T1762" s="1"/>
      <c r="U1762" s="1"/>
    </row>
    <row r="1763" spans="1:29" ht="17.149999999999999" customHeight="1">
      <c r="A1763" s="1"/>
      <c r="B1763" s="1"/>
      <c r="C1763" s="1"/>
      <c r="D1763" s="1"/>
      <c r="E1763" s="1"/>
      <c r="F1763" s="1"/>
      <c r="G1763" s="1"/>
      <c r="H1763" s="1"/>
      <c r="I1763" s="1"/>
      <c r="J1763" s="1"/>
      <c r="K1763" s="1"/>
      <c r="L1763" s="1"/>
      <c r="M1763" s="1"/>
      <c r="N1763" s="1"/>
      <c r="O1763" s="1"/>
      <c r="P1763" s="1"/>
      <c r="Q1763" s="1"/>
      <c r="R1763" s="1"/>
      <c r="S1763" s="1"/>
      <c r="T1763" s="1"/>
      <c r="U1763" s="1"/>
    </row>
    <row r="1764" spans="1:29" ht="17.149999999999999" customHeight="1">
      <c r="A1764" s="1"/>
      <c r="B1764" s="1"/>
      <c r="C1764" s="1"/>
      <c r="D1764" s="1"/>
      <c r="E1764" s="1"/>
      <c r="F1764" s="1"/>
      <c r="G1764" s="1"/>
      <c r="H1764" s="1"/>
      <c r="I1764" s="1"/>
      <c r="J1764" s="1"/>
      <c r="K1764" s="1"/>
      <c r="L1764" s="1"/>
      <c r="M1764" s="1"/>
      <c r="N1764" s="1"/>
      <c r="O1764" s="1"/>
      <c r="P1764" s="1"/>
      <c r="Q1764" s="1"/>
      <c r="R1764" s="1"/>
      <c r="S1764" s="1"/>
      <c r="T1764" s="1"/>
      <c r="U1764" s="1"/>
    </row>
    <row r="1765" spans="1:29" ht="17.149999999999999" customHeight="1">
      <c r="A1765" s="1"/>
      <c r="B1765" s="1"/>
      <c r="C1765" s="1"/>
      <c r="D1765" s="1"/>
      <c r="E1765" s="1"/>
      <c r="F1765" s="1"/>
      <c r="G1765" s="1"/>
      <c r="H1765" s="1"/>
      <c r="I1765" s="1"/>
      <c r="J1765" s="1"/>
      <c r="K1765" s="1"/>
      <c r="L1765" s="1"/>
      <c r="M1765" s="1"/>
      <c r="N1765" s="1"/>
      <c r="O1765" s="1"/>
      <c r="P1765" s="1"/>
      <c r="Q1765" s="1"/>
      <c r="R1765" s="1"/>
      <c r="S1765" s="1"/>
      <c r="T1765" s="1"/>
      <c r="U1765" s="1"/>
    </row>
    <row r="1766" spans="1:29" ht="17.149999999999999" customHeight="1">
      <c r="A1766" s="1"/>
      <c r="B1766" s="1"/>
      <c r="C1766" s="1"/>
      <c r="D1766" s="1"/>
      <c r="E1766" s="1"/>
      <c r="F1766" s="1"/>
      <c r="G1766" s="1"/>
      <c r="H1766" s="1"/>
      <c r="I1766" s="1"/>
      <c r="J1766" s="1"/>
      <c r="K1766" s="1"/>
      <c r="L1766" s="1"/>
      <c r="M1766" s="1"/>
      <c r="N1766" s="1"/>
      <c r="O1766" s="1"/>
      <c r="P1766" s="1"/>
      <c r="Q1766" s="1"/>
      <c r="R1766" s="1"/>
      <c r="S1766" s="1"/>
      <c r="T1766" s="1"/>
      <c r="U1766" s="1"/>
    </row>
    <row r="1767" spans="1:29" ht="17.149999999999999" customHeight="1">
      <c r="A1767" s="1"/>
      <c r="B1767" s="1"/>
      <c r="C1767" s="1"/>
      <c r="D1767" s="1"/>
      <c r="E1767" s="1"/>
      <c r="F1767" s="1"/>
      <c r="G1767" s="1"/>
      <c r="H1767" s="1"/>
      <c r="I1767" s="1"/>
      <c r="J1767" s="1"/>
      <c r="K1767" s="1"/>
      <c r="L1767" s="1"/>
      <c r="M1767" s="1"/>
      <c r="N1767" s="1"/>
      <c r="O1767" s="1"/>
      <c r="P1767" s="1"/>
      <c r="Q1767" s="1"/>
      <c r="R1767" s="1"/>
      <c r="S1767" s="1"/>
      <c r="T1767" s="1"/>
      <c r="U1767" s="1"/>
    </row>
    <row r="1768" spans="1:29" ht="17.149999999999999" customHeight="1">
      <c r="A1768" s="1"/>
      <c r="B1768" s="1"/>
      <c r="C1768" s="1"/>
      <c r="D1768" s="1"/>
      <c r="E1768" s="1"/>
      <c r="F1768" s="1"/>
      <c r="G1768" s="1"/>
      <c r="H1768" s="1"/>
      <c r="I1768" s="1"/>
      <c r="J1768" s="1"/>
      <c r="K1768" s="1"/>
      <c r="L1768" s="1"/>
      <c r="M1768" s="1"/>
      <c r="N1768" s="1"/>
      <c r="O1768" s="1"/>
      <c r="P1768" s="1"/>
      <c r="Q1768" s="1"/>
      <c r="R1768" s="1"/>
      <c r="S1768" s="1"/>
      <c r="T1768" s="1"/>
      <c r="U1768" s="1"/>
    </row>
    <row r="1769" spans="1:29" ht="17.149999999999999" customHeight="1">
      <c r="A1769" s="1"/>
      <c r="B1769" s="1"/>
      <c r="C1769" s="1"/>
      <c r="D1769" s="1"/>
      <c r="E1769" s="1"/>
      <c r="F1769" s="1"/>
      <c r="G1769" s="1"/>
      <c r="H1769" s="1"/>
      <c r="I1769" s="1"/>
      <c r="J1769" s="1"/>
      <c r="K1769" s="1"/>
      <c r="L1769" s="1"/>
      <c r="M1769" s="1"/>
      <c r="N1769" s="1"/>
      <c r="O1769" s="1"/>
      <c r="P1769" s="1"/>
      <c r="Q1769" s="1"/>
      <c r="R1769" s="1"/>
      <c r="S1769" s="1"/>
      <c r="T1769" s="1"/>
      <c r="U1769" s="1"/>
      <c r="AC1769" s="98"/>
    </row>
    <row r="1770" spans="1:29" ht="17.149999999999999" customHeight="1">
      <c r="A1770" s="1"/>
      <c r="B1770" s="1"/>
      <c r="C1770" s="1"/>
      <c r="D1770" s="1"/>
      <c r="E1770" s="1"/>
      <c r="F1770" s="1"/>
      <c r="G1770" s="1"/>
      <c r="H1770" s="1"/>
      <c r="I1770" s="1"/>
      <c r="J1770" s="1"/>
      <c r="K1770" s="1"/>
      <c r="L1770" s="1"/>
      <c r="M1770" s="1"/>
      <c r="N1770" s="1"/>
      <c r="O1770" s="1"/>
      <c r="P1770" s="1"/>
      <c r="Q1770" s="1"/>
      <c r="R1770" s="1"/>
      <c r="S1770" s="1"/>
      <c r="T1770" s="1"/>
      <c r="U1770" s="1"/>
      <c r="AC1770" s="98"/>
    </row>
    <row r="1771" spans="1:29" ht="17.149999999999999" customHeight="1">
      <c r="A1771" s="1"/>
      <c r="B1771" s="1"/>
      <c r="C1771" s="1"/>
      <c r="D1771" s="1"/>
      <c r="E1771" s="1"/>
      <c r="F1771" s="1"/>
      <c r="G1771" s="1"/>
      <c r="H1771" s="1"/>
      <c r="I1771" s="1"/>
      <c r="J1771" s="1"/>
      <c r="K1771" s="1"/>
      <c r="L1771" s="1"/>
      <c r="M1771" s="1"/>
      <c r="N1771" s="1"/>
      <c r="O1771" s="1"/>
      <c r="P1771" s="1"/>
      <c r="Q1771" s="1"/>
      <c r="R1771" s="1"/>
      <c r="S1771" s="1"/>
      <c r="T1771" s="1"/>
      <c r="U1771" s="1"/>
    </row>
    <row r="1772" spans="1:29" ht="17.149999999999999" customHeight="1">
      <c r="A1772" s="1"/>
      <c r="B1772" s="1"/>
      <c r="C1772" s="1"/>
      <c r="D1772" s="1"/>
      <c r="E1772" s="1"/>
      <c r="F1772" s="1"/>
      <c r="G1772" s="1"/>
      <c r="H1772" s="1"/>
      <c r="I1772" s="1"/>
      <c r="J1772" s="1"/>
      <c r="K1772" s="1"/>
      <c r="L1772" s="1"/>
      <c r="M1772" s="1"/>
      <c r="N1772" s="1"/>
      <c r="O1772" s="1"/>
      <c r="P1772" s="1"/>
      <c r="Q1772" s="1"/>
      <c r="R1772" s="1"/>
      <c r="S1772" s="1"/>
      <c r="T1772" s="1"/>
      <c r="U1772" s="1"/>
    </row>
    <row r="1773" spans="1:29" ht="17.149999999999999" customHeight="1">
      <c r="A1773" s="1"/>
      <c r="B1773" s="1"/>
      <c r="C1773" s="1"/>
      <c r="D1773" s="1"/>
      <c r="E1773" s="1"/>
      <c r="F1773" s="1"/>
      <c r="G1773" s="1"/>
      <c r="H1773" s="1"/>
      <c r="I1773" s="1"/>
      <c r="J1773" s="1"/>
      <c r="K1773" s="1"/>
      <c r="L1773" s="1"/>
      <c r="M1773" s="1"/>
      <c r="N1773" s="1"/>
      <c r="O1773" s="1"/>
      <c r="P1773" s="1"/>
      <c r="Q1773" s="1"/>
      <c r="R1773" s="1"/>
      <c r="S1773" s="1"/>
      <c r="T1773" s="1"/>
      <c r="U1773" s="1"/>
    </row>
    <row r="1774" spans="1:29" ht="17.149999999999999" customHeight="1">
      <c r="A1774" s="1"/>
      <c r="B1774" s="1"/>
      <c r="C1774" s="1"/>
      <c r="D1774" s="1"/>
      <c r="E1774" s="1"/>
      <c r="F1774" s="1"/>
      <c r="G1774" s="1"/>
      <c r="H1774" s="1"/>
      <c r="I1774" s="1"/>
      <c r="J1774" s="1"/>
      <c r="K1774" s="1"/>
      <c r="L1774" s="1"/>
      <c r="M1774" s="1"/>
      <c r="N1774" s="1"/>
      <c r="O1774" s="1"/>
      <c r="P1774" s="1"/>
      <c r="Q1774" s="1"/>
      <c r="R1774" s="1"/>
      <c r="S1774" s="1"/>
      <c r="T1774" s="1"/>
      <c r="U1774" s="1"/>
    </row>
    <row r="1775" spans="1:29" ht="17.149999999999999" customHeight="1">
      <c r="A1775" s="1"/>
      <c r="B1775" s="1"/>
      <c r="C1775" s="1"/>
      <c r="D1775" s="1"/>
      <c r="E1775" s="1"/>
      <c r="F1775" s="1"/>
      <c r="G1775" s="1"/>
      <c r="H1775" s="1"/>
      <c r="I1775" s="1"/>
      <c r="J1775" s="1"/>
      <c r="K1775" s="1"/>
      <c r="L1775" s="1"/>
      <c r="M1775" s="1"/>
      <c r="N1775" s="1"/>
      <c r="O1775" s="1"/>
      <c r="P1775" s="1"/>
      <c r="Q1775" s="1"/>
      <c r="R1775" s="1"/>
      <c r="S1775" s="1"/>
      <c r="T1775" s="1"/>
      <c r="U1775" s="1"/>
    </row>
    <row r="1776" spans="1:29" ht="17.149999999999999" customHeight="1">
      <c r="A1776" s="1"/>
      <c r="B1776" s="1"/>
      <c r="C1776" s="1"/>
      <c r="D1776" s="1"/>
      <c r="E1776" s="1"/>
      <c r="F1776" s="1"/>
      <c r="G1776" s="1"/>
      <c r="H1776" s="1"/>
      <c r="I1776" s="1"/>
      <c r="J1776" s="1"/>
      <c r="K1776" s="1"/>
      <c r="L1776" s="1"/>
      <c r="M1776" s="1"/>
      <c r="N1776" s="1"/>
      <c r="O1776" s="1"/>
      <c r="P1776" s="1"/>
      <c r="Q1776" s="1"/>
      <c r="R1776" s="1"/>
      <c r="S1776" s="1"/>
      <c r="T1776" s="1"/>
      <c r="U1776" s="1"/>
    </row>
    <row r="1777" spans="1:21" ht="17.149999999999999" customHeight="1">
      <c r="A1777" s="1"/>
      <c r="B1777" s="1"/>
      <c r="C1777" s="1"/>
      <c r="D1777" s="1"/>
      <c r="E1777" s="1"/>
      <c r="F1777" s="1"/>
      <c r="G1777" s="1"/>
      <c r="H1777" s="1"/>
      <c r="I1777" s="1"/>
      <c r="J1777" s="1"/>
      <c r="K1777" s="1"/>
      <c r="L1777" s="1"/>
      <c r="M1777" s="1"/>
      <c r="N1777" s="1"/>
      <c r="O1777" s="1"/>
      <c r="P1777" s="1"/>
      <c r="Q1777" s="1"/>
      <c r="R1777" s="1"/>
      <c r="S1777" s="1"/>
      <c r="T1777" s="1"/>
      <c r="U1777" s="1"/>
    </row>
    <row r="1778" spans="1:21" ht="17.149999999999999" customHeight="1">
      <c r="A1778" s="1"/>
      <c r="B1778" s="1"/>
      <c r="C1778" s="1"/>
      <c r="D1778" s="1"/>
      <c r="E1778" s="1"/>
      <c r="F1778" s="1"/>
      <c r="G1778" s="1"/>
      <c r="H1778" s="1"/>
      <c r="I1778" s="1"/>
      <c r="J1778" s="1"/>
      <c r="K1778" s="1"/>
      <c r="L1778" s="1"/>
      <c r="M1778" s="1"/>
      <c r="N1778" s="1"/>
      <c r="O1778" s="1"/>
      <c r="P1778" s="1"/>
      <c r="Q1778" s="1"/>
      <c r="R1778" s="1"/>
      <c r="S1778" s="1"/>
      <c r="T1778" s="1"/>
      <c r="U1778" s="1"/>
    </row>
    <row r="1779" spans="1:21" ht="17.149999999999999" customHeight="1">
      <c r="A1779" s="1"/>
      <c r="B1779" s="1"/>
      <c r="C1779" s="1"/>
      <c r="D1779" s="1"/>
      <c r="E1779" s="1"/>
      <c r="F1779" s="1"/>
      <c r="G1779" s="1"/>
      <c r="H1779" s="1"/>
      <c r="I1779" s="1"/>
      <c r="J1779" s="1"/>
      <c r="K1779" s="1"/>
      <c r="L1779" s="1"/>
      <c r="M1779" s="1"/>
      <c r="N1779" s="1"/>
      <c r="O1779" s="1"/>
      <c r="P1779" s="1"/>
      <c r="Q1779" s="1"/>
      <c r="R1779" s="1"/>
      <c r="S1779" s="1"/>
      <c r="T1779" s="1"/>
      <c r="U1779" s="1"/>
    </row>
    <row r="1780" spans="1:21" ht="17.149999999999999" customHeight="1">
      <c r="A1780" s="1"/>
      <c r="B1780" s="1"/>
      <c r="C1780" s="1"/>
      <c r="D1780" s="1"/>
      <c r="E1780" s="1"/>
      <c r="F1780" s="1"/>
      <c r="G1780" s="1"/>
      <c r="H1780" s="1"/>
      <c r="I1780" s="1"/>
      <c r="J1780" s="1"/>
      <c r="K1780" s="1"/>
      <c r="L1780" s="1"/>
      <c r="M1780" s="1"/>
      <c r="N1780" s="1"/>
      <c r="O1780" s="1"/>
      <c r="P1780" s="1"/>
      <c r="Q1780" s="1"/>
      <c r="R1780" s="1"/>
      <c r="S1780" s="1"/>
      <c r="T1780" s="1"/>
      <c r="U1780" s="1"/>
    </row>
    <row r="1781" spans="1:21" ht="17.149999999999999" customHeight="1">
      <c r="A1781" s="1"/>
      <c r="B1781" s="1"/>
      <c r="C1781" s="1"/>
      <c r="D1781" s="1"/>
      <c r="E1781" s="1"/>
      <c r="F1781" s="1"/>
      <c r="G1781" s="1"/>
      <c r="H1781" s="1"/>
      <c r="I1781" s="1"/>
      <c r="J1781" s="1"/>
      <c r="K1781" s="1"/>
      <c r="L1781" s="1"/>
      <c r="M1781" s="1"/>
      <c r="N1781" s="1"/>
      <c r="O1781" s="1"/>
      <c r="P1781" s="1"/>
      <c r="Q1781" s="1"/>
      <c r="R1781" s="1"/>
      <c r="S1781" s="1"/>
      <c r="T1781" s="1"/>
      <c r="U1781" s="1"/>
    </row>
    <row r="1782" spans="1:21" ht="17.149999999999999" customHeight="1">
      <c r="A1782" s="1"/>
      <c r="B1782" s="1"/>
      <c r="C1782" s="1"/>
      <c r="D1782" s="1"/>
      <c r="E1782" s="1"/>
      <c r="F1782" s="1"/>
      <c r="G1782" s="1"/>
      <c r="H1782" s="1"/>
      <c r="I1782" s="1"/>
      <c r="J1782" s="1"/>
      <c r="K1782" s="1"/>
      <c r="L1782" s="1"/>
      <c r="M1782" s="1"/>
      <c r="N1782" s="1"/>
      <c r="O1782" s="1"/>
      <c r="P1782" s="1"/>
      <c r="Q1782" s="1"/>
      <c r="R1782" s="1"/>
      <c r="S1782" s="1"/>
      <c r="T1782" s="1"/>
      <c r="U1782" s="1"/>
    </row>
    <row r="1783" spans="1:21" ht="17.149999999999999" customHeight="1">
      <c r="A1783" s="1"/>
      <c r="B1783" s="1"/>
      <c r="C1783" s="1"/>
      <c r="D1783" s="1"/>
      <c r="E1783" s="1"/>
      <c r="F1783" s="1"/>
      <c r="G1783" s="1"/>
      <c r="H1783" s="1"/>
      <c r="I1783" s="1"/>
      <c r="J1783" s="1"/>
      <c r="K1783" s="1"/>
      <c r="L1783" s="1"/>
      <c r="M1783" s="1"/>
      <c r="N1783" s="1"/>
      <c r="O1783" s="1"/>
      <c r="P1783" s="1"/>
      <c r="Q1783" s="1"/>
      <c r="R1783" s="1"/>
      <c r="S1783" s="1"/>
      <c r="T1783" s="1"/>
      <c r="U1783" s="1"/>
    </row>
    <row r="1784" spans="1:21" ht="17.149999999999999" customHeight="1">
      <c r="A1784" s="1"/>
      <c r="B1784" s="1"/>
      <c r="C1784" s="1"/>
      <c r="D1784" s="1"/>
      <c r="E1784" s="1"/>
      <c r="F1784" s="1"/>
      <c r="G1784" s="1"/>
      <c r="H1784" s="1"/>
      <c r="I1784" s="1"/>
      <c r="J1784" s="1"/>
      <c r="K1784" s="1"/>
      <c r="L1784" s="1"/>
      <c r="M1784" s="1"/>
      <c r="N1784" s="1"/>
      <c r="O1784" s="1"/>
      <c r="P1784" s="1"/>
      <c r="Q1784" s="1"/>
      <c r="R1784" s="1"/>
      <c r="S1784" s="1"/>
      <c r="T1784" s="1"/>
      <c r="U1784" s="1"/>
    </row>
    <row r="1785" spans="1:21" ht="17.149999999999999" customHeight="1">
      <c r="A1785" s="1"/>
      <c r="B1785" s="1"/>
      <c r="C1785" s="1"/>
      <c r="D1785" s="1"/>
      <c r="E1785" s="1"/>
      <c r="F1785" s="1"/>
      <c r="G1785" s="1"/>
      <c r="H1785" s="1"/>
      <c r="I1785" s="1"/>
      <c r="J1785" s="1"/>
      <c r="K1785" s="1"/>
      <c r="L1785" s="1"/>
      <c r="M1785" s="1"/>
      <c r="N1785" s="1"/>
      <c r="O1785" s="1"/>
      <c r="P1785" s="1"/>
      <c r="Q1785" s="1"/>
      <c r="R1785" s="1"/>
      <c r="S1785" s="1"/>
      <c r="T1785" s="1"/>
      <c r="U1785" s="1"/>
    </row>
    <row r="1786" spans="1:21" ht="17.149999999999999" customHeight="1">
      <c r="A1786" s="1"/>
      <c r="B1786" s="1"/>
      <c r="C1786" s="1"/>
      <c r="D1786" s="1"/>
      <c r="E1786" s="1"/>
      <c r="F1786" s="1"/>
      <c r="G1786" s="1"/>
      <c r="H1786" s="1"/>
      <c r="I1786" s="1"/>
      <c r="J1786" s="1"/>
      <c r="K1786" s="1"/>
      <c r="L1786" s="1"/>
      <c r="M1786" s="1"/>
      <c r="N1786" s="1"/>
      <c r="O1786" s="1"/>
      <c r="P1786" s="1"/>
      <c r="Q1786" s="1"/>
      <c r="R1786" s="1"/>
      <c r="S1786" s="1"/>
      <c r="T1786" s="1"/>
      <c r="U1786" s="1"/>
    </row>
    <row r="1787" spans="1:21" ht="17.149999999999999" customHeight="1">
      <c r="A1787" s="1"/>
      <c r="B1787" s="1"/>
      <c r="C1787" s="1"/>
      <c r="D1787" s="1"/>
      <c r="E1787" s="1"/>
      <c r="F1787" s="1"/>
      <c r="G1787" s="1"/>
      <c r="H1787" s="1"/>
      <c r="I1787" s="1"/>
      <c r="J1787" s="1"/>
      <c r="K1787" s="1"/>
      <c r="L1787" s="1"/>
      <c r="M1787" s="1"/>
      <c r="N1787" s="1"/>
      <c r="O1787" s="1"/>
      <c r="P1787" s="1"/>
      <c r="Q1787" s="1"/>
      <c r="R1787" s="1"/>
      <c r="S1787" s="1"/>
      <c r="T1787" s="1"/>
      <c r="U1787" s="1"/>
    </row>
    <row r="1788" spans="1:21" ht="17.149999999999999" customHeight="1">
      <c r="A1788" s="1"/>
      <c r="B1788" s="1"/>
      <c r="C1788" s="1"/>
      <c r="D1788" s="1"/>
      <c r="E1788" s="1"/>
      <c r="F1788" s="1"/>
      <c r="G1788" s="1"/>
      <c r="H1788" s="1"/>
      <c r="I1788" s="1"/>
      <c r="J1788" s="1"/>
      <c r="K1788" s="1"/>
      <c r="L1788" s="1"/>
      <c r="M1788" s="1"/>
      <c r="N1788" s="1"/>
      <c r="O1788" s="1"/>
      <c r="P1788" s="1"/>
      <c r="Q1788" s="1"/>
      <c r="R1788" s="1"/>
      <c r="S1788" s="1"/>
      <c r="T1788" s="1"/>
      <c r="U1788" s="1"/>
    </row>
    <row r="1789" spans="1:21" ht="17.149999999999999" customHeight="1">
      <c r="A1789" s="1"/>
      <c r="B1789" s="1"/>
      <c r="C1789" s="1"/>
      <c r="D1789" s="1"/>
      <c r="E1789" s="1"/>
      <c r="F1789" s="1"/>
      <c r="G1789" s="1"/>
      <c r="H1789" s="1"/>
      <c r="I1789" s="1"/>
      <c r="J1789" s="1"/>
      <c r="K1789" s="1"/>
      <c r="L1789" s="1"/>
      <c r="M1789" s="1"/>
      <c r="N1789" s="1"/>
      <c r="O1789" s="1"/>
      <c r="P1789" s="1"/>
      <c r="Q1789" s="1"/>
      <c r="R1789" s="1"/>
      <c r="S1789" s="1"/>
      <c r="T1789" s="1"/>
      <c r="U1789" s="1"/>
    </row>
    <row r="1790" spans="1:21" ht="17.149999999999999" customHeight="1">
      <c r="A1790" s="1"/>
      <c r="B1790" s="1"/>
      <c r="C1790" s="1"/>
      <c r="D1790" s="1"/>
      <c r="E1790" s="1"/>
      <c r="F1790" s="1"/>
      <c r="G1790" s="1"/>
      <c r="H1790" s="1"/>
      <c r="I1790" s="1"/>
      <c r="J1790" s="1"/>
      <c r="K1790" s="1"/>
      <c r="L1790" s="1"/>
      <c r="M1790" s="1"/>
      <c r="N1790" s="1"/>
      <c r="O1790" s="1"/>
      <c r="P1790" s="1"/>
      <c r="Q1790" s="1"/>
      <c r="R1790" s="1"/>
      <c r="S1790" s="1"/>
      <c r="T1790" s="1"/>
      <c r="U1790" s="1"/>
    </row>
    <row r="1791" spans="1:21" ht="17.149999999999999" customHeight="1">
      <c r="A1791" s="1"/>
      <c r="B1791" s="1"/>
      <c r="C1791" s="1"/>
      <c r="D1791" s="1"/>
      <c r="E1791" s="1"/>
      <c r="F1791" s="1"/>
      <c r="G1791" s="1"/>
      <c r="H1791" s="1"/>
      <c r="I1791" s="1"/>
      <c r="J1791" s="1"/>
      <c r="K1791" s="1"/>
      <c r="L1791" s="1"/>
      <c r="M1791" s="1"/>
      <c r="N1791" s="1"/>
      <c r="O1791" s="1"/>
      <c r="P1791" s="1"/>
      <c r="Q1791" s="1"/>
      <c r="R1791" s="1"/>
      <c r="S1791" s="1"/>
      <c r="T1791" s="1"/>
      <c r="U1791" s="1"/>
    </row>
    <row r="1792" spans="1:21" ht="17.149999999999999" customHeight="1">
      <c r="A1792" s="1"/>
      <c r="B1792" s="1"/>
      <c r="C1792" s="1"/>
      <c r="D1792" s="1"/>
      <c r="E1792" s="1"/>
      <c r="F1792" s="1"/>
      <c r="G1792" s="1"/>
      <c r="H1792" s="1"/>
      <c r="I1792" s="1"/>
      <c r="J1792" s="1"/>
      <c r="K1792" s="1"/>
      <c r="L1792" s="1"/>
      <c r="M1792" s="1"/>
      <c r="N1792" s="1"/>
      <c r="O1792" s="1"/>
      <c r="P1792" s="1"/>
      <c r="Q1792" s="1"/>
      <c r="R1792" s="1"/>
      <c r="S1792" s="1"/>
      <c r="T1792" s="1"/>
      <c r="U1792" s="1"/>
    </row>
    <row r="1793" spans="1:21" ht="17.149999999999999" customHeight="1">
      <c r="A1793" s="1"/>
      <c r="B1793" s="1"/>
      <c r="C1793" s="1"/>
      <c r="D1793" s="1"/>
      <c r="E1793" s="1"/>
      <c r="F1793" s="1"/>
      <c r="G1793" s="1"/>
      <c r="H1793" s="1"/>
      <c r="I1793" s="1"/>
      <c r="J1793" s="1"/>
      <c r="K1793" s="1"/>
      <c r="L1793" s="1"/>
      <c r="M1793" s="1"/>
      <c r="N1793" s="1"/>
      <c r="O1793" s="1"/>
      <c r="P1793" s="1"/>
      <c r="Q1793" s="1"/>
      <c r="R1793" s="1"/>
      <c r="S1793" s="1"/>
      <c r="T1793" s="1"/>
      <c r="U1793" s="1"/>
    </row>
    <row r="1794" spans="1:21" ht="17.149999999999999" customHeight="1">
      <c r="A1794" s="1"/>
      <c r="B1794" s="1"/>
      <c r="C1794" s="1"/>
      <c r="D1794" s="1"/>
      <c r="E1794" s="1"/>
      <c r="F1794" s="1"/>
      <c r="G1794" s="1"/>
      <c r="H1794" s="1"/>
      <c r="I1794" s="1"/>
      <c r="J1794" s="1"/>
      <c r="K1794" s="1"/>
      <c r="L1794" s="1"/>
      <c r="M1794" s="1"/>
      <c r="N1794" s="1"/>
      <c r="O1794" s="1"/>
      <c r="P1794" s="1"/>
      <c r="Q1794" s="1"/>
      <c r="R1794" s="1"/>
      <c r="S1794" s="1"/>
      <c r="T1794" s="1"/>
      <c r="U1794" s="1"/>
    </row>
    <row r="1795" spans="1:21" ht="17.149999999999999" customHeight="1">
      <c r="A1795" s="1"/>
      <c r="B1795" s="1"/>
      <c r="C1795" s="1"/>
      <c r="D1795" s="1"/>
      <c r="E1795" s="1"/>
      <c r="F1795" s="1"/>
      <c r="G1795" s="1"/>
      <c r="H1795" s="1"/>
      <c r="I1795" s="1"/>
      <c r="J1795" s="1"/>
      <c r="K1795" s="1"/>
      <c r="L1795" s="1"/>
      <c r="M1795" s="1"/>
      <c r="N1795" s="1"/>
      <c r="O1795" s="1"/>
      <c r="P1795" s="1"/>
      <c r="Q1795" s="1"/>
      <c r="R1795" s="1"/>
      <c r="S1795" s="1"/>
      <c r="T1795" s="1"/>
      <c r="U1795" s="1"/>
    </row>
    <row r="1796" spans="1:21" ht="17.149999999999999" customHeight="1">
      <c r="A1796" s="1"/>
      <c r="B1796" s="1"/>
      <c r="C1796" s="1"/>
      <c r="D1796" s="1"/>
      <c r="E1796" s="1"/>
      <c r="F1796" s="1"/>
      <c r="G1796" s="1"/>
      <c r="H1796" s="1"/>
      <c r="I1796" s="1"/>
      <c r="J1796" s="1"/>
      <c r="K1796" s="1"/>
      <c r="L1796" s="1"/>
      <c r="M1796" s="1"/>
      <c r="N1796" s="1"/>
      <c r="O1796" s="1"/>
      <c r="P1796" s="1"/>
      <c r="Q1796" s="1"/>
      <c r="R1796" s="1"/>
      <c r="S1796" s="1"/>
      <c r="T1796" s="1"/>
      <c r="U1796" s="1"/>
    </row>
    <row r="1797" spans="1:21" ht="17.149999999999999" customHeight="1">
      <c r="A1797" s="1"/>
      <c r="B1797" s="1"/>
      <c r="C1797" s="1"/>
      <c r="D1797" s="1"/>
      <c r="E1797" s="1"/>
      <c r="F1797" s="1"/>
      <c r="G1797" s="1"/>
      <c r="H1797" s="1"/>
      <c r="I1797" s="1"/>
      <c r="J1797" s="1"/>
      <c r="K1797" s="1"/>
      <c r="L1797" s="1"/>
      <c r="M1797" s="1"/>
      <c r="N1797" s="1"/>
      <c r="O1797" s="1"/>
      <c r="P1797" s="1"/>
      <c r="Q1797" s="1"/>
      <c r="R1797" s="1"/>
      <c r="S1797" s="1"/>
      <c r="T1797" s="1"/>
      <c r="U1797" s="1"/>
    </row>
    <row r="1798" spans="1:21" ht="17.149999999999999" customHeight="1">
      <c r="A1798" s="1"/>
      <c r="B1798" s="1"/>
      <c r="C1798" s="1"/>
      <c r="D1798" s="1"/>
      <c r="E1798" s="1"/>
      <c r="F1798" s="1"/>
      <c r="G1798" s="1"/>
      <c r="H1798" s="1"/>
      <c r="I1798" s="1"/>
      <c r="J1798" s="1"/>
      <c r="K1798" s="1"/>
      <c r="L1798" s="1"/>
      <c r="M1798" s="1"/>
      <c r="N1798" s="1"/>
      <c r="O1798" s="1"/>
      <c r="P1798" s="1"/>
      <c r="Q1798" s="1"/>
      <c r="R1798" s="1"/>
      <c r="S1798" s="1"/>
      <c r="T1798" s="1"/>
      <c r="U1798" s="1"/>
    </row>
    <row r="1799" spans="1:21" ht="17.149999999999999" customHeight="1">
      <c r="A1799" s="1"/>
      <c r="B1799" s="1"/>
      <c r="C1799" s="1"/>
      <c r="D1799" s="1"/>
      <c r="E1799" s="1"/>
      <c r="F1799" s="1"/>
      <c r="G1799" s="1"/>
      <c r="H1799" s="1"/>
      <c r="I1799" s="1"/>
      <c r="J1799" s="1"/>
      <c r="K1799" s="1"/>
      <c r="L1799" s="1"/>
      <c r="M1799" s="1"/>
      <c r="N1799" s="1"/>
      <c r="O1799" s="1"/>
      <c r="P1799" s="1"/>
      <c r="Q1799" s="1"/>
      <c r="R1799" s="1"/>
      <c r="S1799" s="1"/>
      <c r="T1799" s="1"/>
      <c r="U1799" s="1"/>
    </row>
    <row r="1800" spans="1:21" ht="17.149999999999999" customHeight="1">
      <c r="A1800" s="1"/>
      <c r="B1800" s="1"/>
      <c r="C1800" s="1"/>
      <c r="D1800" s="1"/>
      <c r="E1800" s="1"/>
      <c r="F1800" s="1"/>
      <c r="G1800" s="1"/>
      <c r="H1800" s="1"/>
      <c r="I1800" s="1"/>
      <c r="J1800" s="1"/>
      <c r="K1800" s="1"/>
      <c r="L1800" s="1"/>
      <c r="M1800" s="1"/>
      <c r="N1800" s="1"/>
      <c r="O1800" s="1"/>
      <c r="P1800" s="1"/>
      <c r="Q1800" s="1"/>
      <c r="R1800" s="1"/>
      <c r="S1800" s="1"/>
      <c r="T1800" s="1"/>
      <c r="U1800" s="1"/>
    </row>
    <row r="1801" spans="1:21" ht="17.149999999999999" customHeight="1">
      <c r="A1801" s="1"/>
      <c r="B1801" s="1"/>
      <c r="C1801" s="1"/>
      <c r="D1801" s="1"/>
      <c r="E1801" s="1"/>
      <c r="F1801" s="1"/>
      <c r="G1801" s="1"/>
      <c r="H1801" s="1"/>
      <c r="I1801" s="1"/>
      <c r="J1801" s="1"/>
      <c r="K1801" s="1"/>
      <c r="L1801" s="1"/>
      <c r="M1801" s="1"/>
      <c r="N1801" s="1"/>
      <c r="O1801" s="1"/>
      <c r="P1801" s="1"/>
      <c r="Q1801" s="1"/>
      <c r="R1801" s="1"/>
      <c r="S1801" s="1"/>
      <c r="T1801" s="1"/>
      <c r="U1801" s="1"/>
    </row>
    <row r="1802" spans="1:21" ht="17.149999999999999" customHeight="1">
      <c r="A1802" s="1"/>
      <c r="B1802" s="1"/>
      <c r="C1802" s="1"/>
      <c r="D1802" s="1"/>
      <c r="E1802" s="1"/>
      <c r="F1802" s="1"/>
      <c r="G1802" s="1"/>
      <c r="H1802" s="1"/>
      <c r="I1802" s="1"/>
      <c r="J1802" s="1"/>
      <c r="K1802" s="1"/>
      <c r="L1802" s="1"/>
      <c r="M1802" s="1"/>
      <c r="N1802" s="1"/>
      <c r="O1802" s="1"/>
      <c r="P1802" s="1"/>
      <c r="Q1802" s="1"/>
      <c r="R1802" s="1"/>
      <c r="S1802" s="1"/>
      <c r="T1802" s="1"/>
      <c r="U1802" s="1"/>
    </row>
    <row r="1803" spans="1:21" ht="17.149999999999999" customHeight="1">
      <c r="A1803" s="1"/>
      <c r="B1803" s="1"/>
      <c r="C1803" s="1"/>
      <c r="D1803" s="1"/>
      <c r="E1803" s="1"/>
      <c r="F1803" s="1"/>
      <c r="G1803" s="1"/>
      <c r="H1803" s="1"/>
      <c r="I1803" s="1"/>
      <c r="J1803" s="1"/>
      <c r="K1803" s="1"/>
      <c r="L1803" s="1"/>
      <c r="M1803" s="1"/>
      <c r="N1803" s="1"/>
      <c r="O1803" s="1"/>
      <c r="P1803" s="1"/>
      <c r="Q1803" s="1"/>
      <c r="R1803" s="1"/>
      <c r="S1803" s="1"/>
      <c r="T1803" s="1"/>
      <c r="U1803" s="1"/>
    </row>
    <row r="1804" spans="1:21" ht="17.149999999999999" customHeight="1">
      <c r="A1804" s="1"/>
      <c r="B1804" s="1"/>
      <c r="C1804" s="1"/>
      <c r="D1804" s="1"/>
      <c r="E1804" s="1"/>
      <c r="F1804" s="1"/>
      <c r="G1804" s="1"/>
      <c r="H1804" s="1"/>
      <c r="I1804" s="1"/>
      <c r="J1804" s="1"/>
      <c r="K1804" s="1"/>
      <c r="L1804" s="1"/>
      <c r="M1804" s="1"/>
      <c r="N1804" s="1"/>
      <c r="O1804" s="1"/>
      <c r="P1804" s="1"/>
      <c r="Q1804" s="1"/>
      <c r="R1804" s="1"/>
      <c r="S1804" s="1"/>
      <c r="T1804" s="1"/>
      <c r="U1804" s="1"/>
    </row>
    <row r="1805" spans="1:21" ht="17.149999999999999" customHeight="1">
      <c r="A1805" s="1"/>
      <c r="B1805" s="1"/>
      <c r="C1805" s="1"/>
      <c r="D1805" s="1"/>
      <c r="E1805" s="1"/>
      <c r="F1805" s="1"/>
      <c r="G1805" s="1"/>
      <c r="H1805" s="1"/>
      <c r="I1805" s="1"/>
      <c r="J1805" s="1"/>
      <c r="K1805" s="1"/>
      <c r="L1805" s="1"/>
      <c r="M1805" s="1"/>
      <c r="N1805" s="1"/>
      <c r="O1805" s="1"/>
      <c r="P1805" s="1"/>
      <c r="Q1805" s="1"/>
      <c r="R1805" s="1"/>
      <c r="S1805" s="1"/>
      <c r="T1805" s="1"/>
      <c r="U1805" s="1"/>
    </row>
    <row r="1806" spans="1:21" ht="17.149999999999999" customHeight="1">
      <c r="A1806" s="1"/>
      <c r="B1806" s="1"/>
      <c r="C1806" s="1"/>
      <c r="D1806" s="1"/>
      <c r="E1806" s="1"/>
      <c r="F1806" s="1"/>
      <c r="G1806" s="1"/>
      <c r="H1806" s="1"/>
      <c r="I1806" s="1"/>
      <c r="J1806" s="1"/>
      <c r="K1806" s="1"/>
      <c r="L1806" s="1"/>
      <c r="M1806" s="1"/>
      <c r="N1806" s="1"/>
      <c r="O1806" s="1"/>
      <c r="P1806" s="1"/>
      <c r="Q1806" s="1"/>
      <c r="R1806" s="1"/>
      <c r="S1806" s="1"/>
      <c r="T1806" s="1"/>
      <c r="U1806" s="1"/>
    </row>
    <row r="1807" spans="1:21" ht="17.149999999999999" customHeight="1">
      <c r="A1807" s="1"/>
      <c r="B1807" s="1"/>
      <c r="C1807" s="1"/>
      <c r="D1807" s="1"/>
      <c r="E1807" s="1"/>
      <c r="F1807" s="1"/>
      <c r="G1807" s="1"/>
      <c r="H1807" s="1"/>
      <c r="I1807" s="1"/>
      <c r="J1807" s="1"/>
      <c r="K1807" s="1"/>
      <c r="L1807" s="1"/>
      <c r="M1807" s="1"/>
      <c r="N1807" s="1"/>
      <c r="O1807" s="1"/>
      <c r="P1807" s="1"/>
      <c r="Q1807" s="1"/>
      <c r="R1807" s="1"/>
      <c r="S1807" s="1"/>
      <c r="T1807" s="1"/>
      <c r="U1807" s="1"/>
    </row>
    <row r="1808" spans="1:21" ht="17.149999999999999" customHeight="1">
      <c r="A1808" s="1"/>
      <c r="B1808" s="1"/>
      <c r="C1808" s="1"/>
      <c r="D1808" s="1"/>
      <c r="E1808" s="1"/>
      <c r="F1808" s="1"/>
      <c r="G1808" s="1"/>
      <c r="H1808" s="1"/>
      <c r="I1808" s="1"/>
      <c r="J1808" s="1"/>
      <c r="K1808" s="1"/>
      <c r="L1808" s="1"/>
      <c r="M1808" s="1"/>
      <c r="N1808" s="1"/>
      <c r="O1808" s="1"/>
      <c r="P1808" s="1"/>
      <c r="Q1808" s="1"/>
      <c r="R1808" s="1"/>
      <c r="S1808" s="1"/>
      <c r="T1808" s="1"/>
      <c r="U1808" s="1"/>
    </row>
    <row r="1809" spans="1:21" ht="17.149999999999999" customHeight="1">
      <c r="A1809" s="1"/>
      <c r="B1809" s="1"/>
      <c r="C1809" s="1"/>
      <c r="D1809" s="1"/>
      <c r="E1809" s="1"/>
      <c r="F1809" s="1"/>
      <c r="G1809" s="1"/>
      <c r="H1809" s="1"/>
      <c r="I1809" s="1"/>
      <c r="J1809" s="1"/>
      <c r="K1809" s="1"/>
      <c r="L1809" s="1"/>
      <c r="M1809" s="1"/>
      <c r="N1809" s="1"/>
      <c r="O1809" s="1"/>
      <c r="P1809" s="1"/>
      <c r="Q1809" s="1"/>
      <c r="R1809" s="1"/>
      <c r="S1809" s="1"/>
      <c r="T1809" s="1"/>
      <c r="U1809" s="1"/>
    </row>
    <row r="1810" spans="1:21" ht="17.149999999999999" customHeight="1">
      <c r="A1810" s="1"/>
      <c r="B1810" s="1"/>
      <c r="C1810" s="1"/>
      <c r="D1810" s="1"/>
      <c r="E1810" s="1"/>
      <c r="F1810" s="1"/>
      <c r="G1810" s="1"/>
      <c r="H1810" s="1"/>
      <c r="I1810" s="1"/>
      <c r="J1810" s="1"/>
      <c r="K1810" s="1"/>
      <c r="L1810" s="1"/>
      <c r="M1810" s="1"/>
      <c r="N1810" s="1"/>
      <c r="O1810" s="1"/>
      <c r="P1810" s="1"/>
      <c r="Q1810" s="1"/>
      <c r="R1810" s="1"/>
      <c r="S1810" s="1"/>
      <c r="T1810" s="1"/>
      <c r="U1810" s="1"/>
    </row>
    <row r="1811" spans="1:21" ht="17.149999999999999" customHeight="1">
      <c r="A1811" s="1"/>
      <c r="B1811" s="1"/>
      <c r="C1811" s="1"/>
      <c r="D1811" s="1"/>
      <c r="E1811" s="1"/>
      <c r="F1811" s="1"/>
      <c r="G1811" s="1"/>
      <c r="H1811" s="1"/>
      <c r="I1811" s="1"/>
      <c r="J1811" s="1"/>
      <c r="K1811" s="1"/>
      <c r="L1811" s="1"/>
      <c r="M1811" s="1"/>
      <c r="N1811" s="1"/>
      <c r="O1811" s="1"/>
      <c r="P1811" s="1"/>
      <c r="Q1811" s="1"/>
      <c r="R1811" s="1"/>
      <c r="S1811" s="1"/>
      <c r="T1811" s="1"/>
      <c r="U1811" s="1"/>
    </row>
    <row r="1812" spans="1:21" ht="17.149999999999999" customHeight="1">
      <c r="A1812" s="1"/>
      <c r="B1812" s="1"/>
      <c r="C1812" s="1"/>
      <c r="D1812" s="1"/>
      <c r="E1812" s="1"/>
      <c r="F1812" s="1"/>
      <c r="G1812" s="1"/>
      <c r="H1812" s="1"/>
      <c r="I1812" s="1"/>
      <c r="J1812" s="1"/>
      <c r="K1812" s="1"/>
      <c r="L1812" s="1"/>
      <c r="M1812" s="1"/>
      <c r="N1812" s="1"/>
      <c r="O1812" s="1"/>
      <c r="P1812" s="1"/>
      <c r="Q1812" s="1"/>
      <c r="R1812" s="1"/>
      <c r="S1812" s="1"/>
      <c r="T1812" s="1"/>
      <c r="U1812" s="1"/>
    </row>
    <row r="1813" spans="1:21" ht="17.149999999999999" customHeight="1">
      <c r="A1813" s="1"/>
      <c r="B1813" s="1"/>
      <c r="C1813" s="1"/>
      <c r="D1813" s="1"/>
      <c r="E1813" s="1"/>
      <c r="F1813" s="1"/>
      <c r="G1813" s="1"/>
      <c r="H1813" s="1"/>
      <c r="I1813" s="1"/>
      <c r="J1813" s="1"/>
      <c r="K1813" s="1"/>
      <c r="L1813" s="1"/>
      <c r="M1813" s="1"/>
      <c r="N1813" s="1"/>
      <c r="O1813" s="1"/>
      <c r="P1813" s="1"/>
      <c r="Q1813" s="1"/>
      <c r="R1813" s="1"/>
      <c r="S1813" s="1"/>
      <c r="T1813" s="1"/>
      <c r="U1813" s="1"/>
    </row>
    <row r="1814" spans="1:21" ht="17.149999999999999" customHeight="1">
      <c r="A1814" s="1"/>
      <c r="B1814" s="1"/>
      <c r="C1814" s="1"/>
      <c r="D1814" s="1"/>
      <c r="E1814" s="1"/>
      <c r="F1814" s="1"/>
      <c r="G1814" s="1"/>
      <c r="H1814" s="1"/>
      <c r="I1814" s="1"/>
      <c r="J1814" s="1"/>
      <c r="K1814" s="1"/>
      <c r="L1814" s="1"/>
      <c r="M1814" s="1"/>
      <c r="N1814" s="1"/>
      <c r="O1814" s="1"/>
      <c r="P1814" s="1"/>
      <c r="Q1814" s="1"/>
      <c r="R1814" s="1"/>
      <c r="S1814" s="1"/>
      <c r="T1814" s="1"/>
      <c r="U1814" s="1"/>
    </row>
    <row r="1815" spans="1:21" ht="17.149999999999999" customHeight="1">
      <c r="A1815" s="1"/>
      <c r="B1815" s="1"/>
      <c r="C1815" s="1"/>
      <c r="D1815" s="1"/>
      <c r="E1815" s="1"/>
      <c r="F1815" s="1"/>
      <c r="G1815" s="1"/>
      <c r="H1815" s="1"/>
      <c r="I1815" s="1"/>
      <c r="J1815" s="1"/>
      <c r="K1815" s="1"/>
      <c r="L1815" s="1"/>
      <c r="M1815" s="1"/>
      <c r="N1815" s="1"/>
      <c r="O1815" s="1"/>
      <c r="P1815" s="1"/>
      <c r="Q1815" s="1"/>
      <c r="R1815" s="1"/>
      <c r="S1815" s="1"/>
      <c r="T1815" s="1"/>
      <c r="U1815" s="1"/>
    </row>
    <row r="1816" spans="1:21" ht="17.149999999999999" customHeight="1">
      <c r="A1816" s="1"/>
      <c r="B1816" s="1"/>
      <c r="C1816" s="1"/>
      <c r="D1816" s="1"/>
      <c r="E1816" s="1"/>
      <c r="F1816" s="1"/>
      <c r="G1816" s="1"/>
      <c r="H1816" s="1"/>
      <c r="I1816" s="1"/>
      <c r="J1816" s="1"/>
      <c r="K1816" s="1"/>
      <c r="L1816" s="1"/>
      <c r="M1816" s="1"/>
      <c r="N1816" s="1"/>
      <c r="O1816" s="1"/>
      <c r="P1816" s="1"/>
      <c r="Q1816" s="1"/>
      <c r="R1816" s="1"/>
      <c r="S1816" s="1"/>
      <c r="T1816" s="1"/>
      <c r="U1816" s="1"/>
    </row>
    <row r="1817" spans="1:21" ht="17.149999999999999" customHeight="1">
      <c r="A1817" s="1"/>
      <c r="B1817" s="1"/>
      <c r="C1817" s="1"/>
      <c r="D1817" s="1"/>
      <c r="E1817" s="1"/>
      <c r="F1817" s="1"/>
      <c r="G1817" s="1"/>
      <c r="H1817" s="1"/>
      <c r="I1817" s="1"/>
      <c r="J1817" s="1"/>
      <c r="K1817" s="1"/>
      <c r="L1817" s="1"/>
      <c r="M1817" s="1"/>
      <c r="N1817" s="1"/>
      <c r="O1817" s="1"/>
      <c r="P1817" s="1"/>
      <c r="Q1817" s="1"/>
      <c r="R1817" s="1"/>
      <c r="S1817" s="1"/>
      <c r="T1817" s="1"/>
      <c r="U1817" s="1"/>
    </row>
    <row r="1818" spans="1:21" ht="17.149999999999999" customHeight="1">
      <c r="A1818" s="1"/>
      <c r="B1818" s="1"/>
      <c r="C1818" s="1"/>
      <c r="D1818" s="1"/>
      <c r="E1818" s="1"/>
      <c r="F1818" s="1"/>
      <c r="G1818" s="1"/>
      <c r="H1818" s="1"/>
      <c r="I1818" s="1"/>
      <c r="J1818" s="1"/>
      <c r="K1818" s="1"/>
      <c r="L1818" s="1"/>
      <c r="M1818" s="1"/>
      <c r="N1818" s="1"/>
      <c r="O1818" s="1"/>
      <c r="P1818" s="1"/>
      <c r="Q1818" s="1"/>
      <c r="R1818" s="1"/>
      <c r="S1818" s="1"/>
      <c r="T1818" s="1"/>
      <c r="U1818" s="1"/>
    </row>
    <row r="1819" spans="1:21" ht="17.149999999999999" customHeight="1">
      <c r="A1819" s="1"/>
      <c r="B1819" s="1"/>
      <c r="C1819" s="1"/>
      <c r="D1819" s="1"/>
      <c r="E1819" s="1"/>
      <c r="F1819" s="1"/>
      <c r="G1819" s="1"/>
      <c r="H1819" s="1"/>
      <c r="I1819" s="1"/>
      <c r="J1819" s="1"/>
      <c r="K1819" s="1"/>
      <c r="L1819" s="1"/>
      <c r="M1819" s="1"/>
      <c r="N1819" s="1"/>
      <c r="O1819" s="1"/>
      <c r="P1819" s="1"/>
      <c r="Q1819" s="1"/>
      <c r="R1819" s="1"/>
      <c r="S1819" s="1"/>
      <c r="T1819" s="1"/>
      <c r="U1819" s="1"/>
    </row>
    <row r="1820" spans="1:21" ht="17.149999999999999" customHeight="1">
      <c r="A1820" s="1"/>
      <c r="B1820" s="1"/>
      <c r="C1820" s="1"/>
      <c r="D1820" s="1"/>
      <c r="E1820" s="1"/>
      <c r="F1820" s="1"/>
      <c r="G1820" s="1"/>
      <c r="H1820" s="1"/>
      <c r="I1820" s="1"/>
      <c r="J1820" s="1"/>
      <c r="K1820" s="1"/>
      <c r="L1820" s="1"/>
      <c r="M1820" s="1"/>
      <c r="N1820" s="1"/>
      <c r="O1820" s="1"/>
      <c r="P1820" s="1"/>
      <c r="Q1820" s="1"/>
      <c r="R1820" s="1"/>
      <c r="S1820" s="1"/>
      <c r="T1820" s="1"/>
      <c r="U1820" s="1"/>
    </row>
    <row r="1821" spans="1:21" ht="17.149999999999999" customHeight="1">
      <c r="A1821" s="1"/>
      <c r="B1821" s="1"/>
      <c r="C1821" s="1"/>
      <c r="D1821" s="1"/>
      <c r="E1821" s="1"/>
      <c r="F1821" s="1"/>
      <c r="G1821" s="1"/>
      <c r="H1821" s="1"/>
      <c r="I1821" s="1"/>
      <c r="J1821" s="1"/>
      <c r="K1821" s="1"/>
      <c r="L1821" s="1"/>
      <c r="M1821" s="1"/>
      <c r="N1821" s="1"/>
      <c r="O1821" s="1"/>
      <c r="P1821" s="1"/>
      <c r="Q1821" s="1"/>
      <c r="R1821" s="1"/>
      <c r="S1821" s="1"/>
      <c r="T1821" s="1"/>
      <c r="U1821" s="1"/>
    </row>
    <row r="1822" spans="1:21" ht="17.149999999999999" customHeight="1">
      <c r="A1822" s="1"/>
      <c r="B1822" s="1"/>
      <c r="C1822" s="1"/>
      <c r="D1822" s="1"/>
      <c r="E1822" s="1"/>
      <c r="F1822" s="1"/>
      <c r="G1822" s="1"/>
      <c r="H1822" s="1"/>
      <c r="I1822" s="1"/>
      <c r="J1822" s="1"/>
      <c r="K1822" s="1"/>
      <c r="L1822" s="1"/>
      <c r="M1822" s="1"/>
      <c r="N1822" s="1"/>
      <c r="O1822" s="1"/>
      <c r="P1822" s="1"/>
      <c r="Q1822" s="1"/>
      <c r="R1822" s="1"/>
      <c r="S1822" s="1"/>
      <c r="T1822" s="1"/>
      <c r="U1822" s="1"/>
    </row>
    <row r="1823" spans="1:21" ht="17.149999999999999" customHeight="1">
      <c r="A1823" s="1"/>
      <c r="B1823" s="1"/>
      <c r="C1823" s="1"/>
      <c r="D1823" s="1"/>
      <c r="E1823" s="1"/>
      <c r="F1823" s="1"/>
      <c r="G1823" s="1"/>
      <c r="H1823" s="1"/>
      <c r="I1823" s="1"/>
      <c r="J1823" s="1"/>
      <c r="K1823" s="1"/>
      <c r="L1823" s="1"/>
      <c r="M1823" s="1"/>
      <c r="N1823" s="1"/>
      <c r="O1823" s="1"/>
      <c r="P1823" s="1"/>
      <c r="Q1823" s="1"/>
      <c r="R1823" s="1"/>
      <c r="S1823" s="1"/>
      <c r="T1823" s="1"/>
      <c r="U1823" s="1"/>
    </row>
    <row r="1824" spans="1:21" ht="17.149999999999999" customHeight="1">
      <c r="A1824" s="1"/>
      <c r="B1824" s="1"/>
      <c r="C1824" s="1"/>
      <c r="D1824" s="1"/>
      <c r="E1824" s="1"/>
      <c r="F1824" s="1"/>
      <c r="G1824" s="1"/>
      <c r="H1824" s="1"/>
      <c r="I1824" s="1"/>
      <c r="J1824" s="1"/>
      <c r="K1824" s="1"/>
      <c r="L1824" s="1"/>
      <c r="M1824" s="1"/>
      <c r="N1824" s="1"/>
      <c r="O1824" s="1"/>
      <c r="P1824" s="1"/>
      <c r="Q1824" s="1"/>
      <c r="R1824" s="1"/>
      <c r="S1824" s="1"/>
      <c r="T1824" s="1"/>
      <c r="U1824" s="1"/>
    </row>
    <row r="1825" spans="1:21" ht="17.149999999999999" customHeight="1">
      <c r="A1825" s="1"/>
      <c r="B1825" s="1"/>
      <c r="C1825" s="1"/>
      <c r="D1825" s="1"/>
      <c r="E1825" s="1"/>
      <c r="F1825" s="1"/>
      <c r="G1825" s="1"/>
      <c r="H1825" s="1"/>
      <c r="I1825" s="1"/>
      <c r="J1825" s="1"/>
      <c r="K1825" s="1"/>
      <c r="L1825" s="1"/>
      <c r="M1825" s="1"/>
      <c r="N1825" s="1"/>
      <c r="O1825" s="1"/>
      <c r="P1825" s="1"/>
      <c r="Q1825" s="1"/>
      <c r="R1825" s="1"/>
      <c r="S1825" s="1"/>
      <c r="T1825" s="1"/>
      <c r="U1825" s="1"/>
    </row>
    <row r="1826" spans="1:21" ht="17.149999999999999" customHeight="1">
      <c r="A1826" s="1"/>
      <c r="B1826" s="1"/>
      <c r="C1826" s="1"/>
      <c r="D1826" s="1"/>
      <c r="E1826" s="1"/>
      <c r="F1826" s="1"/>
      <c r="G1826" s="1"/>
      <c r="H1826" s="1"/>
      <c r="I1826" s="1"/>
      <c r="J1826" s="1"/>
      <c r="K1826" s="1"/>
      <c r="L1826" s="1"/>
      <c r="M1826" s="1"/>
      <c r="N1826" s="1"/>
      <c r="O1826" s="1"/>
      <c r="P1826" s="1"/>
      <c r="Q1826" s="1"/>
      <c r="R1826" s="1"/>
      <c r="S1826" s="1"/>
      <c r="T1826" s="1"/>
      <c r="U1826" s="1"/>
    </row>
    <row r="1827" spans="1:21" ht="17.149999999999999" customHeight="1">
      <c r="A1827" s="1"/>
      <c r="B1827" s="1"/>
      <c r="C1827" s="1"/>
      <c r="D1827" s="1"/>
      <c r="E1827" s="1"/>
      <c r="F1827" s="1"/>
      <c r="G1827" s="1"/>
      <c r="H1827" s="1"/>
      <c r="I1827" s="1"/>
      <c r="J1827" s="1"/>
      <c r="K1827" s="1"/>
      <c r="L1827" s="1"/>
      <c r="M1827" s="1"/>
      <c r="N1827" s="1"/>
      <c r="O1827" s="1"/>
      <c r="P1827" s="1"/>
      <c r="Q1827" s="1"/>
      <c r="R1827" s="1"/>
      <c r="S1827" s="1"/>
      <c r="T1827" s="1"/>
      <c r="U1827" s="1"/>
    </row>
    <row r="1828" spans="1:21" ht="17.149999999999999" customHeight="1">
      <c r="A1828" s="1"/>
      <c r="B1828" s="1"/>
      <c r="C1828" s="1"/>
      <c r="D1828" s="1"/>
      <c r="E1828" s="1"/>
      <c r="F1828" s="1"/>
      <c r="G1828" s="1"/>
      <c r="H1828" s="1"/>
      <c r="I1828" s="1"/>
      <c r="J1828" s="1"/>
      <c r="K1828" s="1"/>
      <c r="L1828" s="1"/>
      <c r="M1828" s="1"/>
      <c r="N1828" s="1"/>
      <c r="O1828" s="1"/>
      <c r="P1828" s="1"/>
      <c r="Q1828" s="1"/>
      <c r="R1828" s="1"/>
      <c r="S1828" s="1"/>
      <c r="T1828" s="1"/>
      <c r="U1828" s="1"/>
    </row>
    <row r="1829" spans="1:21" ht="17.149999999999999" customHeight="1">
      <c r="A1829" s="1"/>
      <c r="B1829" s="1"/>
      <c r="C1829" s="1"/>
      <c r="D1829" s="1"/>
      <c r="E1829" s="1"/>
      <c r="F1829" s="1"/>
      <c r="G1829" s="1"/>
      <c r="H1829" s="1"/>
      <c r="I1829" s="1"/>
      <c r="J1829" s="1"/>
      <c r="K1829" s="1"/>
      <c r="L1829" s="1"/>
      <c r="M1829" s="1"/>
      <c r="N1829" s="1"/>
      <c r="O1829" s="1"/>
      <c r="P1829" s="1"/>
      <c r="Q1829" s="1"/>
      <c r="R1829" s="1"/>
      <c r="S1829" s="1"/>
      <c r="T1829" s="1"/>
      <c r="U1829" s="1"/>
    </row>
    <row r="1830" spans="1:21" ht="17.149999999999999" customHeight="1">
      <c r="A1830" s="1"/>
      <c r="B1830" s="1"/>
      <c r="C1830" s="1"/>
      <c r="D1830" s="1"/>
      <c r="E1830" s="1"/>
      <c r="F1830" s="1"/>
      <c r="G1830" s="1"/>
      <c r="H1830" s="1"/>
      <c r="I1830" s="1"/>
      <c r="J1830" s="1"/>
      <c r="K1830" s="1"/>
      <c r="L1830" s="1"/>
      <c r="M1830" s="1"/>
      <c r="N1830" s="1"/>
      <c r="O1830" s="1"/>
      <c r="P1830" s="1"/>
      <c r="Q1830" s="1"/>
      <c r="R1830" s="1"/>
      <c r="S1830" s="1"/>
      <c r="T1830" s="1"/>
      <c r="U1830" s="1"/>
    </row>
    <row r="1831" spans="1:21" ht="17.149999999999999" customHeight="1">
      <c r="A1831" s="1"/>
      <c r="B1831" s="1"/>
      <c r="C1831" s="1"/>
      <c r="D1831" s="1"/>
      <c r="E1831" s="1"/>
      <c r="F1831" s="1"/>
      <c r="G1831" s="1"/>
      <c r="H1831" s="1"/>
      <c r="I1831" s="1"/>
      <c r="J1831" s="1"/>
      <c r="K1831" s="1"/>
      <c r="L1831" s="1"/>
      <c r="M1831" s="1"/>
      <c r="N1831" s="1"/>
      <c r="O1831" s="1"/>
      <c r="P1831" s="1"/>
      <c r="Q1831" s="1"/>
      <c r="R1831" s="1"/>
      <c r="S1831" s="1"/>
      <c r="T1831" s="1"/>
      <c r="U1831" s="1"/>
    </row>
    <row r="1832" spans="1:21" ht="17.149999999999999" customHeight="1">
      <c r="A1832" s="1"/>
      <c r="B1832" s="1"/>
      <c r="C1832" s="1"/>
      <c r="D1832" s="1"/>
      <c r="E1832" s="1"/>
      <c r="F1832" s="1"/>
      <c r="G1832" s="1"/>
      <c r="H1832" s="1"/>
      <c r="I1832" s="1"/>
      <c r="J1832" s="1"/>
      <c r="K1832" s="1"/>
      <c r="L1832" s="1"/>
      <c r="M1832" s="1"/>
      <c r="N1832" s="1"/>
      <c r="O1832" s="1"/>
      <c r="P1832" s="1"/>
      <c r="Q1832" s="1"/>
      <c r="R1832" s="1"/>
      <c r="S1832" s="1"/>
      <c r="T1832" s="1"/>
      <c r="U1832" s="1"/>
    </row>
    <row r="1833" spans="1:21" ht="17.149999999999999" customHeight="1">
      <c r="A1833" s="1"/>
      <c r="B1833" s="1"/>
      <c r="C1833" s="1"/>
      <c r="D1833" s="1"/>
      <c r="E1833" s="1"/>
      <c r="F1833" s="1"/>
      <c r="G1833" s="1"/>
      <c r="H1833" s="1"/>
      <c r="I1833" s="1"/>
      <c r="J1833" s="1"/>
      <c r="K1833" s="1"/>
      <c r="L1833" s="1"/>
      <c r="M1833" s="1"/>
      <c r="N1833" s="1"/>
      <c r="O1833" s="1"/>
      <c r="P1833" s="1"/>
      <c r="Q1833" s="1"/>
      <c r="R1833" s="1"/>
      <c r="S1833" s="1"/>
      <c r="T1833" s="1"/>
      <c r="U1833" s="1"/>
    </row>
    <row r="1834" spans="1:21" ht="17.149999999999999" customHeight="1">
      <c r="A1834" s="1"/>
      <c r="B1834" s="1"/>
      <c r="C1834" s="1"/>
      <c r="D1834" s="1"/>
      <c r="E1834" s="1"/>
      <c r="F1834" s="1"/>
      <c r="G1834" s="1"/>
      <c r="H1834" s="1"/>
      <c r="I1834" s="1"/>
      <c r="J1834" s="1"/>
      <c r="K1834" s="1"/>
      <c r="L1834" s="1"/>
      <c r="M1834" s="1"/>
      <c r="N1834" s="1"/>
      <c r="O1834" s="1"/>
      <c r="P1834" s="1"/>
      <c r="Q1834" s="1"/>
      <c r="R1834" s="1"/>
      <c r="S1834" s="1"/>
      <c r="T1834" s="1"/>
      <c r="U1834" s="1"/>
    </row>
    <row r="2376" spans="29:29" ht="17.149999999999999" customHeight="1">
      <c r="AC2376" s="99"/>
    </row>
    <row r="2377" spans="29:29" ht="17.149999999999999" customHeight="1">
      <c r="AC2377" s="99"/>
    </row>
    <row r="2671" spans="30:41" ht="17.149999999999999" customHeight="1">
      <c r="AD2671" s="97"/>
      <c r="AE2671" s="97"/>
      <c r="AF2671" s="97"/>
      <c r="AG2671" s="97"/>
      <c r="AH2671" s="97"/>
      <c r="AI2671" s="97"/>
      <c r="AJ2671" s="97"/>
      <c r="AK2671" s="97"/>
      <c r="AL2671" s="97"/>
      <c r="AM2671" s="97"/>
      <c r="AN2671" s="97"/>
      <c r="AO2671" s="97"/>
    </row>
    <row r="2672" spans="30:41" ht="17.149999999999999" customHeight="1">
      <c r="AF2672" s="97"/>
      <c r="AG2672" s="97"/>
      <c r="AH2672" s="97"/>
    </row>
    <row r="2675" spans="31:37" ht="17.149999999999999" customHeight="1">
      <c r="AE2675" s="97"/>
      <c r="AF2675" s="97"/>
      <c r="AG2675" s="97"/>
      <c r="AH2675" s="97"/>
      <c r="AI2675" s="97"/>
      <c r="AJ2675" s="97"/>
      <c r="AK2675" s="97"/>
    </row>
    <row r="2676" spans="31:37" ht="17.149999999999999" customHeight="1">
      <c r="AE2676" s="97"/>
      <c r="AF2676" s="97"/>
      <c r="AG2676" s="97"/>
      <c r="AH2676" s="97"/>
      <c r="AI2676" s="97"/>
      <c r="AJ2676" s="97"/>
      <c r="AK2676" s="97"/>
    </row>
    <row r="2698" spans="30:41" ht="17.149999999999999" customHeight="1">
      <c r="AD2698" s="97"/>
      <c r="AE2698" s="97"/>
      <c r="AF2698" s="97"/>
      <c r="AG2698" s="97"/>
      <c r="AH2698" s="97"/>
      <c r="AI2698" s="97"/>
      <c r="AJ2698" s="97"/>
      <c r="AK2698" s="97"/>
      <c r="AL2698" s="97"/>
      <c r="AM2698" s="97"/>
      <c r="AN2698" s="97"/>
      <c r="AO2698" s="97"/>
    </row>
    <row r="2699" spans="30:41" ht="17.149999999999999" customHeight="1">
      <c r="AD2699" s="97"/>
      <c r="AE2699" s="97"/>
      <c r="AF2699" s="97"/>
      <c r="AG2699" s="97"/>
      <c r="AH2699" s="97"/>
      <c r="AI2699" s="97"/>
      <c r="AJ2699" s="97"/>
      <c r="AK2699" s="97"/>
      <c r="AL2699" s="97"/>
    </row>
    <row r="2723" spans="30:41" ht="17.149999999999999" customHeight="1">
      <c r="AD2723" s="97"/>
      <c r="AE2723" s="97"/>
      <c r="AF2723" s="97"/>
      <c r="AG2723" s="97"/>
      <c r="AH2723" s="97"/>
      <c r="AI2723" s="97"/>
      <c r="AJ2723" s="97"/>
      <c r="AK2723" s="97"/>
      <c r="AL2723" s="97"/>
      <c r="AM2723" s="97"/>
      <c r="AN2723" s="97"/>
      <c r="AO2723" s="97"/>
    </row>
    <row r="2724" spans="30:41" ht="17.149999999999999" customHeight="1">
      <c r="AE2724" s="97"/>
      <c r="AF2724" s="97"/>
      <c r="AG2724" s="97"/>
      <c r="AH2724" s="97"/>
      <c r="AI2724" s="97"/>
      <c r="AJ2724" s="97"/>
      <c r="AK2724" s="97"/>
      <c r="AL2724" s="97"/>
    </row>
    <row r="2725" spans="30:41" ht="17.149999999999999" customHeight="1">
      <c r="AE2725" s="97"/>
      <c r="AF2725" s="97"/>
      <c r="AG2725" s="97"/>
      <c r="AH2725" s="97"/>
      <c r="AI2725" s="97"/>
      <c r="AJ2725" s="97"/>
      <c r="AK2725" s="97"/>
      <c r="AL2725" s="97"/>
    </row>
    <row r="2726" spans="30:41" ht="17.149999999999999" customHeight="1">
      <c r="AF2726" s="97"/>
      <c r="AG2726" s="97"/>
    </row>
    <row r="2727" spans="30:41" ht="17.149999999999999" customHeight="1">
      <c r="AE2727" s="97"/>
      <c r="AF2727" s="97"/>
      <c r="AG2727" s="97"/>
      <c r="AH2727" s="97"/>
      <c r="AI2727" s="97"/>
      <c r="AJ2727" s="97"/>
      <c r="AK2727" s="97"/>
    </row>
    <row r="2744" spans="30:41" ht="17.149999999999999" customHeight="1">
      <c r="AD2744" s="97"/>
      <c r="AE2744" s="97"/>
      <c r="AF2744" s="97"/>
      <c r="AG2744" s="97"/>
      <c r="AH2744" s="97"/>
      <c r="AI2744" s="97"/>
      <c r="AJ2744" s="97"/>
      <c r="AK2744" s="97"/>
      <c r="AL2744" s="97"/>
      <c r="AM2744" s="97"/>
      <c r="AN2744" s="97"/>
      <c r="AO2744" s="97"/>
    </row>
    <row r="2745" spans="30:41" ht="17.149999999999999" customHeight="1">
      <c r="AD2745" s="97"/>
      <c r="AE2745" s="97"/>
      <c r="AF2745" s="97"/>
      <c r="AG2745" s="97"/>
      <c r="AH2745" s="97"/>
      <c r="AI2745" s="97"/>
      <c r="AJ2745" s="97"/>
      <c r="AK2745" s="97"/>
      <c r="AL2745" s="97"/>
      <c r="AM2745" s="97"/>
      <c r="AN2745" s="97"/>
      <c r="AO2745" s="97"/>
    </row>
    <row r="2746" spans="30:41" ht="17.149999999999999" customHeight="1">
      <c r="AD2746" s="97"/>
      <c r="AE2746" s="97"/>
      <c r="AF2746" s="97"/>
      <c r="AG2746" s="97"/>
      <c r="AH2746" s="97"/>
      <c r="AI2746" s="97"/>
      <c r="AJ2746" s="97"/>
      <c r="AK2746" s="97"/>
      <c r="AL2746" s="97"/>
      <c r="AM2746" s="97"/>
      <c r="AN2746" s="97"/>
      <c r="AO2746" s="97"/>
    </row>
    <row r="2747" spans="30:41" ht="17.149999999999999" customHeight="1">
      <c r="AD2747" s="97"/>
      <c r="AE2747" s="97"/>
      <c r="AF2747" s="97"/>
      <c r="AG2747" s="97"/>
      <c r="AH2747" s="97"/>
      <c r="AI2747" s="97"/>
      <c r="AJ2747" s="97"/>
      <c r="AK2747" s="97"/>
      <c r="AL2747" s="97"/>
      <c r="AM2747" s="97"/>
      <c r="AN2747" s="97"/>
      <c r="AO2747" s="97"/>
    </row>
    <row r="2748" spans="30:41" ht="17.149999999999999" customHeight="1">
      <c r="AD2748" s="97"/>
      <c r="AE2748" s="97"/>
      <c r="AF2748" s="97"/>
      <c r="AG2748" s="97"/>
      <c r="AH2748" s="97"/>
      <c r="AI2748" s="97"/>
      <c r="AJ2748" s="97"/>
      <c r="AK2748" s="97"/>
      <c r="AL2748" s="97"/>
      <c r="AM2748" s="97"/>
      <c r="AN2748" s="97"/>
      <c r="AO2748" s="97"/>
    </row>
    <row r="2749" spans="30:41" ht="17.149999999999999" customHeight="1">
      <c r="AD2749" s="97"/>
      <c r="AE2749" s="97"/>
      <c r="AF2749" s="97"/>
      <c r="AG2749" s="97"/>
      <c r="AH2749" s="97"/>
      <c r="AI2749" s="97"/>
      <c r="AJ2749" s="97"/>
      <c r="AK2749" s="97"/>
      <c r="AL2749" s="97"/>
      <c r="AM2749" s="97"/>
      <c r="AN2749" s="97"/>
      <c r="AO2749" s="97"/>
    </row>
    <row r="2750" spans="30:41" ht="17.149999999999999" customHeight="1">
      <c r="AF2750" s="97"/>
      <c r="AG2750" s="97"/>
      <c r="AH2750" s="97"/>
      <c r="AI2750" s="97"/>
    </row>
    <row r="2761" spans="30:41" ht="17.149999999999999" customHeight="1">
      <c r="AD2761" s="97"/>
      <c r="AE2761" s="97"/>
      <c r="AF2761" s="97"/>
      <c r="AG2761" s="97"/>
      <c r="AH2761" s="97"/>
      <c r="AI2761" s="97"/>
      <c r="AJ2761" s="97"/>
      <c r="AK2761" s="97"/>
      <c r="AL2761" s="97"/>
      <c r="AM2761" s="97"/>
      <c r="AN2761" s="97"/>
      <c r="AO2761" s="97"/>
    </row>
    <row r="2762" spans="30:41" ht="17.149999999999999" customHeight="1">
      <c r="AD2762" s="97"/>
      <c r="AE2762" s="97"/>
      <c r="AF2762" s="97"/>
      <c r="AG2762" s="97"/>
      <c r="AH2762" s="97"/>
      <c r="AI2762" s="97"/>
      <c r="AJ2762" s="97"/>
      <c r="AK2762" s="97"/>
      <c r="AL2762" s="97"/>
      <c r="AM2762" s="97"/>
      <c r="AN2762" s="97"/>
      <c r="AO2762" s="97"/>
    </row>
    <row r="2778" spans="30:41" ht="17.149999999999999" customHeight="1">
      <c r="AF2778" s="97"/>
      <c r="AG2778" s="97"/>
      <c r="AH2778" s="97"/>
      <c r="AI2778" s="97"/>
    </row>
    <row r="2781" spans="30:41" ht="17.149999999999999" customHeight="1">
      <c r="AD2781" s="97"/>
      <c r="AE2781" s="97"/>
      <c r="AF2781" s="97"/>
      <c r="AG2781" s="97"/>
      <c r="AH2781" s="97"/>
      <c r="AI2781" s="97"/>
      <c r="AJ2781" s="97"/>
      <c r="AK2781" s="97"/>
      <c r="AL2781" s="97"/>
      <c r="AM2781" s="97"/>
      <c r="AN2781" s="97"/>
      <c r="AO2781" s="97"/>
    </row>
    <row r="2782" spans="30:41" ht="17.149999999999999" customHeight="1">
      <c r="AF2782" s="97"/>
      <c r="AG2782" s="97"/>
      <c r="AH2782" s="97"/>
      <c r="AI2782" s="97"/>
      <c r="AJ2782" s="97"/>
    </row>
    <row r="2793" spans="30:41" ht="17.149999999999999" customHeight="1">
      <c r="AD2793" s="97"/>
      <c r="AE2793" s="97"/>
      <c r="AF2793" s="97"/>
      <c r="AG2793" s="97"/>
      <c r="AH2793" s="97"/>
      <c r="AI2793" s="97"/>
      <c r="AJ2793" s="97"/>
      <c r="AK2793" s="97"/>
      <c r="AL2793" s="97"/>
      <c r="AM2793" s="97"/>
      <c r="AN2793" s="97"/>
      <c r="AO2793" s="97"/>
    </row>
    <row r="2794" spans="30:41" ht="17.149999999999999" customHeight="1">
      <c r="AE2794" s="97"/>
      <c r="AF2794" s="97"/>
      <c r="AG2794" s="97"/>
      <c r="AH2794" s="97"/>
      <c r="AI2794" s="97"/>
      <c r="AJ2794" s="97"/>
      <c r="AK2794" s="97"/>
    </row>
    <row r="2817" spans="32:34" ht="17.149999999999999" customHeight="1">
      <c r="AF2817" s="97"/>
      <c r="AG2817" s="97"/>
      <c r="AH2817" s="97"/>
    </row>
    <row r="2847" spans="30:41" ht="17.149999999999999" customHeight="1">
      <c r="AD2847" s="97"/>
      <c r="AE2847" s="97"/>
      <c r="AF2847" s="97"/>
      <c r="AG2847" s="97"/>
      <c r="AH2847" s="97"/>
      <c r="AI2847" s="97"/>
      <c r="AJ2847" s="97"/>
      <c r="AK2847" s="97"/>
      <c r="AL2847" s="97"/>
      <c r="AM2847" s="97"/>
      <c r="AN2847" s="97"/>
      <c r="AO2847" s="97"/>
    </row>
    <row r="2848" spans="30:41" ht="17.149999999999999" customHeight="1">
      <c r="AD2848" s="97"/>
      <c r="AE2848" s="97"/>
      <c r="AF2848" s="97"/>
      <c r="AG2848" s="97"/>
      <c r="AH2848" s="97"/>
      <c r="AI2848" s="97"/>
      <c r="AJ2848" s="97"/>
      <c r="AK2848" s="97"/>
      <c r="AL2848" s="97"/>
      <c r="AM2848" s="97"/>
      <c r="AN2848" s="97"/>
      <c r="AO2848" s="97"/>
    </row>
    <row r="2849" spans="30:41" ht="17.149999999999999" customHeight="1">
      <c r="AD2849" s="97"/>
      <c r="AE2849" s="97"/>
      <c r="AF2849" s="97"/>
      <c r="AG2849" s="97"/>
      <c r="AH2849" s="97"/>
      <c r="AI2849" s="97"/>
      <c r="AJ2849" s="97"/>
      <c r="AK2849" s="97"/>
      <c r="AL2849" s="97"/>
      <c r="AM2849" s="97"/>
      <c r="AN2849" s="97"/>
      <c r="AO2849" s="97"/>
    </row>
    <row r="2850" spans="30:41" ht="17.149999999999999" customHeight="1">
      <c r="AD2850" s="97"/>
      <c r="AE2850" s="97"/>
      <c r="AF2850" s="97"/>
      <c r="AG2850" s="97"/>
      <c r="AH2850" s="97"/>
      <c r="AI2850" s="97"/>
      <c r="AJ2850" s="97"/>
      <c r="AK2850" s="97"/>
      <c r="AL2850" s="97"/>
      <c r="AM2850" s="97"/>
      <c r="AN2850" s="97"/>
      <c r="AO2850" s="97"/>
    </row>
    <row r="2851" spans="30:41" ht="17.149999999999999" customHeight="1">
      <c r="AD2851" s="97"/>
      <c r="AE2851" s="97"/>
      <c r="AF2851" s="97"/>
      <c r="AG2851" s="97"/>
      <c r="AH2851" s="97"/>
      <c r="AI2851" s="97"/>
      <c r="AJ2851" s="97"/>
      <c r="AK2851" s="97"/>
      <c r="AL2851" s="97"/>
      <c r="AM2851" s="97"/>
      <c r="AN2851" s="97"/>
      <c r="AO2851" s="97"/>
    </row>
    <row r="2852" spans="30:41" ht="17.149999999999999" customHeight="1">
      <c r="AD2852" s="97"/>
      <c r="AE2852" s="97"/>
      <c r="AF2852" s="97"/>
      <c r="AG2852" s="97"/>
      <c r="AH2852" s="97"/>
      <c r="AI2852" s="97"/>
      <c r="AJ2852" s="97"/>
      <c r="AK2852" s="97"/>
      <c r="AL2852" s="97"/>
      <c r="AM2852" s="97"/>
      <c r="AN2852" s="97"/>
      <c r="AO2852" s="97"/>
    </row>
    <row r="2863" spans="30:41" ht="17.149999999999999" customHeight="1">
      <c r="AG2863" s="97"/>
    </row>
    <row r="2878" spans="30:41" ht="17.149999999999999" customHeight="1">
      <c r="AD2878" s="97"/>
      <c r="AE2878" s="97"/>
      <c r="AF2878" s="97"/>
      <c r="AG2878" s="97"/>
      <c r="AH2878" s="97"/>
      <c r="AI2878" s="97"/>
      <c r="AJ2878" s="97"/>
      <c r="AK2878" s="97"/>
      <c r="AL2878" s="97"/>
      <c r="AM2878" s="97"/>
      <c r="AN2878" s="97"/>
      <c r="AO2878" s="97"/>
    </row>
    <row r="2915" spans="30:41" ht="17.149999999999999" customHeight="1">
      <c r="AD2915" s="97"/>
      <c r="AE2915" s="97"/>
      <c r="AF2915" s="97"/>
      <c r="AG2915" s="97"/>
      <c r="AH2915" s="97"/>
      <c r="AI2915" s="97"/>
      <c r="AJ2915" s="97"/>
      <c r="AK2915" s="97"/>
      <c r="AL2915" s="97"/>
      <c r="AM2915" s="97"/>
      <c r="AN2915" s="97"/>
      <c r="AO2915" s="97"/>
    </row>
    <row r="2916" spans="30:41" ht="17.149999999999999" customHeight="1">
      <c r="AD2916" s="97"/>
      <c r="AE2916" s="97"/>
      <c r="AF2916" s="97"/>
      <c r="AG2916" s="97"/>
      <c r="AH2916" s="97"/>
      <c r="AI2916" s="97"/>
      <c r="AJ2916" s="97"/>
      <c r="AK2916" s="97"/>
      <c r="AL2916" s="97"/>
      <c r="AM2916" s="97"/>
      <c r="AN2916" s="97"/>
      <c r="AO2916" s="97"/>
    </row>
    <row r="2917" spans="30:41" ht="17.149999999999999" customHeight="1">
      <c r="AD2917" s="97"/>
      <c r="AE2917" s="97"/>
      <c r="AF2917" s="97"/>
      <c r="AG2917" s="97"/>
      <c r="AH2917" s="97"/>
      <c r="AI2917" s="97"/>
      <c r="AJ2917" s="97"/>
      <c r="AK2917" s="97"/>
      <c r="AL2917" s="97"/>
      <c r="AM2917" s="97"/>
      <c r="AN2917" s="97"/>
      <c r="AO2917" s="97"/>
    </row>
    <row r="2918" spans="30:41" ht="17.149999999999999" customHeight="1">
      <c r="AD2918" s="97"/>
      <c r="AE2918" s="97"/>
      <c r="AF2918" s="97"/>
      <c r="AG2918" s="97"/>
      <c r="AH2918" s="97"/>
      <c r="AI2918" s="97"/>
      <c r="AJ2918" s="97"/>
      <c r="AK2918" s="97"/>
      <c r="AL2918" s="97"/>
      <c r="AM2918" s="97"/>
      <c r="AN2918" s="97"/>
      <c r="AO2918" s="97"/>
    </row>
    <row r="2919" spans="30:41" ht="17.149999999999999" customHeight="1">
      <c r="AE2919" s="97"/>
      <c r="AF2919" s="97"/>
      <c r="AG2919" s="97"/>
      <c r="AH2919" s="97"/>
      <c r="AI2919" s="97"/>
      <c r="AJ2919" s="97"/>
      <c r="AK2919" s="97"/>
    </row>
    <row r="2937" spans="31:37" ht="17.149999999999999" customHeight="1">
      <c r="AE2937" s="97"/>
      <c r="AF2937" s="97"/>
      <c r="AG2937" s="97"/>
      <c r="AH2937" s="97"/>
      <c r="AI2937" s="97"/>
      <c r="AJ2937" s="97"/>
      <c r="AK2937" s="97"/>
    </row>
    <row r="2947" spans="30:41" ht="17.149999999999999" customHeight="1">
      <c r="AD2947" s="97"/>
      <c r="AE2947" s="97"/>
      <c r="AF2947" s="97"/>
      <c r="AG2947" s="97"/>
      <c r="AH2947" s="97"/>
      <c r="AI2947" s="97"/>
      <c r="AJ2947" s="97"/>
      <c r="AK2947" s="97"/>
      <c r="AL2947" s="97"/>
      <c r="AM2947" s="97"/>
      <c r="AN2947" s="97"/>
      <c r="AO2947" s="97"/>
    </row>
    <row r="2948" spans="30:41" ht="17.149999999999999" customHeight="1">
      <c r="AF2948" s="97"/>
      <c r="AG2948" s="97"/>
      <c r="AH2948" s="97"/>
    </row>
    <row r="2960" spans="30:41" ht="17.149999999999999" customHeight="1">
      <c r="AD2960" s="97"/>
      <c r="AE2960" s="97"/>
      <c r="AF2960" s="97"/>
      <c r="AG2960" s="97"/>
      <c r="AH2960" s="97"/>
      <c r="AI2960" s="97"/>
      <c r="AJ2960" s="97"/>
      <c r="AK2960" s="97"/>
      <c r="AL2960" s="97"/>
      <c r="AM2960" s="97"/>
      <c r="AN2960" s="97"/>
      <c r="AO2960" s="97"/>
    </row>
    <row r="2961" spans="32:34" ht="17.149999999999999" customHeight="1">
      <c r="AG2961" s="97"/>
    </row>
    <row r="2967" spans="32:34" ht="17.149999999999999" customHeight="1">
      <c r="AF2967" s="97"/>
      <c r="AG2967" s="97"/>
      <c r="AH2967" s="97"/>
    </row>
    <row r="2987" spans="31:38" ht="17.149999999999999" customHeight="1">
      <c r="AE2987" s="97"/>
      <c r="AF2987" s="97"/>
      <c r="AG2987" s="97"/>
      <c r="AH2987" s="97"/>
      <c r="AI2987" s="97"/>
      <c r="AJ2987" s="97"/>
      <c r="AK2987" s="97"/>
      <c r="AL2987" s="97"/>
    </row>
    <row r="2988" spans="31:38" ht="17.149999999999999" customHeight="1">
      <c r="AF2988" s="97"/>
      <c r="AG2988" s="97"/>
      <c r="AH2988" s="97"/>
      <c r="AI2988" s="97"/>
      <c r="AJ2988" s="97"/>
    </row>
    <row r="3008" spans="30:41" ht="17.149999999999999" customHeight="1">
      <c r="AD3008" s="97"/>
      <c r="AE3008" s="97"/>
      <c r="AF3008" s="97"/>
      <c r="AG3008" s="97"/>
      <c r="AH3008" s="97"/>
      <c r="AI3008" s="97"/>
      <c r="AJ3008" s="97"/>
      <c r="AK3008" s="97"/>
      <c r="AL3008" s="97"/>
      <c r="AM3008" s="97"/>
      <c r="AN3008" s="97"/>
      <c r="AO3008" s="97"/>
    </row>
    <row r="3009" spans="32:36" ht="17.149999999999999" customHeight="1">
      <c r="AF3009" s="97"/>
      <c r="AG3009" s="97"/>
      <c r="AH3009" s="97"/>
      <c r="AI3009" s="97"/>
      <c r="AJ3009" s="97"/>
    </row>
    <row r="3031" spans="30:41" ht="17.149999999999999" customHeight="1">
      <c r="AD3031" s="97"/>
      <c r="AE3031" s="97"/>
      <c r="AF3031" s="97"/>
      <c r="AG3031" s="97"/>
      <c r="AH3031" s="97"/>
      <c r="AI3031" s="97"/>
      <c r="AJ3031" s="97"/>
      <c r="AK3031" s="97"/>
      <c r="AL3031" s="97"/>
      <c r="AM3031" s="97"/>
      <c r="AN3031" s="97"/>
      <c r="AO3031" s="97"/>
    </row>
    <row r="3032" spans="30:41" ht="17.149999999999999" customHeight="1">
      <c r="AD3032" s="97"/>
      <c r="AE3032" s="97"/>
      <c r="AF3032" s="97"/>
      <c r="AG3032" s="97"/>
      <c r="AH3032" s="97"/>
      <c r="AI3032" s="97"/>
      <c r="AJ3032" s="97"/>
      <c r="AK3032" s="97"/>
      <c r="AL3032" s="97"/>
      <c r="AM3032" s="97"/>
      <c r="AN3032" s="97"/>
      <c r="AO3032" s="97"/>
    </row>
    <row r="3033" spans="30:41" ht="17.149999999999999" customHeight="1">
      <c r="AD3033" s="97"/>
      <c r="AE3033" s="97"/>
      <c r="AF3033" s="97"/>
      <c r="AG3033" s="97"/>
      <c r="AH3033" s="97"/>
      <c r="AI3033" s="97"/>
      <c r="AJ3033" s="97"/>
      <c r="AK3033" s="97"/>
      <c r="AL3033" s="97"/>
      <c r="AM3033" s="97"/>
      <c r="AN3033" s="97"/>
      <c r="AO3033" s="97"/>
    </row>
    <row r="3034" spans="30:41" ht="17.149999999999999" customHeight="1">
      <c r="AD3034" s="97"/>
      <c r="AE3034" s="97"/>
      <c r="AF3034" s="97"/>
      <c r="AG3034" s="97"/>
      <c r="AH3034" s="97"/>
      <c r="AI3034" s="97"/>
      <c r="AJ3034" s="97"/>
      <c r="AK3034" s="97"/>
      <c r="AL3034" s="97"/>
      <c r="AM3034" s="97"/>
      <c r="AN3034" s="97"/>
      <c r="AO3034" s="97"/>
    </row>
    <row r="3035" spans="30:41" ht="17.149999999999999" customHeight="1">
      <c r="AF3035" s="97"/>
      <c r="AG3035" s="97"/>
      <c r="AH3035" s="97"/>
    </row>
    <row r="3036" spans="30:41" ht="17.149999999999999" customHeight="1">
      <c r="AG3036" s="97"/>
      <c r="AH3036" s="97"/>
    </row>
    <row r="3054" spans="31:37" ht="17.149999999999999" customHeight="1">
      <c r="AE3054" s="97"/>
      <c r="AF3054" s="97"/>
      <c r="AG3054" s="97"/>
      <c r="AH3054" s="97"/>
      <c r="AI3054" s="97"/>
      <c r="AJ3054" s="97"/>
      <c r="AK3054" s="97"/>
    </row>
    <row r="3078" spans="33:34" ht="17.149999999999999" customHeight="1">
      <c r="AG3078" s="97"/>
      <c r="AH3078" s="97"/>
    </row>
    <row r="3092" spans="31:37" ht="17.149999999999999" customHeight="1">
      <c r="AF3092" s="97"/>
      <c r="AG3092" s="97"/>
      <c r="AH3092" s="97"/>
      <c r="AI3092" s="97"/>
      <c r="AJ3092" s="97"/>
      <c r="AK3092" s="97"/>
    </row>
    <row r="3102" spans="31:37" ht="17.149999999999999" customHeight="1">
      <c r="AE3102" s="97"/>
      <c r="AF3102" s="97"/>
      <c r="AG3102" s="97"/>
      <c r="AH3102" s="97"/>
      <c r="AI3102" s="97"/>
      <c r="AJ3102" s="97"/>
      <c r="AK3102" s="97"/>
    </row>
    <row r="3120" spans="34:38" ht="17.149999999999999" customHeight="1">
      <c r="AH3120" s="97"/>
      <c r="AI3120" s="97"/>
      <c r="AJ3120" s="97"/>
      <c r="AK3120" s="97"/>
      <c r="AL3120" s="97"/>
    </row>
    <row r="3135" spans="32:38" ht="17.149999999999999" customHeight="1">
      <c r="AF3135" s="97"/>
      <c r="AG3135" s="97"/>
      <c r="AH3135" s="97"/>
      <c r="AI3135" s="97"/>
      <c r="AJ3135" s="97"/>
      <c r="AK3135" s="97"/>
      <c r="AL3135" s="97"/>
    </row>
    <row r="3163" spans="30:36" ht="17.149999999999999" customHeight="1">
      <c r="AD3163" s="97"/>
      <c r="AE3163" s="97"/>
      <c r="AF3163" s="97"/>
      <c r="AG3163" s="97"/>
      <c r="AH3163" s="97"/>
      <c r="AI3163" s="97"/>
      <c r="AJ3163" s="97"/>
    </row>
    <row r="3190" spans="29:40" ht="17.149999999999999" customHeight="1">
      <c r="AC3190" s="97"/>
      <c r="AD3190" s="97"/>
      <c r="AE3190" s="97"/>
      <c r="AF3190" s="97"/>
      <c r="AG3190" s="97"/>
      <c r="AH3190" s="97"/>
      <c r="AI3190" s="97"/>
      <c r="AJ3190" s="97"/>
      <c r="AK3190" s="97"/>
      <c r="AL3190" s="97"/>
      <c r="AM3190" s="97"/>
      <c r="AN3190" s="97"/>
    </row>
    <row r="3191" spans="29:40" ht="17.149999999999999" customHeight="1">
      <c r="AE3191" s="97"/>
      <c r="AF3191" s="97"/>
      <c r="AG3191" s="97"/>
    </row>
    <row r="3215" spans="29:40" ht="17.149999999999999" customHeight="1">
      <c r="AC3215" s="97"/>
      <c r="AD3215" s="97"/>
      <c r="AE3215" s="97"/>
      <c r="AF3215" s="97"/>
      <c r="AG3215" s="97"/>
      <c r="AH3215" s="97"/>
      <c r="AI3215" s="97"/>
      <c r="AJ3215" s="97"/>
      <c r="AK3215" s="97"/>
      <c r="AL3215" s="97"/>
      <c r="AM3215" s="97"/>
      <c r="AN3215" s="97"/>
    </row>
    <row r="3216" spans="29:40" ht="17.149999999999999" customHeight="1">
      <c r="AE3216" s="97"/>
      <c r="AF3216" s="97"/>
      <c r="AG3216" s="97"/>
    </row>
    <row r="3217" spans="31:32" ht="17.149999999999999" customHeight="1">
      <c r="AE3217" s="97"/>
      <c r="AF3217" s="97"/>
    </row>
    <row r="3236" spans="29:40" ht="17.149999999999999" customHeight="1">
      <c r="AC3236" s="97"/>
      <c r="AD3236" s="97"/>
      <c r="AE3236" s="97"/>
      <c r="AF3236" s="97"/>
      <c r="AG3236" s="97"/>
      <c r="AH3236" s="97"/>
      <c r="AI3236" s="97"/>
      <c r="AJ3236" s="97"/>
      <c r="AK3236" s="97"/>
      <c r="AL3236" s="97"/>
      <c r="AM3236" s="97"/>
      <c r="AN3236" s="97"/>
    </row>
    <row r="3237" spans="29:40" ht="17.149999999999999" customHeight="1">
      <c r="AC3237" s="97"/>
      <c r="AD3237" s="97"/>
      <c r="AE3237" s="97"/>
      <c r="AF3237" s="97"/>
      <c r="AG3237" s="97"/>
      <c r="AH3237" s="97"/>
      <c r="AI3237" s="97"/>
      <c r="AJ3237" s="97"/>
      <c r="AK3237" s="97"/>
      <c r="AL3237" s="97"/>
      <c r="AM3237" s="97"/>
      <c r="AN3237" s="97"/>
    </row>
    <row r="3238" spans="29:40" ht="17.149999999999999" customHeight="1">
      <c r="AC3238" s="97"/>
      <c r="AD3238" s="97"/>
      <c r="AE3238" s="97"/>
      <c r="AF3238" s="97"/>
      <c r="AG3238" s="97"/>
      <c r="AH3238" s="97"/>
      <c r="AI3238" s="97"/>
      <c r="AJ3238" s="97"/>
      <c r="AK3238" s="97"/>
      <c r="AL3238" s="97"/>
      <c r="AM3238" s="97"/>
      <c r="AN3238" s="97"/>
    </row>
    <row r="3239" spans="29:40" ht="17.149999999999999" customHeight="1">
      <c r="AC3239" s="97"/>
      <c r="AD3239" s="97"/>
      <c r="AE3239" s="97"/>
      <c r="AF3239" s="97"/>
      <c r="AG3239" s="97"/>
      <c r="AH3239" s="97"/>
      <c r="AI3239" s="97"/>
      <c r="AJ3239" s="97"/>
      <c r="AK3239" s="97"/>
      <c r="AL3239" s="97"/>
      <c r="AM3239" s="97"/>
      <c r="AN3239" s="97"/>
    </row>
    <row r="3240" spans="29:40" ht="17.149999999999999" customHeight="1">
      <c r="AF3240" s="97"/>
      <c r="AG3240" s="97"/>
    </row>
    <row r="3253" spans="29:40" ht="17.149999999999999" customHeight="1">
      <c r="AC3253" s="97"/>
      <c r="AD3253" s="97"/>
      <c r="AE3253" s="97"/>
      <c r="AF3253" s="97"/>
      <c r="AG3253" s="97"/>
      <c r="AH3253" s="97"/>
      <c r="AI3253" s="97"/>
      <c r="AJ3253" s="97"/>
      <c r="AK3253" s="97"/>
      <c r="AL3253" s="97"/>
      <c r="AM3253" s="97"/>
      <c r="AN3253" s="97"/>
    </row>
    <row r="3254" spans="29:40" ht="17.149999999999999" customHeight="1">
      <c r="AC3254" s="97"/>
      <c r="AD3254" s="97"/>
      <c r="AE3254" s="97"/>
      <c r="AF3254" s="97"/>
      <c r="AG3254" s="97"/>
      <c r="AH3254" s="97"/>
      <c r="AI3254" s="97"/>
      <c r="AJ3254" s="97"/>
      <c r="AK3254" s="97"/>
      <c r="AL3254" s="97"/>
      <c r="AM3254" s="97"/>
      <c r="AN3254" s="97"/>
    </row>
    <row r="3260" spans="29:40" ht="17.149999999999999" customHeight="1">
      <c r="AE3260" s="97"/>
      <c r="AF3260" s="97"/>
      <c r="AG3260" s="97"/>
      <c r="AH3260" s="97"/>
    </row>
    <row r="3273" spans="32:32" ht="17.149999999999999" customHeight="1">
      <c r="AF3273" s="97"/>
    </row>
    <row r="3285" spans="31:34" ht="17.149999999999999" customHeight="1">
      <c r="AE3285" s="97"/>
      <c r="AF3285" s="97"/>
      <c r="AG3285" s="97"/>
      <c r="AH3285" s="97"/>
    </row>
    <row r="3339" spans="29:40" ht="17.149999999999999" customHeight="1">
      <c r="AC3339" s="97"/>
      <c r="AD3339" s="97"/>
      <c r="AE3339" s="97"/>
      <c r="AF3339" s="97"/>
      <c r="AG3339" s="97"/>
      <c r="AH3339" s="97"/>
      <c r="AI3339" s="97"/>
      <c r="AJ3339" s="97"/>
      <c r="AK3339" s="97"/>
      <c r="AL3339" s="97"/>
      <c r="AM3339" s="97"/>
      <c r="AN3339" s="97"/>
    </row>
    <row r="3340" spans="29:40" ht="17.149999999999999" customHeight="1">
      <c r="AC3340" s="97"/>
      <c r="AD3340" s="97"/>
      <c r="AE3340" s="97"/>
      <c r="AF3340" s="97"/>
      <c r="AG3340" s="97"/>
      <c r="AH3340" s="97"/>
      <c r="AI3340" s="97"/>
      <c r="AJ3340" s="97"/>
      <c r="AK3340" s="97"/>
      <c r="AL3340" s="97"/>
      <c r="AM3340" s="97"/>
      <c r="AN3340" s="97"/>
    </row>
    <row r="3341" spans="29:40" ht="17.149999999999999" customHeight="1">
      <c r="AC3341" s="97"/>
      <c r="AD3341" s="97"/>
      <c r="AE3341" s="97"/>
      <c r="AF3341" s="97"/>
      <c r="AG3341" s="97"/>
      <c r="AH3341" s="97"/>
      <c r="AI3341" s="97"/>
      <c r="AJ3341" s="97"/>
      <c r="AK3341" s="97"/>
      <c r="AL3341" s="97"/>
      <c r="AM3341" s="97"/>
      <c r="AN3341" s="97"/>
    </row>
    <row r="3342" spans="29:40" ht="17.149999999999999" customHeight="1">
      <c r="AC3342" s="97"/>
      <c r="AD3342" s="97"/>
      <c r="AE3342" s="97"/>
      <c r="AF3342" s="97"/>
      <c r="AG3342" s="97"/>
      <c r="AH3342" s="97"/>
      <c r="AI3342" s="97"/>
      <c r="AJ3342" s="97"/>
      <c r="AK3342" s="97"/>
      <c r="AL3342" s="97"/>
      <c r="AM3342" s="97"/>
      <c r="AN3342" s="97"/>
    </row>
    <row r="3343" spans="29:40" ht="17.149999999999999" customHeight="1">
      <c r="AD3343" s="97"/>
      <c r="AE3343" s="97"/>
      <c r="AF3343" s="97"/>
      <c r="AG3343" s="97"/>
      <c r="AH3343" s="97"/>
      <c r="AI3343" s="97"/>
    </row>
    <row r="3344" spans="29:40" ht="17.149999999999999" customHeight="1">
      <c r="AF3344" s="97"/>
      <c r="AG3344" s="97"/>
    </row>
    <row r="3370" spans="30:33" ht="17.149999999999999" customHeight="1">
      <c r="AD3370" s="97"/>
      <c r="AE3370" s="97"/>
      <c r="AF3370" s="97"/>
      <c r="AG3370" s="97"/>
    </row>
    <row r="3407" spans="30:37" ht="17.149999999999999" customHeight="1">
      <c r="AD3407" s="97"/>
      <c r="AE3407" s="97"/>
      <c r="AF3407" s="97"/>
      <c r="AG3407" s="97"/>
      <c r="AH3407" s="97"/>
      <c r="AI3407" s="97"/>
      <c r="AJ3407" s="97"/>
      <c r="AK3407" s="97"/>
    </row>
    <row r="3408" spans="30:37" ht="17.149999999999999" customHeight="1">
      <c r="AD3408" s="97"/>
      <c r="AE3408" s="97"/>
      <c r="AF3408" s="97"/>
      <c r="AG3408" s="97"/>
      <c r="AH3408" s="97"/>
      <c r="AI3408" s="97"/>
      <c r="AJ3408" s="97"/>
    </row>
    <row r="3409" spans="30:36" ht="17.149999999999999" customHeight="1">
      <c r="AD3409" s="97"/>
      <c r="AE3409" s="97"/>
      <c r="AF3409" s="97"/>
      <c r="AG3409" s="97"/>
      <c r="AH3409" s="97"/>
      <c r="AI3409" s="97"/>
      <c r="AJ3409" s="97"/>
    </row>
    <row r="3410" spans="30:36" ht="17.149999999999999" customHeight="1">
      <c r="AD3410" s="97"/>
      <c r="AE3410" s="97"/>
      <c r="AF3410" s="97"/>
      <c r="AG3410" s="97"/>
      <c r="AH3410" s="97"/>
      <c r="AI3410" s="97"/>
    </row>
    <row r="3439" spans="30:35" ht="17.149999999999999" customHeight="1">
      <c r="AD3439" s="97"/>
      <c r="AE3439" s="97"/>
      <c r="AF3439" s="97"/>
      <c r="AG3439" s="97"/>
      <c r="AH3439" s="97"/>
      <c r="AI3439" s="97"/>
    </row>
    <row r="3452" spans="29:40" ht="17.149999999999999" customHeight="1">
      <c r="AC3452" s="97"/>
      <c r="AD3452" s="97"/>
      <c r="AE3452" s="97"/>
      <c r="AF3452" s="97"/>
      <c r="AG3452" s="97"/>
      <c r="AH3452" s="97"/>
      <c r="AI3452" s="97"/>
      <c r="AJ3452" s="97"/>
      <c r="AK3452" s="97"/>
      <c r="AL3452" s="97"/>
      <c r="AM3452" s="97"/>
      <c r="AN3452" s="97"/>
    </row>
    <row r="3479" spans="32:32" ht="17.149999999999999" customHeight="1">
      <c r="AF3479" s="97"/>
    </row>
    <row r="3500" spans="31:37" ht="17.149999999999999" customHeight="1">
      <c r="AE3500" s="97"/>
      <c r="AF3500" s="97"/>
      <c r="AG3500" s="97"/>
      <c r="AH3500" s="97"/>
      <c r="AI3500" s="97"/>
      <c r="AJ3500" s="97"/>
      <c r="AK3500" s="97"/>
    </row>
    <row r="3523" spans="30:37" ht="17.149999999999999" customHeight="1">
      <c r="AD3523" s="97"/>
      <c r="AE3523" s="97"/>
      <c r="AF3523" s="97"/>
      <c r="AG3523" s="97"/>
      <c r="AH3523" s="97"/>
      <c r="AI3523" s="97"/>
      <c r="AJ3523" s="97"/>
      <c r="AK3523" s="97"/>
    </row>
    <row r="3524" spans="30:37" ht="17.149999999999999" customHeight="1">
      <c r="AD3524" s="97"/>
      <c r="AE3524" s="97"/>
      <c r="AF3524" s="97"/>
      <c r="AG3524" s="97"/>
      <c r="AH3524" s="97"/>
      <c r="AI3524" s="97"/>
      <c r="AJ3524" s="97"/>
      <c r="AK3524" s="97"/>
    </row>
    <row r="3525" spans="30:37" ht="17.149999999999999" customHeight="1">
      <c r="AD3525" s="97"/>
      <c r="AE3525" s="97"/>
      <c r="AF3525" s="97"/>
      <c r="AG3525" s="97"/>
      <c r="AH3525" s="97"/>
      <c r="AI3525" s="97"/>
      <c r="AJ3525" s="97"/>
    </row>
    <row r="3526" spans="30:37" ht="17.149999999999999" customHeight="1">
      <c r="AE3526" s="97"/>
      <c r="AF3526" s="97"/>
      <c r="AG3526" s="97"/>
    </row>
    <row r="3546" spans="32:33" ht="17.149999999999999" customHeight="1">
      <c r="AF3546" s="97"/>
      <c r="AG3546" s="97"/>
    </row>
    <row r="3594" spans="31:36" ht="17.149999999999999" customHeight="1">
      <c r="AE3594" s="97"/>
      <c r="AF3594" s="97"/>
      <c r="AG3594" s="97"/>
      <c r="AH3594" s="97"/>
      <c r="AI3594" s="97"/>
      <c r="AJ3594" s="97"/>
    </row>
    <row r="3627" spans="31:36" ht="17.149999999999999" customHeight="1">
      <c r="AE3627" s="97"/>
      <c r="AF3627" s="97"/>
      <c r="AG3627" s="97"/>
      <c r="AH3627" s="97"/>
      <c r="AI3627" s="97"/>
      <c r="AJ3627" s="97"/>
    </row>
    <row r="4483" spans="28:28" ht="17.149999999999999" customHeight="1">
      <c r="AB4483" s="99"/>
    </row>
    <row r="4566" spans="31:31" ht="17.149999999999999" customHeight="1">
      <c r="AE4566" s="100"/>
    </row>
    <row r="4567" spans="31:31" ht="17.149999999999999" customHeight="1">
      <c r="AE4567" s="100"/>
    </row>
    <row r="4568" spans="31:31" ht="17.149999999999999" customHeight="1">
      <c r="AE4568" s="100"/>
    </row>
    <row r="4569" spans="31:31" ht="17.149999999999999" customHeight="1">
      <c r="AE4569" s="100"/>
    </row>
    <row r="4570" spans="31:31" ht="17.149999999999999" customHeight="1">
      <c r="AE4570" s="100"/>
    </row>
    <row r="4571" spans="31:31" ht="17.149999999999999" customHeight="1">
      <c r="AE4571" s="100"/>
    </row>
    <row r="4572" spans="31:31" ht="17.149999999999999" customHeight="1">
      <c r="AE4572" s="100"/>
    </row>
    <row r="4573" spans="31:31" ht="17.149999999999999" customHeight="1">
      <c r="AE4573" s="100"/>
    </row>
    <row r="4574" spans="31:31" ht="17.149999999999999" customHeight="1">
      <c r="AE4574" s="100"/>
    </row>
    <row r="4575" spans="31:31" ht="17.149999999999999" customHeight="1">
      <c r="AE4575" s="100"/>
    </row>
    <row r="4576" spans="31:31" ht="17.149999999999999" customHeight="1">
      <c r="AE4576" s="100"/>
    </row>
    <row r="4577" spans="31:31" ht="17.149999999999999" customHeight="1">
      <c r="AE4577" s="100"/>
    </row>
    <row r="4578" spans="31:31" ht="17.149999999999999" customHeight="1">
      <c r="AE4578" s="100"/>
    </row>
    <row r="4579" spans="31:31" ht="17.149999999999999" customHeight="1">
      <c r="AE4579" s="100"/>
    </row>
    <row r="4580" spans="31:31" ht="17.149999999999999" customHeight="1">
      <c r="AE4580" s="100"/>
    </row>
    <row r="4581" spans="31:31" ht="17.149999999999999" customHeight="1">
      <c r="AE4581" s="100"/>
    </row>
    <row r="4582" spans="31:31" ht="17.149999999999999" customHeight="1">
      <c r="AE4582" s="100"/>
    </row>
    <row r="4583" spans="31:31" ht="17.149999999999999" customHeight="1">
      <c r="AE4583" s="100"/>
    </row>
    <row r="4584" spans="31:31" ht="17.149999999999999" customHeight="1">
      <c r="AE4584" s="100"/>
    </row>
    <row r="4585" spans="31:31" ht="17.149999999999999" customHeight="1">
      <c r="AE4585" s="100"/>
    </row>
    <row r="4586" spans="31:31" ht="17.149999999999999" customHeight="1">
      <c r="AE4586" s="100"/>
    </row>
    <row r="4587" spans="31:31" ht="17.149999999999999" customHeight="1">
      <c r="AE4587" s="100"/>
    </row>
    <row r="4588" spans="31:31" ht="17.149999999999999" customHeight="1">
      <c r="AE4588" s="100"/>
    </row>
    <row r="4589" spans="31:31" ht="17.149999999999999" customHeight="1">
      <c r="AE4589" s="100"/>
    </row>
    <row r="4590" spans="31:31" ht="17.149999999999999" customHeight="1">
      <c r="AE4590" s="100"/>
    </row>
    <row r="4591" spans="31:31" ht="17.149999999999999" customHeight="1">
      <c r="AE4591" s="100"/>
    </row>
    <row r="4592" spans="31:31" ht="17.149999999999999" customHeight="1">
      <c r="AE4592" s="100"/>
    </row>
    <row r="4593" spans="31:31" ht="17.149999999999999" customHeight="1">
      <c r="AE4593" s="100"/>
    </row>
    <row r="4594" spans="31:31" ht="17.149999999999999" customHeight="1">
      <c r="AE4594" s="100"/>
    </row>
    <row r="4595" spans="31:31" ht="17.149999999999999" customHeight="1">
      <c r="AE4595" s="100"/>
    </row>
    <row r="4596" spans="31:31" ht="17.149999999999999" customHeight="1">
      <c r="AE4596" s="100"/>
    </row>
    <row r="4597" spans="31:31" ht="17.149999999999999" customHeight="1">
      <c r="AE4597" s="100"/>
    </row>
    <row r="4598" spans="31:31" ht="17.149999999999999" customHeight="1">
      <c r="AE4598" s="100"/>
    </row>
    <row r="4599" spans="31:31" ht="17.149999999999999" customHeight="1">
      <c r="AE4599" s="100"/>
    </row>
    <row r="4600" spans="31:31" ht="17.149999999999999" customHeight="1">
      <c r="AE4600" s="100"/>
    </row>
    <row r="4601" spans="31:31" ht="17.149999999999999" customHeight="1">
      <c r="AE4601" s="100"/>
    </row>
    <row r="4602" spans="31:31" ht="17.149999999999999" customHeight="1">
      <c r="AE4602" s="100"/>
    </row>
    <row r="4603" spans="31:31" ht="17.149999999999999" customHeight="1">
      <c r="AE4603" s="100"/>
    </row>
    <row r="4604" spans="31:31" ht="17.149999999999999" customHeight="1">
      <c r="AE4604" s="100"/>
    </row>
    <row r="4605" spans="31:31" ht="17.149999999999999" customHeight="1">
      <c r="AE4605" s="100"/>
    </row>
    <row r="4606" spans="31:31" ht="17.149999999999999" customHeight="1">
      <c r="AE4606" s="100"/>
    </row>
    <row r="4607" spans="31:31" ht="17.149999999999999" customHeight="1">
      <c r="AE4607" s="100"/>
    </row>
    <row r="4608" spans="31:31" ht="17.149999999999999" customHeight="1">
      <c r="AE4608" s="100"/>
    </row>
    <row r="4609" spans="31:31" ht="17.149999999999999" customHeight="1">
      <c r="AE4609" s="100"/>
    </row>
    <row r="4610" spans="31:31" ht="17.149999999999999" customHeight="1">
      <c r="AE4610" s="100"/>
    </row>
    <row r="4611" spans="31:31" ht="17.149999999999999" customHeight="1">
      <c r="AE4611" s="100"/>
    </row>
    <row r="4612" spans="31:31" ht="17.149999999999999" customHeight="1">
      <c r="AE4612" s="100"/>
    </row>
    <row r="4613" spans="31:31" ht="17.149999999999999" customHeight="1">
      <c r="AE4613" s="100"/>
    </row>
    <row r="4614" spans="31:31" ht="17.149999999999999" customHeight="1">
      <c r="AE4614" s="100"/>
    </row>
    <row r="4615" spans="31:31" ht="17.149999999999999" customHeight="1">
      <c r="AE4615" s="100"/>
    </row>
    <row r="4616" spans="31:31" ht="17.149999999999999" customHeight="1">
      <c r="AE4616" s="100"/>
    </row>
    <row r="4617" spans="31:31" ht="17.149999999999999" customHeight="1">
      <c r="AE4617" s="100"/>
    </row>
    <row r="4618" spans="31:31" ht="17.149999999999999" customHeight="1">
      <c r="AE4618" s="100"/>
    </row>
    <row r="4619" spans="31:31" ht="17.149999999999999" customHeight="1">
      <c r="AE4619" s="100"/>
    </row>
    <row r="4620" spans="31:31" ht="17.149999999999999" customHeight="1">
      <c r="AE4620" s="100"/>
    </row>
    <row r="4621" spans="31:31" ht="17.149999999999999" customHeight="1">
      <c r="AE4621" s="100"/>
    </row>
    <row r="4622" spans="31:31" ht="17.149999999999999" customHeight="1">
      <c r="AE4622" s="100"/>
    </row>
    <row r="4623" spans="31:31" ht="17.149999999999999" customHeight="1">
      <c r="AE4623" s="100"/>
    </row>
    <row r="4624" spans="31:31" ht="17.149999999999999" customHeight="1">
      <c r="AE4624" s="100"/>
    </row>
    <row r="4625" spans="31:31" ht="17.149999999999999" customHeight="1">
      <c r="AE4625" s="100"/>
    </row>
    <row r="4626" spans="31:31" ht="17.149999999999999" customHeight="1">
      <c r="AE4626" s="100"/>
    </row>
    <row r="4627" spans="31:31" ht="17.149999999999999" customHeight="1">
      <c r="AE4627" s="100"/>
    </row>
    <row r="4631" spans="31:31" ht="17.149999999999999" customHeight="1">
      <c r="AE4631" s="100"/>
    </row>
    <row r="4643" spans="31:31" ht="17.149999999999999" customHeight="1">
      <c r="AE4643" s="100"/>
    </row>
    <row r="4644" spans="31:31" ht="17.149999999999999" customHeight="1">
      <c r="AE4644" s="100"/>
    </row>
    <row r="4645" spans="31:31" ht="17.149999999999999" customHeight="1">
      <c r="AE4645" s="100"/>
    </row>
    <row r="4646" spans="31:31" ht="17.149999999999999" customHeight="1">
      <c r="AE4646" s="100"/>
    </row>
    <row r="4647" spans="31:31" ht="17.149999999999999" customHeight="1">
      <c r="AE4647" s="100"/>
    </row>
    <row r="4648" spans="31:31" ht="17.149999999999999" customHeight="1">
      <c r="AE4648" s="100"/>
    </row>
    <row r="4649" spans="31:31" ht="17.149999999999999" customHeight="1">
      <c r="AE4649" s="100"/>
    </row>
    <row r="4650" spans="31:31" ht="17.149999999999999" customHeight="1">
      <c r="AE4650" s="100"/>
    </row>
    <row r="4651" spans="31:31" ht="17.149999999999999" customHeight="1">
      <c r="AE4651" s="100"/>
    </row>
    <row r="4652" spans="31:31" ht="17.149999999999999" customHeight="1">
      <c r="AE4652" s="100"/>
    </row>
    <row r="4653" spans="31:31" ht="17.149999999999999" customHeight="1">
      <c r="AE4653" s="100"/>
    </row>
    <row r="4654" spans="31:31" ht="17.149999999999999" customHeight="1">
      <c r="AE4654" s="100"/>
    </row>
    <row r="4656" spans="31:31" ht="17.149999999999999" customHeight="1">
      <c r="AE4656" s="100"/>
    </row>
    <row r="4657" spans="31:31" ht="17.149999999999999" customHeight="1">
      <c r="AE4657" s="100"/>
    </row>
    <row r="4658" spans="31:31" ht="17.149999999999999" customHeight="1">
      <c r="AE4658" s="100"/>
    </row>
    <row r="4659" spans="31:31" ht="17.149999999999999" customHeight="1">
      <c r="AE4659" s="100"/>
    </row>
    <row r="4660" spans="31:31" ht="17.149999999999999" customHeight="1">
      <c r="AE4660" s="100"/>
    </row>
    <row r="4661" spans="31:31" ht="17.149999999999999" customHeight="1">
      <c r="AE4661" s="100"/>
    </row>
    <row r="4662" spans="31:31" ht="17.149999999999999" customHeight="1">
      <c r="AE4662" s="100"/>
    </row>
    <row r="4663" spans="31:31" ht="17.149999999999999" customHeight="1">
      <c r="AE4663" s="100"/>
    </row>
    <row r="4664" spans="31:31" ht="17.149999999999999" customHeight="1">
      <c r="AE4664" s="100"/>
    </row>
    <row r="4665" spans="31:31" ht="17.149999999999999" customHeight="1">
      <c r="AE4665" s="100"/>
    </row>
    <row r="4666" spans="31:31" ht="17.149999999999999" customHeight="1">
      <c r="AE4666" s="100"/>
    </row>
    <row r="4667" spans="31:31" ht="17.149999999999999" customHeight="1">
      <c r="AE4667" s="100"/>
    </row>
    <row r="4668" spans="31:31" ht="17.149999999999999" customHeight="1">
      <c r="AE4668" s="100"/>
    </row>
    <row r="4669" spans="31:31" ht="17.149999999999999" customHeight="1">
      <c r="AE4669" s="100"/>
    </row>
    <row r="4670" spans="31:31" ht="17.149999999999999" customHeight="1">
      <c r="AE4670" s="100"/>
    </row>
    <row r="4671" spans="31:31" ht="17.149999999999999" customHeight="1">
      <c r="AE4671" s="100"/>
    </row>
    <row r="4672" spans="31:31" ht="17.149999999999999" customHeight="1">
      <c r="AE4672" s="100"/>
    </row>
    <row r="4673" spans="31:31" ht="17.149999999999999" customHeight="1">
      <c r="AE4673" s="100"/>
    </row>
    <row r="4674" spans="31:31" ht="17.149999999999999" customHeight="1">
      <c r="AE4674" s="100"/>
    </row>
    <row r="4675" spans="31:31" ht="17.149999999999999" customHeight="1">
      <c r="AE4675" s="100"/>
    </row>
    <row r="4676" spans="31:31" ht="17.149999999999999" customHeight="1">
      <c r="AE4676" s="100"/>
    </row>
    <row r="4677" spans="31:31" ht="17.149999999999999" customHeight="1">
      <c r="AE4677" s="100"/>
    </row>
    <row r="4678" spans="31:31" ht="17.149999999999999" customHeight="1">
      <c r="AE4678" s="100"/>
    </row>
    <row r="4679" spans="31:31" ht="17.149999999999999" customHeight="1">
      <c r="AE4679" s="100"/>
    </row>
    <row r="4682" spans="31:31" ht="17.149999999999999" customHeight="1">
      <c r="AE4682" s="100"/>
    </row>
    <row r="4683" spans="31:31" ht="17.149999999999999" customHeight="1">
      <c r="AE4683" s="100"/>
    </row>
    <row r="4684" spans="31:31" ht="17.149999999999999" customHeight="1">
      <c r="AE4684" s="100"/>
    </row>
    <row r="4685" spans="31:31" ht="17.149999999999999" customHeight="1">
      <c r="AE4685" s="100"/>
    </row>
    <row r="4686" spans="31:31" ht="17.149999999999999" customHeight="1">
      <c r="AE4686" s="100"/>
    </row>
    <row r="4687" spans="31:31" ht="17.149999999999999" customHeight="1">
      <c r="AE4687" s="100"/>
    </row>
    <row r="4688" spans="31:31" ht="17.149999999999999" customHeight="1">
      <c r="AE4688" s="100"/>
    </row>
    <row r="4689" spans="31:31" ht="17.149999999999999" customHeight="1">
      <c r="AE4689" s="100"/>
    </row>
    <row r="4695" spans="31:31" ht="17.149999999999999" customHeight="1">
      <c r="AE4695" s="100"/>
    </row>
    <row r="4696" spans="31:31" ht="17.149999999999999" customHeight="1">
      <c r="AE4696" s="100"/>
    </row>
    <row r="4697" spans="31:31" ht="17.149999999999999" customHeight="1">
      <c r="AE4697" s="100"/>
    </row>
    <row r="4698" spans="31:31" ht="17.149999999999999" customHeight="1">
      <c r="AE4698" s="100"/>
    </row>
    <row r="4699" spans="31:31" ht="17.149999999999999" customHeight="1">
      <c r="AE4699" s="100"/>
    </row>
    <row r="4700" spans="31:31" ht="17.149999999999999" customHeight="1">
      <c r="AE4700" s="100"/>
    </row>
    <row r="4701" spans="31:31" ht="17.149999999999999" customHeight="1">
      <c r="AE4701" s="100"/>
    </row>
    <row r="4702" spans="31:31" ht="17.149999999999999" customHeight="1">
      <c r="AE4702" s="100"/>
    </row>
    <row r="4703" spans="31:31" ht="17.149999999999999" customHeight="1">
      <c r="AE4703" s="100"/>
    </row>
    <row r="4704" spans="31:31" ht="17.149999999999999" customHeight="1">
      <c r="AE4704" s="100"/>
    </row>
    <row r="4705" spans="31:31" ht="17.149999999999999" customHeight="1">
      <c r="AE4705" s="100"/>
    </row>
    <row r="4706" spans="31:31" ht="17.149999999999999" customHeight="1">
      <c r="AE4706" s="100"/>
    </row>
    <row r="4707" spans="31:31" ht="17.149999999999999" customHeight="1">
      <c r="AE4707" s="100"/>
    </row>
    <row r="4708" spans="31:31" ht="17.149999999999999" customHeight="1">
      <c r="AE4708" s="100"/>
    </row>
    <row r="4709" spans="31:31" ht="17.149999999999999" customHeight="1">
      <c r="AE4709" s="100"/>
    </row>
    <row r="4710" spans="31:31" ht="17.149999999999999" customHeight="1">
      <c r="AE4710" s="100"/>
    </row>
    <row r="4711" spans="31:31" ht="17.149999999999999" customHeight="1">
      <c r="AE4711" s="100"/>
    </row>
    <row r="4712" spans="31:31" ht="17.149999999999999" customHeight="1">
      <c r="AE4712" s="100"/>
    </row>
    <row r="4713" spans="31:31" ht="17.149999999999999" customHeight="1">
      <c r="AE4713" s="100"/>
    </row>
    <row r="4714" spans="31:31" ht="17.149999999999999" customHeight="1">
      <c r="AE4714" s="100"/>
    </row>
    <row r="4715" spans="31:31" ht="17.149999999999999" customHeight="1">
      <c r="AE4715" s="100"/>
    </row>
    <row r="4716" spans="31:31" ht="17.149999999999999" customHeight="1">
      <c r="AE4716" s="100"/>
    </row>
    <row r="4717" spans="31:31" ht="17.149999999999999" customHeight="1">
      <c r="AE4717" s="100"/>
    </row>
    <row r="4718" spans="31:31" ht="17.149999999999999" customHeight="1">
      <c r="AE4718" s="100"/>
    </row>
    <row r="4719" spans="31:31" ht="17.149999999999999" customHeight="1">
      <c r="AE4719" s="100"/>
    </row>
    <row r="4720" spans="31:31" ht="17.149999999999999" customHeight="1">
      <c r="AE4720" s="100"/>
    </row>
    <row r="4721" spans="31:31" ht="17.149999999999999" customHeight="1">
      <c r="AE4721" s="100"/>
    </row>
    <row r="4722" spans="31:31" ht="17.149999999999999" customHeight="1">
      <c r="AE4722" s="100"/>
    </row>
    <row r="4723" spans="31:31" ht="17.149999999999999" customHeight="1">
      <c r="AE4723" s="100"/>
    </row>
    <row r="4724" spans="31:31" ht="17.149999999999999" customHeight="1">
      <c r="AE4724" s="100"/>
    </row>
    <row r="4729" spans="31:31" ht="17.149999999999999" customHeight="1">
      <c r="AE4729" s="100"/>
    </row>
    <row r="4731" spans="31:31" ht="17.149999999999999" customHeight="1">
      <c r="AE4731" s="100"/>
    </row>
    <row r="4732" spans="31:31" ht="17.149999999999999" customHeight="1">
      <c r="AE4732" s="100"/>
    </row>
    <row r="4733" spans="31:31" ht="17.149999999999999" customHeight="1">
      <c r="AE4733" s="100"/>
    </row>
    <row r="4734" spans="31:31" ht="17.149999999999999" customHeight="1">
      <c r="AE4734" s="100"/>
    </row>
    <row r="4735" spans="31:31" ht="17.149999999999999" customHeight="1">
      <c r="AE4735" s="100"/>
    </row>
    <row r="4736" spans="31:31" ht="17.149999999999999" customHeight="1">
      <c r="AE4736" s="100"/>
    </row>
    <row r="4737" spans="31:31" ht="17.149999999999999" customHeight="1">
      <c r="AE4737" s="100"/>
    </row>
    <row r="4738" spans="31:31" ht="17.149999999999999" customHeight="1">
      <c r="AE4738" s="100"/>
    </row>
    <row r="4739" spans="31:31" ht="17.149999999999999" customHeight="1">
      <c r="AE4739" s="100"/>
    </row>
    <row r="4742" spans="31:31" ht="17.149999999999999" customHeight="1">
      <c r="AE4742" s="100"/>
    </row>
    <row r="4744" spans="31:31" ht="17.149999999999999" customHeight="1">
      <c r="AE4744" s="100"/>
    </row>
    <row r="4749" spans="31:31" ht="17.149999999999999" customHeight="1">
      <c r="AE4749" s="100"/>
    </row>
    <row r="4750" spans="31:31" ht="17.149999999999999" customHeight="1">
      <c r="AE4750" s="100"/>
    </row>
    <row r="4753" spans="31:31" ht="17.149999999999999" customHeight="1">
      <c r="AE4753" s="100"/>
    </row>
    <row r="4754" spans="31:31" ht="17.149999999999999" customHeight="1">
      <c r="AE4754" s="100"/>
    </row>
    <row r="4755" spans="31:31" ht="17.149999999999999" customHeight="1">
      <c r="AE4755" s="100"/>
    </row>
    <row r="4756" spans="31:31" ht="17.149999999999999" customHeight="1">
      <c r="AE4756" s="100"/>
    </row>
    <row r="4760" spans="31:31" ht="17.149999999999999" customHeight="1">
      <c r="AE4760" s="100"/>
    </row>
    <row r="4762" spans="31:31" ht="17.149999999999999" customHeight="1">
      <c r="AE4762" s="100"/>
    </row>
    <row r="4766" spans="31:31" ht="17.149999999999999" customHeight="1">
      <c r="AE4766" s="100"/>
    </row>
    <row r="4768" spans="31:31" ht="17.149999999999999" customHeight="1">
      <c r="AE4768" s="100"/>
    </row>
    <row r="4771" spans="3:31" ht="17.149999999999999" customHeight="1">
      <c r="AE4771" s="100"/>
    </row>
    <row r="4772" spans="3:31" ht="17.149999999999999" customHeight="1">
      <c r="AE4772" s="100"/>
    </row>
    <row r="4773" spans="3:31" ht="17.149999999999999" customHeight="1">
      <c r="AE4773" s="100"/>
    </row>
    <row r="4774" spans="3:31" ht="17.149999999999999" customHeight="1">
      <c r="AE4774" s="100"/>
    </row>
    <row r="4775" spans="3:31" ht="17.149999999999999" customHeight="1">
      <c r="AE4775" s="100"/>
    </row>
    <row r="4776" spans="3:31" ht="17.149999999999999" customHeight="1">
      <c r="AE4776" s="100"/>
    </row>
    <row r="4777" spans="3:31" ht="17.149999999999999" customHeight="1">
      <c r="AE4777" s="100"/>
    </row>
    <row r="4778" spans="3:31" ht="17.149999999999999" customHeight="1">
      <c r="AE4778" s="100"/>
    </row>
    <row r="4779" spans="3:31" ht="17.149999999999999" customHeight="1">
      <c r="AE4779" s="100"/>
    </row>
    <row r="4780" spans="3:31" s="109" customFormat="1" ht="17.149999999999999" customHeight="1">
      <c r="C4780" s="109" t="s">
        <v>6953</v>
      </c>
      <c r="D4780" s="2"/>
      <c r="E4780" s="2"/>
      <c r="F4780" s="2"/>
      <c r="G4780" s="2"/>
      <c r="H4780" s="109" t="s">
        <v>1669</v>
      </c>
      <c r="J4780" s="109" t="s">
        <v>6954</v>
      </c>
      <c r="K4780" s="109" t="s">
        <v>6955</v>
      </c>
      <c r="L4780" s="47" t="s">
        <v>45</v>
      </c>
      <c r="P4780" s="109">
        <v>1200000</v>
      </c>
      <c r="Q4780" s="109">
        <v>2026</v>
      </c>
      <c r="R4780" s="109">
        <v>1</v>
      </c>
      <c r="U4780" s="109" t="s">
        <v>6956</v>
      </c>
      <c r="V4780" s="109" t="s">
        <v>6957</v>
      </c>
      <c r="W4780" s="109" t="s">
        <v>1327</v>
      </c>
      <c r="AA4780" s="109" t="s">
        <v>6958</v>
      </c>
      <c r="AC4780" s="109" t="s">
        <v>6959</v>
      </c>
    </row>
  </sheetData>
  <autoFilter ref="A1:AJ1199" xr:uid="{39810B59-4091-4AB2-ABE3-14B9533F29F0}">
    <filterColumn colId="3">
      <customFilters>
        <customFilter operator="notEqual" val=" "/>
      </customFilters>
    </filterColumn>
  </autoFilter>
  <hyperlinks>
    <hyperlink ref="U224" r:id="rId1" xr:uid="{3AA9027F-EE07-472C-A5EE-4CD36E4433B9}"/>
    <hyperlink ref="U220" r:id="rId2" xr:uid="{D5DA2E7B-40BC-459F-BB89-B240E846590C}"/>
    <hyperlink ref="U1112" r:id="rId3" xr:uid="{ACAE107E-101E-43A5-ADE8-BA38EBD66C1C}"/>
    <hyperlink ref="AA1082" r:id="rId4" display="https://www.waternet.nl/siteassets/ons-water/omgevingsprogramma-riolering-2022-2027.pdf" xr:uid="{5E288F51-C49A-41D7-A61A-70B9B1F33878}"/>
    <hyperlink ref="U143" r:id="rId5" xr:uid="{B7E73C75-46FE-46ED-8179-DE5D90C6600D}"/>
    <hyperlink ref="U35" r:id="rId6" xr:uid="{C53FC4AB-14D0-4B79-BFFF-ADE51E7FE722}"/>
    <hyperlink ref="AA120" r:id="rId7" xr:uid="{5F241DE4-25FD-40F7-ADC3-81E24E93B8B8}"/>
    <hyperlink ref="U140" r:id="rId8" xr:uid="{32493FD9-C3FC-4C05-80C0-FAA5510B91E4}"/>
    <hyperlink ref="U974" r:id="rId9" xr:uid="{63984CF5-9BF2-4752-9B05-88F7217E2DC1}"/>
    <hyperlink ref="U134" r:id="rId10" xr:uid="{98A8CF87-94D7-413A-BB0B-C74D9D4C28E1}"/>
    <hyperlink ref="AA159" r:id="rId11" xr:uid="{DC06FFC6-E9DC-4733-BCE1-4C0AE1C562CE}"/>
    <hyperlink ref="U12" r:id="rId12" xr:uid="{C7433645-30B4-4F65-AD5E-92607C738DF3}"/>
    <hyperlink ref="U16" r:id="rId13" xr:uid="{37B20F69-EC3A-4B6A-B2D2-C95F935BA66D}"/>
    <hyperlink ref="U384" r:id="rId14" xr:uid="{004ACB7A-7074-4C90-A088-032C86506048}"/>
    <hyperlink ref="AB379" r:id="rId15" xr:uid="{67A4662A-9047-4979-8CD7-9E33FA72381B}"/>
    <hyperlink ref="U957" r:id="rId16" xr:uid="{3717D362-63B9-45FF-9C14-4E45D999194B}"/>
    <hyperlink ref="U317" r:id="rId17" xr:uid="{3F529AA7-627A-40EB-ABA2-1613BB99E281}"/>
    <hyperlink ref="U368" r:id="rId18" xr:uid="{3F35AE04-A8B1-45D7-9DD1-0D831AC6CEE9}"/>
    <hyperlink ref="U520" r:id="rId19" xr:uid="{0987AE0A-2235-40E9-9109-A888760C1872}"/>
    <hyperlink ref="U277" r:id="rId20" xr:uid="{783AC9C5-2120-459A-90DE-B065195FC503}"/>
    <hyperlink ref="U198" r:id="rId21" xr:uid="{AFD51FC6-3675-4DC8-B73D-788E999E5A6E}"/>
    <hyperlink ref="AC148" r:id="rId22" xr:uid="{2C260CF6-2382-437A-A8A9-79CBB01581AE}"/>
    <hyperlink ref="U124" r:id="rId23" xr:uid="{F9E07845-604F-447A-BBA7-AE256C7440D0}"/>
    <hyperlink ref="AA641" r:id="rId24" display="https://ampmetropole.fr/wp-content/uploads/2026/01/2025_2.0_11_RPQS-2024-eau-et-assainissement_13NOV_web_final.pdf" xr:uid="{46E10828-0828-4DA7-9D0B-3B05BB969BB4}"/>
    <hyperlink ref="AA338" r:id="rId25" display="https://www.oslo.kommune.no/getfile.php/13520895-1727256846/Tjenester%20og%20tilbud/Politikk%20og%20administrasjon/Budsjett%2C%20regnskap%20og%20rapportering/Budsjett%202025/Budsjettforslag%202025/Vedlegg%201%20-%20Byrådets%20forslag%20til%20budsjett%202025%20og%20økonomiplan%202025-2028.pdf" xr:uid="{612C8CD7-6ED5-45C2-9D7B-62C3381F4BDF}"/>
    <hyperlink ref="AC338" r:id="rId26" xr:uid="{C61C43F1-818E-43F3-9155-173DF676C7FE}"/>
    <hyperlink ref="AA209" r:id="rId27" display="https://www.moa.gov.cy/moa/wdd/WDD.nsf/All/9C95FC3F1264EADAC2258B3B003D6654/$file/%CE%95%CE%B8%CE%BD%CE%B9%CE%BA%CF%8C %CE%95%CF%80%CE%B5%CE%BD%CE%B4%CF%85%CF%84%CE%B9%CE%BA%CF%8C %CE%A0%CE%BB%CE%AC%CE%BD%CE%BF %CE%A5%CE%B4%CE%AC%CF%84%CF%89%CE%BD_%CE%A4%CE%95%CE%9B%CE%99%CE%9A%CE%9F - %CE%99%CE%B1%CE%BD%CE%BF%CF%85%CE%AC%CF%81%CE%B9%CE%BF%CF%82 2025.pdf" xr:uid="{B49FB060-BE05-4990-A1CC-A066713886C1}"/>
    <hyperlink ref="AA1023" r:id="rId28" display="https://www.moa.gov.cy/moa/wdd/WDD.nsf/All/9C95FC3F1264EADAC2258B3B003D6654/$file/%CE%95%CE%B8%CE%BD%CE%B9%CE%BA%CF%8C %CE%95%CF%80%CE%B5%CE%BD%CE%B4%CF%85%CF%84%CE%B9%CE%BA%CF%8C %CE%A0%CE%BB%CE%AC%CE%BD%CE%BF %CE%A5%CE%B4%CE%AC%CF%84%CF%89%CE%BD_%CE%A4%CE%95%CE%9B%CE%99%CE%9A%CE%9F - %CE%99%CE%B1%CE%BD%CE%BF%CF%85%CE%AC%CF%81%CE%B9%CE%BF%CF%82 2025.pdf" xr:uid="{CAA08B57-CEC5-4684-B4F2-36B8AC7294B6}"/>
    <hyperlink ref="AA220" r:id="rId29" xr:uid="{BAA6CA9A-EE0A-4993-BCB4-186E5A903075}"/>
    <hyperlink ref="AA575" r:id="rId30" xr:uid="{0D4F4A4E-3246-4531-AFD6-BE48ADB89C9F}"/>
    <hyperlink ref="AA143" r:id="rId31" xr:uid="{3DC16DD1-9DD7-448E-8F1D-3E0F9EF0B415}"/>
    <hyperlink ref="AA200" r:id="rId32" xr:uid="{E81B9E84-C2E1-4E01-8222-BD291FC4C768}"/>
    <hyperlink ref="AA281" r:id="rId33" display="https://condivisioni.atocittametropolitanadimilano.it/index.php/s/jqTcHc6HbJzMGHJ?openfile=true [Open the following folders: Allegati alla Delibera n. 4 - 27.09.2024.zip &gt; ALLEGATO A - Del CdC n. 4 - 30.09.2024 &gt; Allegato R - Piano degli Interventi DEP MB]" xr:uid="{74B7375D-4F94-454C-AEF7-1900882D049A}"/>
    <hyperlink ref="AA205" r:id="rId34" xr:uid="{E0CCA040-4DFF-48F7-B35D-E21540D07490}"/>
    <hyperlink ref="AA208" r:id="rId35" xr:uid="{44C11A51-763A-40FB-8CA5-73F2764A391D}"/>
    <hyperlink ref="AA384" r:id="rId36" xr:uid="{6E43ACB3-9331-42FF-B490-879BDB8C50B4}"/>
    <hyperlink ref="AA211" r:id="rId37" xr:uid="{4BD50212-DFD4-476E-94F9-B80AABF2E66A}"/>
    <hyperlink ref="AA212" r:id="rId38" xr:uid="{740BFF40-3538-404C-879C-7E037E0CF74E}"/>
    <hyperlink ref="AC213" r:id="rId39" xr:uid="{510BC315-7B0E-4EDB-8206-30C8614DEAF2}"/>
    <hyperlink ref="AA213" r:id="rId40" xr:uid="{551EA41B-C1D4-4D4A-BA83-FDB24549D46E}"/>
    <hyperlink ref="AA1196" r:id="rId41" xr:uid="{2F2404EF-29A4-438E-97A7-B6AEBE5EA730}"/>
    <hyperlink ref="AA140" r:id="rId42" xr:uid="{D6B1A54C-0BF8-46CF-B237-C873BF07A64A}"/>
    <hyperlink ref="AA383" r:id="rId43" xr:uid="{30A48177-6ABC-4688-B86E-45308530161D}"/>
    <hyperlink ref="AA277" r:id="rId44" xr:uid="{4886C4A0-ADA3-47B5-B845-BD0A4A524280}"/>
    <hyperlink ref="AA224" r:id="rId45" xr:uid="{DC485670-34CD-4CF0-B3E0-D43312936F62}"/>
    <hyperlink ref="AA844" r:id="rId46" xr:uid="{49AE7AF7-0370-49F2-9FBF-4FDDAE9C176C}"/>
    <hyperlink ref="AA2" r:id="rId47" xr:uid="{8E96B0E2-CF8D-4D94-B0C7-A9E7087B1039}"/>
    <hyperlink ref="AA179" r:id="rId48" display="https://condivisioni.atocittametropolitanadimilano.it/index.php/s/jqTcHc6HbJzMGHJ?openfile=true [Open the following folders: Allegati alla Delibera n. 4 - 27.09.2024.zip &gt; ALLEGATO A - Del CdC n. 4 - 30.09.2024 &gt; Allegato R - Piano degli Interventi DEP MB]" xr:uid="{112FBE7C-0CA7-45E9-ADF9-16AB4D2E9B07}"/>
    <hyperlink ref="AC203" r:id="rId49" xr:uid="{61FEC64C-BFB6-4D53-8934-57676977ABEF}"/>
    <hyperlink ref="AA225" r:id="rId50" xr:uid="{590D01A9-3E31-45F8-A1DB-84421319A2C1}"/>
    <hyperlink ref="AC284" r:id="rId51" display="https://risi.muenchen.de/risi/sitzungsvorlage/detail/9222524 [for finance plan 2025-2029]" xr:uid="{94A4436E-9284-487F-AFA2-6700C54D7B9D}"/>
    <hyperlink ref="AC358" r:id="rId52" xr:uid="{902230A8-4958-4C0A-AAA4-B8309A996F54}"/>
    <hyperlink ref="AA405" r:id="rId53" display="https://garbsen.gremien.info/pdf-viewer?name=V2lydHNjaGFmdHNwbGFuIDIwMjYgZGVyIFN0YWR0ZW50d+Rzc2VydW5nIEdhcmJzZW4=&amp;watermark=0&amp;generated=18-12-2025&amp;document=aHR0cHM6Ly9nYXJic2VuLmdyZW1pZW4uaW5mby9hcGkucGhwP2RvY3VtZW50X3R5cGVfaWQ9MTMmZG9jdW1lbnRfcmVsYXRpb25faWQ9MjAyNTI2MTAxMDAyNDYlN0MyMDI1MTEyNzA3MjE1MC0wLnBkZiU3QyZzdWJtaXNzaW9uX2F0dGFjaG1lbnRfaWQ9MjAyNTI2MTAxMDAyNDYlN0MyMDI1MTEyNzA3MjE1MC0wLnBkZiU3QyZpZD02OSZqc29uPTEmcGxhdGZvcm09d2ViJnN5c3RlbT1yaXMmYWdlbmRhX2l0ZW1faWQ9MjAyNS02Ny03MnwyMDI1MjYxMDEwMDI0NnwxJmRvY3VtZW50YWJsZV9pZD0yMDI1MjYxMDEwMDI0NnwyMDI1MTEyNzA3MjE1MC0wLnBkZnw=" xr:uid="{09E061D9-4F06-4D7E-9E77-E1D95BF7EE00}"/>
    <hyperlink ref="AC409" r:id="rId54" xr:uid="{13145300-0856-490E-98A1-E5247C3DC091}"/>
    <hyperlink ref="AA678" r:id="rId55" xr:uid="{CAE388D2-7A47-4065-8890-E8A3F8CBECD0}"/>
    <hyperlink ref="AC832" r:id="rId56" display="https://ratsinformation.stadt-koeln.de/suchen01.asp" xr:uid="{3D1C23CF-3D30-4B2B-981F-EFD6851E2379}"/>
    <hyperlink ref="AC866" r:id="rId57" xr:uid="{5FD7C253-9890-4CA9-8707-0E17D40A39C3}"/>
    <hyperlink ref="AA866" r:id="rId58" xr:uid="{99C0F7D9-14FA-4BDE-9A4E-D81322A773DE}"/>
    <hyperlink ref="AA916" r:id="rId59" xr:uid="{3880B72B-2F4B-4A87-BCEF-263158F63F0B}"/>
    <hyperlink ref="AA207" r:id="rId60" xr:uid="{51D47951-586E-4051-ADC8-9FD5F23AE5BF}"/>
    <hyperlink ref="AC574" r:id="rId61" xr:uid="{C0B2246D-9EF8-441D-B835-00055BF2C090}"/>
    <hyperlink ref="AA1197" r:id="rId62" location="suche~wirtschaftsplan%202025" xr:uid="{58BD017F-18E8-4E64-8653-714A49E99EF9}"/>
    <hyperlink ref="AA246" r:id="rId63" xr:uid="{A9FA8BA0-D721-4EE1-8910-F1B705609285}"/>
    <hyperlink ref="AA243" r:id="rId64" xr:uid="{12D687D4-DC28-4AB0-B0CE-695B03F7605B}"/>
    <hyperlink ref="AA244" r:id="rId65" display="https://amministrazionetrasparente.atersir.it/sites/atersir/files/atti-documenti/Delibera_POI_2024-2029_HERAMO-combinato.pdf" xr:uid="{DDDFE35D-5DCD-4BEA-A62A-53A8E9715E95}"/>
    <hyperlink ref="AA239" r:id="rId66" xr:uid="{26A96FB3-5702-4E56-A3CD-84ED0CE99D25}"/>
    <hyperlink ref="AA241" r:id="rId67" display="https://www.atersir.it/sites/default/files/2024-06/Delibera_POI_2024-2029_HERAFE-combinato_0.pdf" xr:uid="{1AF0B5E8-7535-4B21-90DB-E5C4AEE90D8A}"/>
    <hyperlink ref="AC957" r:id="rId68" xr:uid="{EAE6F6D9-1F63-4082-BB69-9AA958D4C740}"/>
    <hyperlink ref="U179" r:id="rId69" xr:uid="{F8B9784F-C506-4C09-BC8D-13A49FC66456}"/>
    <hyperlink ref="AC659" r:id="rId70" xr:uid="{9A025B33-5913-4CC0-8033-8182F8190EE9}"/>
    <hyperlink ref="AA988" r:id="rId71" xr:uid="{FE5D7B4D-515E-4214-90C9-E6266A443479}"/>
    <hyperlink ref="AA235" r:id="rId72" display="https://condivisioni.atocittametropolitanadimilano.it/index.php/s/jqTcHc6HbJzMGHJ?openfile=true [Open the following folders: Allegati alla Delibera n. 4 - 27.09.2024.zip &gt; ALLEGATO A - Del CdC n. 4 - 30.09.2024 &gt; Allegato R - Piano degli Interventi DEP MB]" xr:uid="{420EBB74-59CA-4F96-A698-0F1814AB2852}"/>
    <hyperlink ref="U1023" r:id="rId73" xr:uid="{6E6028FE-CD4A-4AA5-B315-7C5770E6E6F9}"/>
    <hyperlink ref="AA107" r:id="rId74" xr:uid="{0FB587D8-1682-4858-BF05-D04605F0DB93}"/>
    <hyperlink ref="AI41" r:id="rId75" xr:uid="{FD4A0B16-7F2F-47A0-A641-1125F5969A44}"/>
    <hyperlink ref="U17" r:id="rId76" xr:uid="{A3303CA1-7CF4-4D17-A324-627FA5FDAFAE}"/>
    <hyperlink ref="AA17" r:id="rId77" xr:uid="{939A0971-663B-4852-867E-8432FACE7CE6}"/>
    <hyperlink ref="AA190" r:id="rId78" xr:uid="{B56591CA-080C-415E-B922-8DCC0170F14D}"/>
    <hyperlink ref="AC17" r:id="rId79" xr:uid="{4D789FC2-FE51-47E4-814D-EA32A23A2E57}"/>
    <hyperlink ref="AC1114" r:id="rId80" xr:uid="{404B7AB3-FD4C-4A05-A9DC-FC10443CC1A1}"/>
    <hyperlink ref="U28" r:id="rId81" xr:uid="{35D64307-DD67-4DBB-A506-66D482DFFC0D}"/>
    <hyperlink ref="AA215" r:id="rId82" xr:uid="{79BB5097-E61D-4F2A-8F96-715B671EA96F}"/>
  </hyperlinks>
  <pageMargins left="0.7" right="0.7" top="0.75" bottom="0.75" header="0.3" footer="0.3"/>
  <pageSetup orientation="portrait" horizontalDpi="1200" verticalDpi="1200" r:id="rId83"/>
  <legacyDrawing r:id="rId8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F3CAC-8369-46A8-8E94-9F6DBEFDCC53}">
  <sheetPr codeName="Sheet2"/>
  <dimension ref="B3:C51"/>
  <sheetViews>
    <sheetView topLeftCell="A26" zoomScale="61" zoomScaleNormal="100" workbookViewId="0">
      <selection activeCell="T37" sqref="T37"/>
    </sheetView>
  </sheetViews>
  <sheetFormatPr defaultRowHeight="14.5"/>
  <cols>
    <col min="1" max="1" width="28.54296875" bestFit="1" customWidth="1"/>
    <col min="2" max="2" width="21.1796875" customWidth="1"/>
    <col min="3" max="3" width="11" customWidth="1"/>
  </cols>
  <sheetData>
    <row r="3" spans="2:3">
      <c r="B3" t="s">
        <v>6960</v>
      </c>
      <c r="C3" s="74">
        <f>SUMIF(Utilities!X:X, "Yes", Utilities!P:P)/1000000</f>
        <v>73.844004999999996</v>
      </c>
    </row>
    <row r="4" spans="2:3">
      <c r="B4" t="s">
        <v>6961</v>
      </c>
      <c r="C4" s="74">
        <f>50-C3</f>
        <v>-23.844004999999996</v>
      </c>
    </row>
    <row r="17" spans="2:3">
      <c r="B17" t="s">
        <v>6962</v>
      </c>
      <c r="C17">
        <f>SUMIF(Utilities!AE:AE, "1", Utilities!P:P)</f>
        <v>28388833</v>
      </c>
    </row>
    <row r="18" spans="2:3">
      <c r="B18" t="s">
        <v>6963</v>
      </c>
      <c r="C18">
        <f>SUMIF(Utilities!AE:AE, "2", Utilities!P:P)</f>
        <v>3472878</v>
      </c>
    </row>
    <row r="19" spans="2:3">
      <c r="B19" t="s">
        <v>6964</v>
      </c>
      <c r="C19">
        <f>SUMIF(Utilities!AE:AE, "3", Utilities!P:P)</f>
        <v>2731459</v>
      </c>
    </row>
    <row r="20" spans="2:3">
      <c r="B20" t="s">
        <v>6965</v>
      </c>
      <c r="C20">
        <f>SUMIF(Utilities!AE:AE, "4", Utilities!P:P)</f>
        <v>22577339</v>
      </c>
    </row>
    <row r="21" spans="2:3">
      <c r="B21" t="s">
        <v>6966</v>
      </c>
      <c r="C21">
        <f>SUMIF(Utilities!AE:AE, "5", Utilities!P:P)</f>
        <v>3750497</v>
      </c>
    </row>
    <row r="22" spans="2:3">
      <c r="B22" t="s">
        <v>6967</v>
      </c>
      <c r="C22">
        <f>SUMIF(Utilities!AE:AE, "6", Utilities!P:P)</f>
        <v>0</v>
      </c>
    </row>
    <row r="23" spans="2:3">
      <c r="B23" t="s">
        <v>6968</v>
      </c>
      <c r="C23">
        <f>SUMIF(Utilities!AE:AE, "7", Utilities!P:P)</f>
        <v>1200000</v>
      </c>
    </row>
    <row r="24" spans="2:3">
      <c r="B24" t="s">
        <v>6961</v>
      </c>
      <c r="C24">
        <f>50000000-(C17+C18+C19+C20+C21+C22)</f>
        <v>-10921006</v>
      </c>
    </row>
    <row r="34" spans="2:3">
      <c r="B34" t="s">
        <v>6960</v>
      </c>
      <c r="C34">
        <f>COUNTIF(Utilities!X:X, "Yes")</f>
        <v>122</v>
      </c>
    </row>
    <row r="35" spans="2:3">
      <c r="B35" t="s">
        <v>6961</v>
      </c>
      <c r="C35">
        <f>250-C34</f>
        <v>128</v>
      </c>
    </row>
    <row r="44" spans="2:3">
      <c r="B44" t="s">
        <v>6962</v>
      </c>
      <c r="C44">
        <f>COUNTIF(Utilities!AE:AE, "1")</f>
        <v>71</v>
      </c>
    </row>
    <row r="45" spans="2:3">
      <c r="B45" t="s">
        <v>6963</v>
      </c>
      <c r="C45">
        <f>COUNTIF(Utilities!AE:AE, "2")</f>
        <v>5</v>
      </c>
    </row>
    <row r="46" spans="2:3">
      <c r="B46" t="s">
        <v>6964</v>
      </c>
      <c r="C46">
        <f>COUNTIF(Utilities!AE:AE, "3")</f>
        <v>9</v>
      </c>
    </row>
    <row r="47" spans="2:3">
      <c r="B47" t="s">
        <v>6965</v>
      </c>
      <c r="C47">
        <f>COUNTIF(Utilities!AE:AE, "4")</f>
        <v>13</v>
      </c>
    </row>
    <row r="48" spans="2:3">
      <c r="B48" t="s">
        <v>6966</v>
      </c>
      <c r="C48">
        <f>COUNTIF(Utilities!AE:AE, "5")</f>
        <v>4</v>
      </c>
    </row>
    <row r="49" spans="2:3">
      <c r="B49" t="s">
        <v>6967</v>
      </c>
      <c r="C49">
        <f>COUNTIF(Utilities!AE:AE, "6")</f>
        <v>0</v>
      </c>
    </row>
    <row r="50" spans="2:3">
      <c r="B50" t="s">
        <v>6968</v>
      </c>
      <c r="C50">
        <f>COUNTIF(Utilities!AE:AE, "7")</f>
        <v>1</v>
      </c>
    </row>
    <row r="51" spans="2:3">
      <c r="B51" t="s">
        <v>6961</v>
      </c>
    </row>
  </sheetData>
  <phoneticPr fontId="20"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1879C-549A-430B-8E6E-FC3CC9EEF25F}">
  <sheetPr codeName="Sheet3"/>
  <dimension ref="A3:D11"/>
  <sheetViews>
    <sheetView workbookViewId="0">
      <selection activeCell="D9" sqref="D9"/>
    </sheetView>
  </sheetViews>
  <sheetFormatPr defaultRowHeight="14.5"/>
  <cols>
    <col min="2" max="2" width="33.54296875" customWidth="1"/>
    <col min="4" max="4" width="30" customWidth="1"/>
  </cols>
  <sheetData>
    <row r="3" spans="1:4">
      <c r="B3" s="71" t="s">
        <v>6969</v>
      </c>
      <c r="D3" s="71" t="s">
        <v>31</v>
      </c>
    </row>
    <row r="5" spans="1:4">
      <c r="A5">
        <v>1</v>
      </c>
      <c r="B5" t="s">
        <v>6970</v>
      </c>
      <c r="D5" t="s">
        <v>53</v>
      </c>
    </row>
    <row r="6" spans="1:4">
      <c r="A6">
        <v>2</v>
      </c>
      <c r="B6" t="s">
        <v>6971</v>
      </c>
      <c r="D6" t="s">
        <v>850</v>
      </c>
    </row>
    <row r="7" spans="1:4">
      <c r="A7">
        <v>3</v>
      </c>
      <c r="B7" t="s">
        <v>6972</v>
      </c>
      <c r="D7" t="s">
        <v>1291</v>
      </c>
    </row>
    <row r="8" spans="1:4">
      <c r="A8">
        <v>4</v>
      </c>
      <c r="B8" t="s">
        <v>6973</v>
      </c>
      <c r="D8" t="s">
        <v>6974</v>
      </c>
    </row>
    <row r="9" spans="1:4">
      <c r="A9">
        <v>5</v>
      </c>
      <c r="B9" t="s">
        <v>6975</v>
      </c>
      <c r="D9" t="s">
        <v>2327</v>
      </c>
    </row>
    <row r="10" spans="1:4">
      <c r="A10">
        <v>6</v>
      </c>
      <c r="B10" t="s">
        <v>6976</v>
      </c>
    </row>
    <row r="11" spans="1:4">
      <c r="A11">
        <v>7</v>
      </c>
      <c r="B11" t="s">
        <v>6977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AA738-4B3B-4557-9196-828DFCF1C7EE}">
  <sheetPr codeName="Sheet4"/>
  <dimension ref="A1:B5"/>
  <sheetViews>
    <sheetView workbookViewId="0">
      <selection activeCell="A3" sqref="A3"/>
    </sheetView>
  </sheetViews>
  <sheetFormatPr defaultRowHeight="14.5"/>
  <sheetData>
    <row r="1" spans="1:2">
      <c r="A1" t="s">
        <v>6978</v>
      </c>
      <c r="B1" t="s">
        <v>6979</v>
      </c>
    </row>
    <row r="2" spans="1:2">
      <c r="A2" t="s">
        <v>6980</v>
      </c>
      <c r="B2" t="s">
        <v>6981</v>
      </c>
    </row>
    <row r="3" spans="1:2">
      <c r="A3" t="s">
        <v>6982</v>
      </c>
      <c r="B3" t="s">
        <v>6983</v>
      </c>
    </row>
    <row r="5" spans="1:2">
      <c r="A5" t="s">
        <v>6984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47dc047-0a08-4306-b9ea-d9674189ba90">
      <Terms xmlns="http://schemas.microsoft.com/office/infopath/2007/PartnerControls"/>
    </lcf76f155ced4ddcb4097134ff3c332f>
    <TaxCatchAll xmlns="ad927ae4-c45d-4888-bd18-4990d17310f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962E619F5143940A1F413045FDDD52B" ma:contentTypeVersion="17" ma:contentTypeDescription="Create a new document." ma:contentTypeScope="" ma:versionID="7a0532da3e5294cc6554eb183385f86a">
  <xsd:schema xmlns:xsd="http://www.w3.org/2001/XMLSchema" xmlns:xs="http://www.w3.org/2001/XMLSchema" xmlns:p="http://schemas.microsoft.com/office/2006/metadata/properties" xmlns:ns2="147dc047-0a08-4306-b9ea-d9674189ba90" xmlns:ns3="ad927ae4-c45d-4888-bd18-4990d17310f5" targetNamespace="http://schemas.microsoft.com/office/2006/metadata/properties" ma:root="true" ma:fieldsID="cb8f816a2adbdc7a80964d078145983c" ns2:_="" ns3:_="">
    <xsd:import namespace="147dc047-0a08-4306-b9ea-d9674189ba90"/>
    <xsd:import namespace="ad927ae4-c45d-4888-bd18-4990d17310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7dc047-0a08-4306-b9ea-d9674189ba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c2ee68a-5fd3-407b-a220-fb624134c2b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927ae4-c45d-4888-bd18-4990d17310f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dea4103-9752-4643-a707-8ffb1826379f}" ma:internalName="TaxCatchAll" ma:showField="CatchAllData" ma:web="ad927ae4-c45d-4888-bd18-4990d17310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6CDC18-73A7-4CA8-A6F3-8DAB17760422}">
  <ds:schemaRefs>
    <ds:schemaRef ds:uri="http://schemas.microsoft.com/sharepoint/v3/contenttype/forms"/>
  </ds:schemaRefs>
</ds:datastoreItem>
</file>

<file path=customXml/itemProps2.xml><?xml version="1.0" encoding="utf-8"?>
<ds:datastoreItem xmlns:ds="http://schemas.openxmlformats.org/officeDocument/2006/customXml" ds:itemID="{D183F483-B8C7-4020-A0F3-19AB6B2E6124}">
  <ds:schemaRefs>
    <ds:schemaRef ds:uri="http://schemas.microsoft.com/DataMashup"/>
  </ds:schemaRefs>
</ds:datastoreItem>
</file>

<file path=customXml/itemProps3.xml><?xml version="1.0" encoding="utf-8"?>
<ds:datastoreItem xmlns:ds="http://schemas.openxmlformats.org/officeDocument/2006/customXml" ds:itemID="{7042E32E-7F68-4909-AEE4-2394BFAF6A47}">
  <ds:schemaRefs>
    <ds:schemaRef ds:uri="http://schemas.microsoft.com/office/2006/metadata/properties"/>
    <ds:schemaRef ds:uri="http://schemas.microsoft.com/office/infopath/2007/PartnerControls"/>
    <ds:schemaRef ds:uri="147dc047-0a08-4306-b9ea-d9674189ba90"/>
    <ds:schemaRef ds:uri="ad927ae4-c45d-4888-bd18-4990d17310f5"/>
  </ds:schemaRefs>
</ds:datastoreItem>
</file>

<file path=customXml/itemProps4.xml><?xml version="1.0" encoding="utf-8"?>
<ds:datastoreItem xmlns:ds="http://schemas.openxmlformats.org/officeDocument/2006/customXml" ds:itemID="{8C96E0AC-64D1-47C8-AD3F-225E82CD9A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7dc047-0a08-4306-b9ea-d9674189ba90"/>
    <ds:schemaRef ds:uri="ad927ae4-c45d-4888-bd18-4990d17310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Utilities</vt:lpstr>
      <vt:lpstr>Progress bar</vt:lpstr>
      <vt:lpstr>Plan type-key</vt:lpstr>
      <vt:lpstr>River basin plans Spain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 Lennox</dc:creator>
  <cp:keywords/>
  <dc:description/>
  <cp:lastModifiedBy>Sidan Zeng</cp:lastModifiedBy>
  <cp:revision/>
  <dcterms:created xsi:type="dcterms:W3CDTF">2025-11-27T10:41:18Z</dcterms:created>
  <dcterms:modified xsi:type="dcterms:W3CDTF">2026-03-09T12:24:05Z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0x0101007962E619F5143940A1F413045FDDD52B</vt:lpwstr>
  </property>
</Properties>
</file>